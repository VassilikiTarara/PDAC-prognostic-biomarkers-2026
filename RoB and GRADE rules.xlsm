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5c81a0d8d8691c/Desktop/PhD_Med_Auth/publications 2026 v2.0 resubmissions/126295_v2.0_07092026/Github/"/>
    </mc:Choice>
  </mc:AlternateContent>
  <xr:revisionPtr revIDLastSave="0" documentId="8_{C4E09326-BCCD-4158-975C-C852008E1257}" xr6:coauthVersionLast="47" xr6:coauthVersionMax="47" xr10:uidLastSave="{00000000-0000-0000-0000-000000000000}"/>
  <bookViews>
    <workbookView xWindow="-108" yWindow="-108" windowWidth="23256" windowHeight="12456" xr2:uid="{2D4DC87A-E0FA-4D19-B495-F983FD64D93D}"/>
  </bookViews>
  <sheets>
    <sheet name="RoB &amp; GRADE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2" i="1" l="1"/>
  <c r="T95" i="1"/>
  <c r="P95" i="1"/>
  <c r="I95" i="1"/>
  <c r="H95" i="1"/>
  <c r="G95" i="1"/>
  <c r="E95" i="1"/>
  <c r="D95" i="1"/>
  <c r="C95" i="1"/>
  <c r="A95" i="1"/>
  <c r="T94" i="1"/>
  <c r="P94" i="1"/>
  <c r="I94" i="1"/>
  <c r="H94" i="1"/>
  <c r="G94" i="1"/>
  <c r="E94" i="1"/>
  <c r="D94" i="1"/>
  <c r="C94" i="1"/>
  <c r="A94" i="1"/>
  <c r="T93" i="1"/>
  <c r="P93" i="1"/>
  <c r="I93" i="1"/>
  <c r="H93" i="1"/>
  <c r="G93" i="1"/>
  <c r="E93" i="1"/>
  <c r="D93" i="1"/>
  <c r="C93" i="1"/>
  <c r="A93" i="1"/>
  <c r="T92" i="1"/>
  <c r="P92" i="1"/>
  <c r="I92" i="1"/>
  <c r="H92" i="1"/>
  <c r="G92" i="1"/>
  <c r="E92" i="1"/>
  <c r="D92" i="1"/>
  <c r="C92" i="1"/>
  <c r="A92" i="1"/>
  <c r="T91" i="1"/>
  <c r="P91" i="1"/>
  <c r="I91" i="1"/>
  <c r="H91" i="1"/>
  <c r="G91" i="1"/>
  <c r="E91" i="1"/>
  <c r="D91" i="1"/>
  <c r="C91" i="1"/>
  <c r="A91" i="1"/>
  <c r="T90" i="1"/>
  <c r="P90" i="1"/>
  <c r="I90" i="1"/>
  <c r="H90" i="1"/>
  <c r="G90" i="1"/>
  <c r="E90" i="1"/>
  <c r="D90" i="1"/>
  <c r="C90" i="1"/>
  <c r="A90" i="1"/>
  <c r="T89" i="1"/>
  <c r="P89" i="1"/>
  <c r="I89" i="1"/>
  <c r="H89" i="1"/>
  <c r="G89" i="1"/>
  <c r="E89" i="1"/>
  <c r="D89" i="1"/>
  <c r="C89" i="1"/>
  <c r="A89" i="1"/>
  <c r="T88" i="1"/>
  <c r="P88" i="1"/>
  <c r="I88" i="1"/>
  <c r="H88" i="1"/>
  <c r="G88" i="1"/>
  <c r="E88" i="1"/>
  <c r="D88" i="1"/>
  <c r="C88" i="1"/>
  <c r="A88" i="1"/>
  <c r="T87" i="1"/>
  <c r="P87" i="1"/>
  <c r="I87" i="1"/>
  <c r="H87" i="1"/>
  <c r="G87" i="1"/>
  <c r="E87" i="1"/>
  <c r="D87" i="1"/>
  <c r="C87" i="1"/>
  <c r="A87" i="1"/>
  <c r="T86" i="1"/>
  <c r="P86" i="1"/>
  <c r="I86" i="1"/>
  <c r="H86" i="1"/>
  <c r="G86" i="1"/>
  <c r="E86" i="1"/>
  <c r="D86" i="1"/>
  <c r="C86" i="1"/>
  <c r="A86" i="1"/>
  <c r="T85" i="1"/>
  <c r="P85" i="1"/>
  <c r="I85" i="1"/>
  <c r="H85" i="1"/>
  <c r="G85" i="1"/>
  <c r="E85" i="1"/>
  <c r="D85" i="1"/>
  <c r="C85" i="1"/>
  <c r="A85" i="1"/>
  <c r="T84" i="1"/>
  <c r="P84" i="1"/>
  <c r="I84" i="1"/>
  <c r="H84" i="1"/>
  <c r="G84" i="1"/>
  <c r="E84" i="1"/>
  <c r="D84" i="1"/>
  <c r="C84" i="1"/>
  <c r="A84" i="1"/>
  <c r="T83" i="1"/>
  <c r="P83" i="1"/>
  <c r="I83" i="1"/>
  <c r="H83" i="1"/>
  <c r="G83" i="1"/>
  <c r="E83" i="1"/>
  <c r="D83" i="1"/>
  <c r="C83" i="1"/>
  <c r="A83" i="1"/>
  <c r="T82" i="1"/>
  <c r="P82" i="1"/>
  <c r="I82" i="1"/>
  <c r="H82" i="1"/>
  <c r="G82" i="1"/>
  <c r="E82" i="1"/>
  <c r="D82" i="1"/>
  <c r="C82" i="1"/>
  <c r="A82" i="1"/>
  <c r="E67" i="1"/>
  <c r="M60" i="1"/>
  <c r="I60" i="1"/>
  <c r="Z60" i="1" s="1"/>
  <c r="O60" i="1" s="1"/>
  <c r="H60" i="1"/>
  <c r="N60" i="1" s="1"/>
  <c r="G60" i="1"/>
  <c r="AA60" i="1" s="1"/>
  <c r="F60" i="1"/>
  <c r="AB60" i="1" s="1"/>
  <c r="Y60" i="1" s="1"/>
  <c r="E60" i="1"/>
  <c r="D60" i="1"/>
  <c r="AC60" i="1" s="1"/>
  <c r="C60" i="1"/>
  <c r="B60" i="1"/>
  <c r="A60" i="1"/>
  <c r="M59" i="1"/>
  <c r="I59" i="1"/>
  <c r="Z59" i="1" s="1"/>
  <c r="O59" i="1" s="1"/>
  <c r="H59" i="1"/>
  <c r="N59" i="1" s="1"/>
  <c r="G59" i="1"/>
  <c r="AA59" i="1" s="1"/>
  <c r="F59" i="1"/>
  <c r="AB59" i="1" s="1"/>
  <c r="Y59" i="1" s="1"/>
  <c r="E59" i="1"/>
  <c r="D59" i="1"/>
  <c r="AC59" i="1" s="1"/>
  <c r="C59" i="1"/>
  <c r="B59" i="1"/>
  <c r="A59" i="1"/>
  <c r="M58" i="1"/>
  <c r="I58" i="1"/>
  <c r="Z58" i="1" s="1"/>
  <c r="O58" i="1" s="1"/>
  <c r="H58" i="1"/>
  <c r="N58" i="1" s="1"/>
  <c r="G58" i="1"/>
  <c r="AA58" i="1" s="1"/>
  <c r="F58" i="1"/>
  <c r="AB58" i="1" s="1"/>
  <c r="Y58" i="1" s="1"/>
  <c r="E58" i="1"/>
  <c r="D58" i="1"/>
  <c r="AC58" i="1" s="1"/>
  <c r="C58" i="1"/>
  <c r="B58" i="1"/>
  <c r="A58" i="1"/>
  <c r="M57" i="1"/>
  <c r="I57" i="1"/>
  <c r="Z57" i="1" s="1"/>
  <c r="O57" i="1" s="1"/>
  <c r="H57" i="1"/>
  <c r="N57" i="1" s="1"/>
  <c r="G57" i="1"/>
  <c r="AA57" i="1" s="1"/>
  <c r="F57" i="1"/>
  <c r="AB57" i="1" s="1"/>
  <c r="Y57" i="1" s="1"/>
  <c r="E57" i="1"/>
  <c r="D57" i="1"/>
  <c r="AC57" i="1" s="1"/>
  <c r="C57" i="1"/>
  <c r="B57" i="1"/>
  <c r="A57" i="1"/>
  <c r="M56" i="1"/>
  <c r="I56" i="1"/>
  <c r="Z56" i="1" s="1"/>
  <c r="O56" i="1" s="1"/>
  <c r="H56" i="1"/>
  <c r="N56" i="1" s="1"/>
  <c r="G56" i="1"/>
  <c r="AA56" i="1" s="1"/>
  <c r="F56" i="1"/>
  <c r="AB56" i="1" s="1"/>
  <c r="Y56" i="1" s="1"/>
  <c r="E56" i="1"/>
  <c r="D56" i="1"/>
  <c r="AC56" i="1" s="1"/>
  <c r="C56" i="1"/>
  <c r="B56" i="1"/>
  <c r="A56" i="1"/>
  <c r="M55" i="1"/>
  <c r="I55" i="1"/>
  <c r="Z55" i="1" s="1"/>
  <c r="O55" i="1" s="1"/>
  <c r="H55" i="1"/>
  <c r="N55" i="1" s="1"/>
  <c r="G55" i="1"/>
  <c r="AA55" i="1" s="1"/>
  <c r="F55" i="1"/>
  <c r="AB55" i="1" s="1"/>
  <c r="Y55" i="1" s="1"/>
  <c r="E55" i="1"/>
  <c r="D55" i="1"/>
  <c r="AC55" i="1" s="1"/>
  <c r="C55" i="1"/>
  <c r="B55" i="1"/>
  <c r="A55" i="1"/>
  <c r="M54" i="1"/>
  <c r="I54" i="1"/>
  <c r="Z54" i="1" s="1"/>
  <c r="O54" i="1" s="1"/>
  <c r="H54" i="1"/>
  <c r="N54" i="1" s="1"/>
  <c r="G54" i="1"/>
  <c r="AA54" i="1" s="1"/>
  <c r="F54" i="1"/>
  <c r="AB54" i="1" s="1"/>
  <c r="Y54" i="1" s="1"/>
  <c r="E54" i="1"/>
  <c r="D54" i="1"/>
  <c r="AC54" i="1" s="1"/>
  <c r="C54" i="1"/>
  <c r="B54" i="1"/>
  <c r="A54" i="1"/>
  <c r="M53" i="1"/>
  <c r="I53" i="1"/>
  <c r="Z53" i="1" s="1"/>
  <c r="O53" i="1" s="1"/>
  <c r="H53" i="1"/>
  <c r="N53" i="1" s="1"/>
  <c r="G53" i="1"/>
  <c r="AA53" i="1" s="1"/>
  <c r="F53" i="1"/>
  <c r="AB53" i="1" s="1"/>
  <c r="Y53" i="1" s="1"/>
  <c r="E53" i="1"/>
  <c r="D53" i="1"/>
  <c r="AC53" i="1" s="1"/>
  <c r="C53" i="1"/>
  <c r="B53" i="1"/>
  <c r="A53" i="1"/>
  <c r="M52" i="1"/>
  <c r="I52" i="1"/>
  <c r="Z52" i="1" s="1"/>
  <c r="O52" i="1" s="1"/>
  <c r="H52" i="1"/>
  <c r="N52" i="1" s="1"/>
  <c r="G52" i="1"/>
  <c r="AA52" i="1" s="1"/>
  <c r="F52" i="1"/>
  <c r="AB52" i="1" s="1"/>
  <c r="Y52" i="1" s="1"/>
  <c r="E52" i="1"/>
  <c r="D52" i="1"/>
  <c r="AC52" i="1" s="1"/>
  <c r="C52" i="1"/>
  <c r="B52" i="1"/>
  <c r="A52" i="1"/>
  <c r="M51" i="1"/>
  <c r="I51" i="1"/>
  <c r="Z51" i="1" s="1"/>
  <c r="O51" i="1" s="1"/>
  <c r="H51" i="1"/>
  <c r="N51" i="1" s="1"/>
  <c r="G51" i="1"/>
  <c r="AA51" i="1" s="1"/>
  <c r="F51" i="1"/>
  <c r="AB51" i="1" s="1"/>
  <c r="Y51" i="1" s="1"/>
  <c r="E51" i="1"/>
  <c r="D51" i="1"/>
  <c r="AC51" i="1" s="1"/>
  <c r="C51" i="1"/>
  <c r="B51" i="1"/>
  <c r="A51" i="1"/>
  <c r="M50" i="1"/>
  <c r="I50" i="1"/>
  <c r="Z50" i="1" s="1"/>
  <c r="O50" i="1" s="1"/>
  <c r="H50" i="1"/>
  <c r="N50" i="1" s="1"/>
  <c r="G50" i="1"/>
  <c r="AA50" i="1" s="1"/>
  <c r="F50" i="1"/>
  <c r="AB50" i="1" s="1"/>
  <c r="Y50" i="1" s="1"/>
  <c r="E50" i="1"/>
  <c r="D50" i="1"/>
  <c r="AC50" i="1" s="1"/>
  <c r="C50" i="1"/>
  <c r="B50" i="1"/>
  <c r="A50" i="1"/>
  <c r="M49" i="1"/>
  <c r="I49" i="1"/>
  <c r="Z49" i="1" s="1"/>
  <c r="O49" i="1" s="1"/>
  <c r="H49" i="1"/>
  <c r="N49" i="1" s="1"/>
  <c r="G49" i="1"/>
  <c r="AA49" i="1" s="1"/>
  <c r="F49" i="1"/>
  <c r="AB49" i="1" s="1"/>
  <c r="Y49" i="1" s="1"/>
  <c r="E49" i="1"/>
  <c r="D49" i="1"/>
  <c r="AC49" i="1" s="1"/>
  <c r="C49" i="1"/>
  <c r="B49" i="1"/>
  <c r="A49" i="1"/>
  <c r="M48" i="1"/>
  <c r="I48" i="1"/>
  <c r="Z48" i="1" s="1"/>
  <c r="O48" i="1" s="1"/>
  <c r="H48" i="1"/>
  <c r="N48" i="1" s="1"/>
  <c r="G48" i="1"/>
  <c r="AA48" i="1" s="1"/>
  <c r="F48" i="1"/>
  <c r="AB48" i="1" s="1"/>
  <c r="Y48" i="1" s="1"/>
  <c r="E48" i="1"/>
  <c r="D48" i="1"/>
  <c r="AC48" i="1" s="1"/>
  <c r="C48" i="1"/>
  <c r="B48" i="1"/>
  <c r="A48" i="1"/>
  <c r="M47" i="1"/>
  <c r="I47" i="1"/>
  <c r="Z47" i="1" s="1"/>
  <c r="O47" i="1" s="1"/>
  <c r="H47" i="1"/>
  <c r="N47" i="1" s="1"/>
  <c r="G47" i="1"/>
  <c r="AA47" i="1" s="1"/>
  <c r="F47" i="1"/>
  <c r="AB47" i="1" s="1"/>
  <c r="Y47" i="1" s="1"/>
  <c r="E47" i="1"/>
  <c r="D47" i="1"/>
  <c r="AC47" i="1" s="1"/>
  <c r="C47" i="1"/>
  <c r="B47" i="1"/>
  <c r="A47" i="1"/>
  <c r="M46" i="1"/>
  <c r="I46" i="1"/>
  <c r="Z46" i="1" s="1"/>
  <c r="O46" i="1" s="1"/>
  <c r="H46" i="1"/>
  <c r="N46" i="1" s="1"/>
  <c r="G46" i="1"/>
  <c r="AA46" i="1" s="1"/>
  <c r="F46" i="1"/>
  <c r="AB46" i="1" s="1"/>
  <c r="Y46" i="1" s="1"/>
  <c r="E46" i="1"/>
  <c r="D46" i="1"/>
  <c r="AC46" i="1" s="1"/>
  <c r="C46" i="1"/>
  <c r="B46" i="1"/>
  <c r="A46" i="1"/>
  <c r="M45" i="1"/>
  <c r="I45" i="1"/>
  <c r="Z45" i="1" s="1"/>
  <c r="O45" i="1" s="1"/>
  <c r="H45" i="1"/>
  <c r="N45" i="1" s="1"/>
  <c r="G45" i="1"/>
  <c r="AA45" i="1" s="1"/>
  <c r="F45" i="1"/>
  <c r="AB45" i="1" s="1"/>
  <c r="Y45" i="1" s="1"/>
  <c r="E45" i="1"/>
  <c r="D45" i="1"/>
  <c r="AC45" i="1" s="1"/>
  <c r="C45" i="1"/>
  <c r="B45" i="1"/>
  <c r="A45" i="1"/>
  <c r="M44" i="1"/>
  <c r="I44" i="1"/>
  <c r="Z44" i="1" s="1"/>
  <c r="O44" i="1" s="1"/>
  <c r="H44" i="1"/>
  <c r="N44" i="1" s="1"/>
  <c r="G44" i="1"/>
  <c r="AA44" i="1" s="1"/>
  <c r="F44" i="1"/>
  <c r="AB44" i="1" s="1"/>
  <c r="Y44" i="1" s="1"/>
  <c r="E44" i="1"/>
  <c r="D44" i="1"/>
  <c r="AC44" i="1" s="1"/>
  <c r="C44" i="1"/>
  <c r="B44" i="1"/>
  <c r="A44" i="1"/>
  <c r="M43" i="1"/>
  <c r="I43" i="1"/>
  <c r="Z43" i="1" s="1"/>
  <c r="O43" i="1" s="1"/>
  <c r="H43" i="1"/>
  <c r="N43" i="1" s="1"/>
  <c r="G43" i="1"/>
  <c r="AA43" i="1" s="1"/>
  <c r="F43" i="1"/>
  <c r="AB43" i="1" s="1"/>
  <c r="Y43" i="1" s="1"/>
  <c r="E43" i="1"/>
  <c r="D43" i="1"/>
  <c r="AC43" i="1" s="1"/>
  <c r="C43" i="1"/>
  <c r="B43" i="1"/>
  <c r="A43" i="1"/>
  <c r="M42" i="1"/>
  <c r="I42" i="1"/>
  <c r="Z42" i="1" s="1"/>
  <c r="O42" i="1" s="1"/>
  <c r="H42" i="1"/>
  <c r="N42" i="1" s="1"/>
  <c r="G42" i="1"/>
  <c r="AA42" i="1" s="1"/>
  <c r="F42" i="1"/>
  <c r="AB42" i="1" s="1"/>
  <c r="Y42" i="1" s="1"/>
  <c r="E42" i="1"/>
  <c r="D42" i="1"/>
  <c r="AC42" i="1" s="1"/>
  <c r="C42" i="1"/>
  <c r="B42" i="1"/>
  <c r="A42" i="1"/>
  <c r="M41" i="1"/>
  <c r="I41" i="1"/>
  <c r="Z41" i="1" s="1"/>
  <c r="O41" i="1" s="1"/>
  <c r="H41" i="1"/>
  <c r="N41" i="1" s="1"/>
  <c r="G41" i="1"/>
  <c r="AA41" i="1" s="1"/>
  <c r="F41" i="1"/>
  <c r="AB41" i="1" s="1"/>
  <c r="Y41" i="1" s="1"/>
  <c r="E41" i="1"/>
  <c r="D41" i="1"/>
  <c r="AC41" i="1" s="1"/>
  <c r="C41" i="1"/>
  <c r="B41" i="1"/>
  <c r="A41" i="1"/>
  <c r="M40" i="1"/>
  <c r="I40" i="1"/>
  <c r="Z40" i="1" s="1"/>
  <c r="O40" i="1" s="1"/>
  <c r="H40" i="1"/>
  <c r="N40" i="1" s="1"/>
  <c r="G40" i="1"/>
  <c r="AA40" i="1" s="1"/>
  <c r="F40" i="1"/>
  <c r="AB40" i="1" s="1"/>
  <c r="Y40" i="1" s="1"/>
  <c r="E40" i="1"/>
  <c r="D40" i="1"/>
  <c r="AC40" i="1" s="1"/>
  <c r="C40" i="1"/>
  <c r="B40" i="1"/>
  <c r="A40" i="1"/>
  <c r="M39" i="1"/>
  <c r="I39" i="1"/>
  <c r="Z39" i="1" s="1"/>
  <c r="O39" i="1" s="1"/>
  <c r="H39" i="1"/>
  <c r="N39" i="1" s="1"/>
  <c r="G39" i="1"/>
  <c r="AA39" i="1" s="1"/>
  <c r="F39" i="1"/>
  <c r="AB39" i="1" s="1"/>
  <c r="Y39" i="1" s="1"/>
  <c r="E39" i="1"/>
  <c r="D39" i="1"/>
  <c r="AC39" i="1" s="1"/>
  <c r="C39" i="1"/>
  <c r="B39" i="1"/>
  <c r="A39" i="1"/>
  <c r="M38" i="1"/>
  <c r="I38" i="1"/>
  <c r="Z38" i="1" s="1"/>
  <c r="O38" i="1" s="1"/>
  <c r="H38" i="1"/>
  <c r="N38" i="1" s="1"/>
  <c r="G38" i="1"/>
  <c r="AA38" i="1" s="1"/>
  <c r="F38" i="1"/>
  <c r="AB38" i="1" s="1"/>
  <c r="Y38" i="1" s="1"/>
  <c r="E38" i="1"/>
  <c r="D38" i="1"/>
  <c r="AC38" i="1" s="1"/>
  <c r="C38" i="1"/>
  <c r="B38" i="1"/>
  <c r="A38" i="1"/>
  <c r="M37" i="1"/>
  <c r="I37" i="1"/>
  <c r="Z37" i="1" s="1"/>
  <c r="O37" i="1" s="1"/>
  <c r="H37" i="1"/>
  <c r="N37" i="1" s="1"/>
  <c r="G37" i="1"/>
  <c r="AA37" i="1" s="1"/>
  <c r="F37" i="1"/>
  <c r="AB37" i="1" s="1"/>
  <c r="Y37" i="1" s="1"/>
  <c r="E37" i="1"/>
  <c r="D37" i="1"/>
  <c r="AC37" i="1" s="1"/>
  <c r="C37" i="1"/>
  <c r="B37" i="1"/>
  <c r="A37" i="1"/>
  <c r="M36" i="1"/>
  <c r="I36" i="1"/>
  <c r="Z36" i="1" s="1"/>
  <c r="O36" i="1" s="1"/>
  <c r="H36" i="1"/>
  <c r="N36" i="1" s="1"/>
  <c r="G36" i="1"/>
  <c r="AA36" i="1" s="1"/>
  <c r="F36" i="1"/>
  <c r="AB36" i="1" s="1"/>
  <c r="Y36" i="1" s="1"/>
  <c r="E36" i="1"/>
  <c r="D36" i="1"/>
  <c r="AC36" i="1" s="1"/>
  <c r="C36" i="1"/>
  <c r="B36" i="1"/>
  <c r="A36" i="1"/>
  <c r="M35" i="1"/>
  <c r="I35" i="1"/>
  <c r="Z35" i="1" s="1"/>
  <c r="O35" i="1" s="1"/>
  <c r="H35" i="1"/>
  <c r="N35" i="1" s="1"/>
  <c r="G35" i="1"/>
  <c r="AA35" i="1" s="1"/>
  <c r="F35" i="1"/>
  <c r="AB35" i="1" s="1"/>
  <c r="Y35" i="1" s="1"/>
  <c r="E35" i="1"/>
  <c r="D35" i="1"/>
  <c r="AC35" i="1" s="1"/>
  <c r="C35" i="1"/>
  <c r="B35" i="1"/>
  <c r="A35" i="1"/>
  <c r="M34" i="1"/>
  <c r="I34" i="1"/>
  <c r="Z34" i="1" s="1"/>
  <c r="O34" i="1" s="1"/>
  <c r="H34" i="1"/>
  <c r="N34" i="1" s="1"/>
  <c r="G34" i="1"/>
  <c r="AA34" i="1" s="1"/>
  <c r="F34" i="1"/>
  <c r="AB34" i="1" s="1"/>
  <c r="Y34" i="1" s="1"/>
  <c r="E34" i="1"/>
  <c r="D34" i="1"/>
  <c r="AC34" i="1" s="1"/>
  <c r="C34" i="1"/>
  <c r="B34" i="1"/>
  <c r="A34" i="1"/>
  <c r="M33" i="1"/>
  <c r="I33" i="1"/>
  <c r="Z33" i="1" s="1"/>
  <c r="O33" i="1" s="1"/>
  <c r="H33" i="1"/>
  <c r="N33" i="1" s="1"/>
  <c r="G33" i="1"/>
  <c r="AA33" i="1" s="1"/>
  <c r="F33" i="1"/>
  <c r="AB33" i="1" s="1"/>
  <c r="Y33" i="1" s="1"/>
  <c r="E33" i="1"/>
  <c r="D33" i="1"/>
  <c r="AC33" i="1" s="1"/>
  <c r="C33" i="1"/>
  <c r="B33" i="1"/>
  <c r="A33" i="1"/>
  <c r="M32" i="1"/>
  <c r="I32" i="1"/>
  <c r="Z32" i="1" s="1"/>
  <c r="O32" i="1" s="1"/>
  <c r="H32" i="1"/>
  <c r="N32" i="1" s="1"/>
  <c r="G32" i="1"/>
  <c r="AA32" i="1" s="1"/>
  <c r="F32" i="1"/>
  <c r="AB32" i="1" s="1"/>
  <c r="Y32" i="1" s="1"/>
  <c r="E32" i="1"/>
  <c r="D32" i="1"/>
  <c r="AC32" i="1" s="1"/>
  <c r="C32" i="1"/>
  <c r="B32" i="1"/>
  <c r="A32" i="1"/>
  <c r="M31" i="1"/>
  <c r="I31" i="1"/>
  <c r="Z31" i="1" s="1"/>
  <c r="O31" i="1" s="1"/>
  <c r="H31" i="1"/>
  <c r="N31" i="1" s="1"/>
  <c r="G31" i="1"/>
  <c r="AA31" i="1" s="1"/>
  <c r="F31" i="1"/>
  <c r="AB31" i="1" s="1"/>
  <c r="Y31" i="1" s="1"/>
  <c r="E31" i="1"/>
  <c r="D31" i="1"/>
  <c r="AC31" i="1" s="1"/>
  <c r="C31" i="1"/>
  <c r="B31" i="1"/>
  <c r="A31" i="1"/>
  <c r="M30" i="1"/>
  <c r="I30" i="1"/>
  <c r="Z30" i="1" s="1"/>
  <c r="O30" i="1" s="1"/>
  <c r="H30" i="1"/>
  <c r="N30" i="1" s="1"/>
  <c r="G30" i="1"/>
  <c r="AA30" i="1" s="1"/>
  <c r="F30" i="1"/>
  <c r="AB30" i="1" s="1"/>
  <c r="Y30" i="1" s="1"/>
  <c r="E30" i="1"/>
  <c r="D30" i="1"/>
  <c r="AC30" i="1" s="1"/>
  <c r="C30" i="1"/>
  <c r="B30" i="1"/>
  <c r="A30" i="1"/>
  <c r="M29" i="1"/>
  <c r="I29" i="1"/>
  <c r="Z29" i="1" s="1"/>
  <c r="O29" i="1" s="1"/>
  <c r="H29" i="1"/>
  <c r="N29" i="1" s="1"/>
  <c r="G29" i="1"/>
  <c r="AA29" i="1" s="1"/>
  <c r="F29" i="1"/>
  <c r="AB29" i="1" s="1"/>
  <c r="Y29" i="1" s="1"/>
  <c r="E29" i="1"/>
  <c r="D29" i="1"/>
  <c r="AC29" i="1" s="1"/>
  <c r="C29" i="1"/>
  <c r="B29" i="1"/>
  <c r="A29" i="1"/>
  <c r="M28" i="1"/>
  <c r="I28" i="1"/>
  <c r="Z28" i="1" s="1"/>
  <c r="O28" i="1" s="1"/>
  <c r="H28" i="1"/>
  <c r="N28" i="1" s="1"/>
  <c r="G28" i="1"/>
  <c r="AA28" i="1" s="1"/>
  <c r="F28" i="1"/>
  <c r="AB28" i="1" s="1"/>
  <c r="Y28" i="1" s="1"/>
  <c r="E28" i="1"/>
  <c r="D28" i="1"/>
  <c r="AC28" i="1" s="1"/>
  <c r="C28" i="1"/>
  <c r="B28" i="1"/>
  <c r="A28" i="1"/>
  <c r="M27" i="1"/>
  <c r="I27" i="1"/>
  <c r="Z27" i="1" s="1"/>
  <c r="O27" i="1" s="1"/>
  <c r="H27" i="1"/>
  <c r="N27" i="1" s="1"/>
  <c r="G27" i="1"/>
  <c r="AA27" i="1" s="1"/>
  <c r="F27" i="1"/>
  <c r="AB27" i="1" s="1"/>
  <c r="Y27" i="1" s="1"/>
  <c r="E27" i="1"/>
  <c r="D27" i="1"/>
  <c r="AC27" i="1" s="1"/>
  <c r="C27" i="1"/>
  <c r="B27" i="1"/>
  <c r="A27" i="1"/>
  <c r="M26" i="1"/>
  <c r="I26" i="1"/>
  <c r="Z26" i="1" s="1"/>
  <c r="O26" i="1" s="1"/>
  <c r="H26" i="1"/>
  <c r="N26" i="1" s="1"/>
  <c r="G26" i="1"/>
  <c r="AA26" i="1" s="1"/>
  <c r="F26" i="1"/>
  <c r="AB26" i="1" s="1"/>
  <c r="Y26" i="1" s="1"/>
  <c r="E26" i="1"/>
  <c r="D26" i="1"/>
  <c r="AC26" i="1" s="1"/>
  <c r="C26" i="1"/>
  <c r="B26" i="1"/>
  <c r="A26" i="1"/>
  <c r="M25" i="1"/>
  <c r="I25" i="1"/>
  <c r="Z25" i="1" s="1"/>
  <c r="O25" i="1" s="1"/>
  <c r="H25" i="1"/>
  <c r="N25" i="1" s="1"/>
  <c r="G25" i="1"/>
  <c r="AA25" i="1" s="1"/>
  <c r="F25" i="1"/>
  <c r="AB25" i="1" s="1"/>
  <c r="Y25" i="1" s="1"/>
  <c r="E25" i="1"/>
  <c r="D25" i="1"/>
  <c r="AC25" i="1" s="1"/>
  <c r="C25" i="1"/>
  <c r="B25" i="1"/>
  <c r="A25" i="1"/>
  <c r="M24" i="1"/>
  <c r="I24" i="1"/>
  <c r="Z24" i="1" s="1"/>
  <c r="O24" i="1" s="1"/>
  <c r="H24" i="1"/>
  <c r="N24" i="1" s="1"/>
  <c r="G24" i="1"/>
  <c r="AA24" i="1" s="1"/>
  <c r="F24" i="1"/>
  <c r="AB24" i="1" s="1"/>
  <c r="Y24" i="1" s="1"/>
  <c r="E24" i="1"/>
  <c r="D24" i="1"/>
  <c r="AC24" i="1" s="1"/>
  <c r="C24" i="1"/>
  <c r="B24" i="1"/>
  <c r="A24" i="1"/>
  <c r="M23" i="1"/>
  <c r="I23" i="1"/>
  <c r="Z23" i="1" s="1"/>
  <c r="O23" i="1" s="1"/>
  <c r="H23" i="1"/>
  <c r="N23" i="1" s="1"/>
  <c r="G23" i="1"/>
  <c r="AA23" i="1" s="1"/>
  <c r="F23" i="1"/>
  <c r="AB23" i="1" s="1"/>
  <c r="Y23" i="1" s="1"/>
  <c r="E23" i="1"/>
  <c r="D23" i="1"/>
  <c r="AC23" i="1" s="1"/>
  <c r="C23" i="1"/>
  <c r="B23" i="1"/>
  <c r="A23" i="1"/>
  <c r="M22" i="1"/>
  <c r="I22" i="1"/>
  <c r="Z22" i="1" s="1"/>
  <c r="O22" i="1" s="1"/>
  <c r="H22" i="1"/>
  <c r="N22" i="1" s="1"/>
  <c r="G22" i="1"/>
  <c r="AA22" i="1" s="1"/>
  <c r="F22" i="1"/>
  <c r="AB22" i="1" s="1"/>
  <c r="Y22" i="1" s="1"/>
  <c r="E22" i="1"/>
  <c r="D22" i="1"/>
  <c r="AC22" i="1" s="1"/>
  <c r="C22" i="1"/>
  <c r="B22" i="1"/>
  <c r="A22" i="1"/>
  <c r="M21" i="1"/>
  <c r="I21" i="1"/>
  <c r="Z21" i="1" s="1"/>
  <c r="O21" i="1" s="1"/>
  <c r="H21" i="1"/>
  <c r="N21" i="1" s="1"/>
  <c r="G21" i="1"/>
  <c r="AA21" i="1" s="1"/>
  <c r="F21" i="1"/>
  <c r="AB21" i="1" s="1"/>
  <c r="Y21" i="1" s="1"/>
  <c r="E21" i="1"/>
  <c r="D21" i="1"/>
  <c r="AC21" i="1" s="1"/>
  <c r="C21" i="1"/>
  <c r="B21" i="1"/>
  <c r="A21" i="1"/>
  <c r="M20" i="1"/>
  <c r="I20" i="1"/>
  <c r="Z20" i="1" s="1"/>
  <c r="O20" i="1" s="1"/>
  <c r="H20" i="1"/>
  <c r="N20" i="1" s="1"/>
  <c r="G20" i="1"/>
  <c r="AA20" i="1" s="1"/>
  <c r="F20" i="1"/>
  <c r="AB20" i="1" s="1"/>
  <c r="Y20" i="1" s="1"/>
  <c r="E20" i="1"/>
  <c r="D20" i="1"/>
  <c r="AC20" i="1" s="1"/>
  <c r="C20" i="1"/>
  <c r="B20" i="1"/>
  <c r="A20" i="1"/>
  <c r="M19" i="1"/>
  <c r="I19" i="1"/>
  <c r="Z19" i="1" s="1"/>
  <c r="O19" i="1" s="1"/>
  <c r="H19" i="1"/>
  <c r="N19" i="1" s="1"/>
  <c r="G19" i="1"/>
  <c r="AA19" i="1" s="1"/>
  <c r="F19" i="1"/>
  <c r="AB19" i="1" s="1"/>
  <c r="Y19" i="1" s="1"/>
  <c r="E19" i="1"/>
  <c r="D19" i="1"/>
  <c r="AC19" i="1" s="1"/>
  <c r="C19" i="1"/>
  <c r="B19" i="1"/>
  <c r="A19" i="1"/>
  <c r="M18" i="1"/>
  <c r="I18" i="1"/>
  <c r="Z18" i="1" s="1"/>
  <c r="O18" i="1" s="1"/>
  <c r="H18" i="1"/>
  <c r="N18" i="1" s="1"/>
  <c r="G18" i="1"/>
  <c r="AA18" i="1" s="1"/>
  <c r="F18" i="1"/>
  <c r="AB18" i="1" s="1"/>
  <c r="Y18" i="1" s="1"/>
  <c r="E18" i="1"/>
  <c r="D18" i="1"/>
  <c r="AC18" i="1" s="1"/>
  <c r="C18" i="1"/>
  <c r="B18" i="1"/>
  <c r="A18" i="1"/>
  <c r="M17" i="1"/>
  <c r="I17" i="1"/>
  <c r="Z17" i="1" s="1"/>
  <c r="O17" i="1" s="1"/>
  <c r="H17" i="1"/>
  <c r="N17" i="1" s="1"/>
  <c r="G17" i="1"/>
  <c r="AA17" i="1" s="1"/>
  <c r="F17" i="1"/>
  <c r="AB17" i="1" s="1"/>
  <c r="Y17" i="1" s="1"/>
  <c r="E17" i="1"/>
  <c r="D17" i="1"/>
  <c r="AC17" i="1" s="1"/>
  <c r="C17" i="1"/>
  <c r="B17" i="1"/>
  <c r="A17" i="1"/>
  <c r="M16" i="1"/>
  <c r="I16" i="1"/>
  <c r="Z16" i="1" s="1"/>
  <c r="O16" i="1" s="1"/>
  <c r="H16" i="1"/>
  <c r="N16" i="1" s="1"/>
  <c r="G16" i="1"/>
  <c r="AA16" i="1" s="1"/>
  <c r="F16" i="1"/>
  <c r="AB16" i="1" s="1"/>
  <c r="Y16" i="1" s="1"/>
  <c r="E16" i="1"/>
  <c r="D16" i="1"/>
  <c r="AC16" i="1" s="1"/>
  <c r="C16" i="1"/>
  <c r="B16" i="1"/>
  <c r="A16" i="1"/>
  <c r="M15" i="1"/>
  <c r="I15" i="1"/>
  <c r="Z15" i="1" s="1"/>
  <c r="O15" i="1" s="1"/>
  <c r="H15" i="1"/>
  <c r="N15" i="1" s="1"/>
  <c r="G15" i="1"/>
  <c r="AA15" i="1" s="1"/>
  <c r="F15" i="1"/>
  <c r="AB15" i="1" s="1"/>
  <c r="Y15" i="1" s="1"/>
  <c r="E15" i="1"/>
  <c r="D15" i="1"/>
  <c r="AC15" i="1" s="1"/>
  <c r="C15" i="1"/>
  <c r="B15" i="1"/>
  <c r="A15" i="1"/>
  <c r="M14" i="1"/>
  <c r="I14" i="1"/>
  <c r="Z14" i="1" s="1"/>
  <c r="O14" i="1" s="1"/>
  <c r="H14" i="1"/>
  <c r="N14" i="1" s="1"/>
  <c r="G14" i="1"/>
  <c r="AA14" i="1" s="1"/>
  <c r="F14" i="1"/>
  <c r="AB14" i="1" s="1"/>
  <c r="Y14" i="1" s="1"/>
  <c r="E14" i="1"/>
  <c r="D14" i="1"/>
  <c r="AC14" i="1" s="1"/>
  <c r="C14" i="1"/>
  <c r="B14" i="1"/>
  <c r="A14" i="1"/>
  <c r="M13" i="1"/>
  <c r="I13" i="1"/>
  <c r="Z13" i="1" s="1"/>
  <c r="O13" i="1" s="1"/>
  <c r="H13" i="1"/>
  <c r="N13" i="1" s="1"/>
  <c r="G13" i="1"/>
  <c r="AA13" i="1" s="1"/>
  <c r="F13" i="1"/>
  <c r="AB13" i="1" s="1"/>
  <c r="Y13" i="1" s="1"/>
  <c r="E13" i="1"/>
  <c r="D13" i="1"/>
  <c r="AC13" i="1" s="1"/>
  <c r="C13" i="1"/>
  <c r="B13" i="1"/>
  <c r="A13" i="1"/>
  <c r="M12" i="1"/>
  <c r="I12" i="1"/>
  <c r="Z12" i="1" s="1"/>
  <c r="O12" i="1" s="1"/>
  <c r="H12" i="1"/>
  <c r="N12" i="1" s="1"/>
  <c r="G12" i="1"/>
  <c r="AA12" i="1" s="1"/>
  <c r="F12" i="1"/>
  <c r="AB12" i="1" s="1"/>
  <c r="Y12" i="1" s="1"/>
  <c r="E12" i="1"/>
  <c r="D12" i="1"/>
  <c r="AC12" i="1" s="1"/>
  <c r="C12" i="1"/>
  <c r="B12" i="1"/>
  <c r="A12" i="1"/>
  <c r="M11" i="1"/>
  <c r="I11" i="1"/>
  <c r="Z11" i="1" s="1"/>
  <c r="O11" i="1" s="1"/>
  <c r="H11" i="1"/>
  <c r="N11" i="1" s="1"/>
  <c r="G11" i="1"/>
  <c r="AA11" i="1" s="1"/>
  <c r="F11" i="1"/>
  <c r="AB11" i="1" s="1"/>
  <c r="Y11" i="1" s="1"/>
  <c r="E11" i="1"/>
  <c r="D11" i="1"/>
  <c r="AC11" i="1" s="1"/>
  <c r="C11" i="1"/>
  <c r="B11" i="1"/>
  <c r="A11" i="1"/>
  <c r="M10" i="1"/>
  <c r="I10" i="1"/>
  <c r="Z10" i="1" s="1"/>
  <c r="O10" i="1" s="1"/>
  <c r="H10" i="1"/>
  <c r="N10" i="1" s="1"/>
  <c r="G10" i="1"/>
  <c r="AA10" i="1" s="1"/>
  <c r="F10" i="1"/>
  <c r="AB10" i="1" s="1"/>
  <c r="Y10" i="1" s="1"/>
  <c r="E10" i="1"/>
  <c r="D10" i="1"/>
  <c r="AC10" i="1" s="1"/>
  <c r="C10" i="1"/>
  <c r="B10" i="1"/>
  <c r="A10" i="1"/>
  <c r="Z9" i="1"/>
  <c r="O9" i="1" s="1"/>
  <c r="M9" i="1"/>
  <c r="I9" i="1"/>
  <c r="H9" i="1"/>
  <c r="N9" i="1" s="1"/>
  <c r="G9" i="1"/>
  <c r="AA9" i="1" s="1"/>
  <c r="F9" i="1"/>
  <c r="AB9" i="1" s="1"/>
  <c r="Y9" i="1" s="1"/>
  <c r="E9" i="1"/>
  <c r="D9" i="1"/>
  <c r="AC9" i="1" s="1"/>
  <c r="C9" i="1"/>
  <c r="B9" i="1"/>
  <c r="A9" i="1"/>
  <c r="M8" i="1"/>
  <c r="I8" i="1"/>
  <c r="Z8" i="1" s="1"/>
  <c r="O8" i="1" s="1"/>
  <c r="H8" i="1"/>
  <c r="N8" i="1" s="1"/>
  <c r="G8" i="1"/>
  <c r="AA8" i="1" s="1"/>
  <c r="F8" i="1"/>
  <c r="AB8" i="1" s="1"/>
  <c r="Y8" i="1" s="1"/>
  <c r="E8" i="1"/>
  <c r="D8" i="1"/>
  <c r="AC8" i="1" s="1"/>
  <c r="C8" i="1"/>
  <c r="B8" i="1"/>
  <c r="A8" i="1"/>
  <c r="M7" i="1"/>
  <c r="I7" i="1"/>
  <c r="Z7" i="1" s="1"/>
  <c r="O7" i="1" s="1"/>
  <c r="H7" i="1"/>
  <c r="N7" i="1" s="1"/>
  <c r="G7" i="1"/>
  <c r="AA7" i="1" s="1"/>
  <c r="F7" i="1"/>
  <c r="AB7" i="1" s="1"/>
  <c r="Y7" i="1" s="1"/>
  <c r="E7" i="1"/>
  <c r="D7" i="1"/>
  <c r="AC7" i="1" s="1"/>
  <c r="C7" i="1"/>
  <c r="B7" i="1"/>
  <c r="A7" i="1"/>
  <c r="M6" i="1"/>
  <c r="I6" i="1"/>
  <c r="Z6" i="1" s="1"/>
  <c r="O6" i="1" s="1"/>
  <c r="H6" i="1"/>
  <c r="N6" i="1" s="1"/>
  <c r="G6" i="1"/>
  <c r="AA6" i="1" s="1"/>
  <c r="F6" i="1"/>
  <c r="AB6" i="1" s="1"/>
  <c r="Y6" i="1" s="1"/>
  <c r="E6" i="1"/>
  <c r="D6" i="1"/>
  <c r="AC6" i="1" s="1"/>
  <c r="C6" i="1"/>
  <c r="B6" i="1"/>
  <c r="A6" i="1"/>
  <c r="M5" i="1"/>
  <c r="I5" i="1"/>
  <c r="Z5" i="1" s="1"/>
  <c r="O5" i="1" s="1"/>
  <c r="H5" i="1"/>
  <c r="N5" i="1" s="1"/>
  <c r="G5" i="1"/>
  <c r="AA5" i="1" s="1"/>
  <c r="F5" i="1"/>
  <c r="AB5" i="1" s="1"/>
  <c r="Y5" i="1" s="1"/>
  <c r="E5" i="1"/>
  <c r="D5" i="1"/>
  <c r="AC5" i="1" s="1"/>
  <c r="C5" i="1"/>
  <c r="B5" i="1"/>
  <c r="A5" i="1"/>
  <c r="M4" i="1"/>
  <c r="I4" i="1"/>
  <c r="Z4" i="1" s="1"/>
  <c r="O4" i="1" s="1"/>
  <c r="H4" i="1"/>
  <c r="N4" i="1" s="1"/>
  <c r="G4" i="1"/>
  <c r="AA4" i="1" s="1"/>
  <c r="F4" i="1"/>
  <c r="AB4" i="1" s="1"/>
  <c r="Y4" i="1" s="1"/>
  <c r="E4" i="1"/>
  <c r="D4" i="1"/>
  <c r="AC4" i="1" s="1"/>
  <c r="C4" i="1"/>
  <c r="B4" i="1"/>
  <c r="A4" i="1"/>
  <c r="J95" i="1" l="1"/>
  <c r="Q95" i="1"/>
  <c r="J94" i="1"/>
  <c r="Q94" i="1"/>
  <c r="J93" i="1"/>
  <c r="Q93" i="1"/>
  <c r="Q92" i="1"/>
  <c r="J92" i="1"/>
  <c r="J91" i="1"/>
  <c r="Q91" i="1"/>
  <c r="Q90" i="1"/>
  <c r="J90" i="1"/>
  <c r="Q89" i="1"/>
  <c r="J89" i="1"/>
  <c r="J88" i="1"/>
  <c r="Q88" i="1"/>
  <c r="J87" i="1"/>
  <c r="Q87" i="1"/>
  <c r="Q86" i="1"/>
  <c r="J86" i="1"/>
  <c r="J85" i="1"/>
  <c r="Q85" i="1"/>
  <c r="J84" i="1"/>
  <c r="Q84" i="1"/>
  <c r="Q83" i="1"/>
  <c r="J83" i="1"/>
  <c r="C98" i="1"/>
  <c r="C99" i="1"/>
  <c r="C100" i="1"/>
  <c r="J82" i="1"/>
  <c r="Q82" i="1"/>
  <c r="Q60" i="1"/>
  <c r="U60" i="1"/>
  <c r="T60" i="1"/>
  <c r="J60" i="1"/>
  <c r="R60" i="1" s="1"/>
  <c r="V60" i="1" s="1"/>
  <c r="K60" i="1"/>
  <c r="W60" i="1"/>
  <c r="L60" i="1"/>
  <c r="S60" i="1" s="1"/>
  <c r="T59" i="1"/>
  <c r="Q59" i="1"/>
  <c r="S59" i="1"/>
  <c r="V59" i="1"/>
  <c r="R59" i="1"/>
  <c r="U59" i="1"/>
  <c r="J59" i="1"/>
  <c r="K59" i="1"/>
  <c r="L59" i="1"/>
  <c r="W59" i="1"/>
  <c r="U58" i="1"/>
  <c r="Q58" i="1"/>
  <c r="T58" i="1"/>
  <c r="J58" i="1"/>
  <c r="R58" i="1" s="1"/>
  <c r="K58" i="1"/>
  <c r="L58" i="1"/>
  <c r="S58" i="1" s="1"/>
  <c r="W58" i="1"/>
  <c r="T57" i="1"/>
  <c r="U57" i="1"/>
  <c r="Q57" i="1"/>
  <c r="K57" i="1"/>
  <c r="J57" i="1"/>
  <c r="R57" i="1" s="1"/>
  <c r="W57" i="1"/>
  <c r="L57" i="1"/>
  <c r="S57" i="1" s="1"/>
  <c r="U56" i="1"/>
  <c r="Q56" i="1"/>
  <c r="T56" i="1"/>
  <c r="J56" i="1"/>
  <c r="R56" i="1" s="1"/>
  <c r="V56" i="1" s="1"/>
  <c r="K56" i="1"/>
  <c r="L56" i="1"/>
  <c r="S56" i="1" s="1"/>
  <c r="W56" i="1"/>
  <c r="Q55" i="1"/>
  <c r="T55" i="1"/>
  <c r="U55" i="1"/>
  <c r="J55" i="1"/>
  <c r="R55" i="1" s="1"/>
  <c r="V55" i="1" s="1"/>
  <c r="K55" i="1"/>
  <c r="W55" i="1"/>
  <c r="L55" i="1"/>
  <c r="S55" i="1" s="1"/>
  <c r="Q54" i="1"/>
  <c r="T54" i="1"/>
  <c r="U54" i="1"/>
  <c r="J54" i="1"/>
  <c r="R54" i="1" s="1"/>
  <c r="K54" i="1"/>
  <c r="L54" i="1"/>
  <c r="S54" i="1" s="1"/>
  <c r="W54" i="1"/>
  <c r="Q53" i="1"/>
  <c r="T53" i="1"/>
  <c r="U53" i="1"/>
  <c r="J53" i="1"/>
  <c r="R53" i="1" s="1"/>
  <c r="K53" i="1"/>
  <c r="W53" i="1"/>
  <c r="L53" i="1"/>
  <c r="S53" i="1" s="1"/>
  <c r="U52" i="1"/>
  <c r="Q52" i="1"/>
  <c r="T52" i="1"/>
  <c r="J52" i="1"/>
  <c r="R52" i="1" s="1"/>
  <c r="V52" i="1" s="1"/>
  <c r="K52" i="1"/>
  <c r="L52" i="1"/>
  <c r="S52" i="1" s="1"/>
  <c r="W52" i="1"/>
  <c r="Q51" i="1"/>
  <c r="U51" i="1"/>
  <c r="T51" i="1"/>
  <c r="J51" i="1"/>
  <c r="R51" i="1" s="1"/>
  <c r="V51" i="1" s="1"/>
  <c r="K51" i="1"/>
  <c r="L51" i="1"/>
  <c r="S51" i="1" s="1"/>
  <c r="W51" i="1"/>
  <c r="U50" i="1"/>
  <c r="T50" i="1"/>
  <c r="Q50" i="1"/>
  <c r="J50" i="1"/>
  <c r="R50" i="1" s="1"/>
  <c r="V50" i="1" s="1"/>
  <c r="K50" i="1"/>
  <c r="L50" i="1"/>
  <c r="S50" i="1" s="1"/>
  <c r="W50" i="1"/>
  <c r="Q49" i="1"/>
  <c r="U49" i="1"/>
  <c r="T49" i="1"/>
  <c r="J49" i="1"/>
  <c r="R49" i="1" s="1"/>
  <c r="K49" i="1"/>
  <c r="L49" i="1"/>
  <c r="S49" i="1" s="1"/>
  <c r="W49" i="1"/>
  <c r="Q48" i="1"/>
  <c r="T48" i="1"/>
  <c r="U48" i="1"/>
  <c r="K48" i="1"/>
  <c r="J48" i="1"/>
  <c r="R48" i="1" s="1"/>
  <c r="V48" i="1" s="1"/>
  <c r="W48" i="1"/>
  <c r="L48" i="1"/>
  <c r="S48" i="1" s="1"/>
  <c r="Q47" i="1"/>
  <c r="U47" i="1"/>
  <c r="T47" i="1"/>
  <c r="J47" i="1"/>
  <c r="R47" i="1" s="1"/>
  <c r="V47" i="1" s="1"/>
  <c r="K47" i="1"/>
  <c r="L47" i="1"/>
  <c r="S47" i="1" s="1"/>
  <c r="W47" i="1"/>
  <c r="Q46" i="1"/>
  <c r="U46" i="1"/>
  <c r="T46" i="1"/>
  <c r="J46" i="1"/>
  <c r="R46" i="1" s="1"/>
  <c r="K46" i="1"/>
  <c r="L46" i="1"/>
  <c r="S46" i="1" s="1"/>
  <c r="W46" i="1"/>
  <c r="R45" i="1"/>
  <c r="U45" i="1"/>
  <c r="S45" i="1"/>
  <c r="V45" i="1"/>
  <c r="Q45" i="1"/>
  <c r="T45" i="1"/>
  <c r="J45" i="1"/>
  <c r="K45" i="1"/>
  <c r="L45" i="1"/>
  <c r="W45" i="1"/>
  <c r="Q44" i="1"/>
  <c r="U44" i="1"/>
  <c r="T44" i="1"/>
  <c r="J44" i="1"/>
  <c r="R44" i="1" s="1"/>
  <c r="V44" i="1" s="1"/>
  <c r="K44" i="1"/>
  <c r="W44" i="1"/>
  <c r="L44" i="1"/>
  <c r="S44" i="1" s="1"/>
  <c r="S43" i="1"/>
  <c r="Q43" i="1"/>
  <c r="V43" i="1"/>
  <c r="R43" i="1"/>
  <c r="U43" i="1"/>
  <c r="T43" i="1"/>
  <c r="J43" i="1"/>
  <c r="K43" i="1"/>
  <c r="W43" i="1"/>
  <c r="L43" i="1"/>
  <c r="U42" i="1"/>
  <c r="Q42" i="1"/>
  <c r="T42" i="1"/>
  <c r="J42" i="1"/>
  <c r="R42" i="1" s="1"/>
  <c r="V42" i="1" s="1"/>
  <c r="K42" i="1"/>
  <c r="L42" i="1"/>
  <c r="S42" i="1" s="1"/>
  <c r="W42" i="1"/>
  <c r="Q41" i="1"/>
  <c r="U41" i="1"/>
  <c r="T41" i="1"/>
  <c r="J41" i="1"/>
  <c r="R41" i="1" s="1"/>
  <c r="V41" i="1" s="1"/>
  <c r="K41" i="1"/>
  <c r="L41" i="1"/>
  <c r="S41" i="1" s="1"/>
  <c r="W41" i="1"/>
  <c r="Q40" i="1"/>
  <c r="T40" i="1"/>
  <c r="U40" i="1"/>
  <c r="J40" i="1"/>
  <c r="R40" i="1" s="1"/>
  <c r="V40" i="1" s="1"/>
  <c r="K40" i="1"/>
  <c r="W40" i="1"/>
  <c r="L40" i="1"/>
  <c r="S40" i="1" s="1"/>
  <c r="U39" i="1"/>
  <c r="T39" i="1"/>
  <c r="Q39" i="1"/>
  <c r="J39" i="1"/>
  <c r="R39" i="1" s="1"/>
  <c r="V39" i="1" s="1"/>
  <c r="K39" i="1"/>
  <c r="W39" i="1"/>
  <c r="L39" i="1"/>
  <c r="S39" i="1" s="1"/>
  <c r="R38" i="1"/>
  <c r="T38" i="1"/>
  <c r="V38" i="1"/>
  <c r="Q38" i="1"/>
  <c r="S38" i="1"/>
  <c r="U38" i="1"/>
  <c r="J38" i="1"/>
  <c r="K38" i="1"/>
  <c r="W38" i="1"/>
  <c r="L38" i="1"/>
  <c r="Q37" i="1"/>
  <c r="S37" i="1"/>
  <c r="U37" i="1"/>
  <c r="R37" i="1"/>
  <c r="T37" i="1"/>
  <c r="V37" i="1"/>
  <c r="J37" i="1"/>
  <c r="K37" i="1"/>
  <c r="W37" i="1"/>
  <c r="L37" i="1"/>
  <c r="Q36" i="1"/>
  <c r="S36" i="1"/>
  <c r="U36" i="1"/>
  <c r="R36" i="1"/>
  <c r="T36" i="1"/>
  <c r="V36" i="1"/>
  <c r="J36" i="1"/>
  <c r="K36" i="1"/>
  <c r="W36" i="1"/>
  <c r="L36" i="1"/>
  <c r="Q35" i="1"/>
  <c r="U35" i="1"/>
  <c r="T35" i="1"/>
  <c r="J35" i="1"/>
  <c r="R35" i="1" s="1"/>
  <c r="V35" i="1" s="1"/>
  <c r="K35" i="1"/>
  <c r="L35" i="1"/>
  <c r="S35" i="1" s="1"/>
  <c r="W35" i="1"/>
  <c r="T34" i="1"/>
  <c r="Q34" i="1"/>
  <c r="U34" i="1"/>
  <c r="J34" i="1"/>
  <c r="R34" i="1" s="1"/>
  <c r="V34" i="1" s="1"/>
  <c r="K34" i="1"/>
  <c r="L34" i="1"/>
  <c r="S34" i="1" s="1"/>
  <c r="W34" i="1"/>
  <c r="T33" i="1"/>
  <c r="Q33" i="1"/>
  <c r="U33" i="1"/>
  <c r="J33" i="1"/>
  <c r="R33" i="1" s="1"/>
  <c r="V33" i="1" s="1"/>
  <c r="K33" i="1"/>
  <c r="W33" i="1"/>
  <c r="L33" i="1"/>
  <c r="S33" i="1" s="1"/>
  <c r="Q32" i="1"/>
  <c r="T32" i="1"/>
  <c r="U32" i="1"/>
  <c r="J32" i="1"/>
  <c r="R32" i="1" s="1"/>
  <c r="V32" i="1" s="1"/>
  <c r="K32" i="1"/>
  <c r="W32" i="1"/>
  <c r="L32" i="1"/>
  <c r="S32" i="1" s="1"/>
  <c r="T31" i="1"/>
  <c r="Q31" i="1"/>
  <c r="U31" i="1"/>
  <c r="J31" i="1"/>
  <c r="R31" i="1" s="1"/>
  <c r="K31" i="1"/>
  <c r="W31" i="1"/>
  <c r="L31" i="1"/>
  <c r="S31" i="1" s="1"/>
  <c r="Q30" i="1"/>
  <c r="T30" i="1"/>
  <c r="U30" i="1"/>
  <c r="J30" i="1"/>
  <c r="R30" i="1" s="1"/>
  <c r="V30" i="1" s="1"/>
  <c r="K30" i="1"/>
  <c r="L30" i="1"/>
  <c r="S30" i="1" s="1"/>
  <c r="W30" i="1"/>
  <c r="T29" i="1"/>
  <c r="Q29" i="1"/>
  <c r="U29" i="1"/>
  <c r="J29" i="1"/>
  <c r="R29" i="1" s="1"/>
  <c r="V29" i="1" s="1"/>
  <c r="K29" i="1"/>
  <c r="L29" i="1"/>
  <c r="S29" i="1" s="1"/>
  <c r="W29" i="1"/>
  <c r="Q28" i="1"/>
  <c r="T28" i="1"/>
  <c r="U28" i="1"/>
  <c r="J28" i="1"/>
  <c r="R28" i="1" s="1"/>
  <c r="V28" i="1" s="1"/>
  <c r="K28" i="1"/>
  <c r="L28" i="1"/>
  <c r="S28" i="1" s="1"/>
  <c r="W28" i="1"/>
  <c r="Q27" i="1"/>
  <c r="T27" i="1"/>
  <c r="U27" i="1"/>
  <c r="J27" i="1"/>
  <c r="R27" i="1" s="1"/>
  <c r="V27" i="1" s="1"/>
  <c r="K27" i="1"/>
  <c r="W27" i="1"/>
  <c r="L27" i="1"/>
  <c r="S27" i="1" s="1"/>
  <c r="T26" i="1"/>
  <c r="Q26" i="1"/>
  <c r="U26" i="1"/>
  <c r="K26" i="1"/>
  <c r="J26" i="1"/>
  <c r="R26" i="1" s="1"/>
  <c r="V26" i="1" s="1"/>
  <c r="W26" i="1"/>
  <c r="L26" i="1"/>
  <c r="S26" i="1" s="1"/>
  <c r="Q25" i="1"/>
  <c r="S25" i="1"/>
  <c r="V25" i="1"/>
  <c r="U25" i="1"/>
  <c r="R25" i="1"/>
  <c r="T25" i="1"/>
  <c r="J25" i="1"/>
  <c r="K25" i="1"/>
  <c r="W25" i="1"/>
  <c r="L25" i="1"/>
  <c r="T24" i="1"/>
  <c r="Q24" i="1"/>
  <c r="U24" i="1"/>
  <c r="J24" i="1"/>
  <c r="R24" i="1" s="1"/>
  <c r="V24" i="1" s="1"/>
  <c r="K24" i="1"/>
  <c r="W24" i="1"/>
  <c r="L24" i="1"/>
  <c r="S24" i="1" s="1"/>
  <c r="U23" i="1"/>
  <c r="Q23" i="1"/>
  <c r="T23" i="1"/>
  <c r="J23" i="1"/>
  <c r="R23" i="1" s="1"/>
  <c r="V23" i="1" s="1"/>
  <c r="K23" i="1"/>
  <c r="W23" i="1"/>
  <c r="L23" i="1"/>
  <c r="S23" i="1" s="1"/>
  <c r="Q22" i="1"/>
  <c r="T22" i="1"/>
  <c r="U22" i="1"/>
  <c r="J22" i="1"/>
  <c r="R22" i="1" s="1"/>
  <c r="V22" i="1" s="1"/>
  <c r="K22" i="1"/>
  <c r="W22" i="1"/>
  <c r="L22" i="1"/>
  <c r="S22" i="1" s="1"/>
  <c r="T21" i="1"/>
  <c r="Q21" i="1"/>
  <c r="U21" i="1"/>
  <c r="J21" i="1"/>
  <c r="R21" i="1" s="1"/>
  <c r="V21" i="1" s="1"/>
  <c r="K21" i="1"/>
  <c r="W21" i="1"/>
  <c r="L21" i="1"/>
  <c r="S21" i="1" s="1"/>
  <c r="U20" i="1"/>
  <c r="Q20" i="1"/>
  <c r="T20" i="1"/>
  <c r="J20" i="1"/>
  <c r="R20" i="1" s="1"/>
  <c r="V20" i="1" s="1"/>
  <c r="K20" i="1"/>
  <c r="L20" i="1"/>
  <c r="S20" i="1" s="1"/>
  <c r="W20" i="1"/>
  <c r="T19" i="1"/>
  <c r="Q19" i="1"/>
  <c r="U19" i="1"/>
  <c r="J19" i="1"/>
  <c r="R19" i="1" s="1"/>
  <c r="V19" i="1" s="1"/>
  <c r="K19" i="1"/>
  <c r="W19" i="1"/>
  <c r="L19" i="1"/>
  <c r="S19" i="1" s="1"/>
  <c r="Q18" i="1"/>
  <c r="U18" i="1"/>
  <c r="T18" i="1"/>
  <c r="J18" i="1"/>
  <c r="R18" i="1" s="1"/>
  <c r="V18" i="1" s="1"/>
  <c r="K18" i="1"/>
  <c r="W18" i="1"/>
  <c r="L18" i="1"/>
  <c r="S18" i="1" s="1"/>
  <c r="T17" i="1"/>
  <c r="Q17" i="1"/>
  <c r="U17" i="1"/>
  <c r="J17" i="1"/>
  <c r="R17" i="1" s="1"/>
  <c r="V17" i="1" s="1"/>
  <c r="K17" i="1"/>
  <c r="L17" i="1"/>
  <c r="S17" i="1" s="1"/>
  <c r="W17" i="1"/>
  <c r="U16" i="1"/>
  <c r="Q16" i="1"/>
  <c r="T16" i="1"/>
  <c r="K16" i="1"/>
  <c r="J16" i="1"/>
  <c r="R16" i="1" s="1"/>
  <c r="V16" i="1" s="1"/>
  <c r="L16" i="1"/>
  <c r="S16" i="1" s="1"/>
  <c r="W16" i="1"/>
  <c r="Q15" i="1"/>
  <c r="T15" i="1"/>
  <c r="U15" i="1"/>
  <c r="J15" i="1"/>
  <c r="R15" i="1" s="1"/>
  <c r="V15" i="1" s="1"/>
  <c r="K15" i="1"/>
  <c r="W15" i="1"/>
  <c r="L15" i="1"/>
  <c r="S15" i="1" s="1"/>
  <c r="U14" i="1"/>
  <c r="Q14" i="1"/>
  <c r="T14" i="1"/>
  <c r="J14" i="1"/>
  <c r="R14" i="1" s="1"/>
  <c r="V14" i="1" s="1"/>
  <c r="K14" i="1"/>
  <c r="L14" i="1"/>
  <c r="S14" i="1" s="1"/>
  <c r="W14" i="1"/>
  <c r="R13" i="1"/>
  <c r="V13" i="1"/>
  <c r="S13" i="1"/>
  <c r="U13" i="1"/>
  <c r="Q13" i="1"/>
  <c r="T13" i="1"/>
  <c r="J13" i="1"/>
  <c r="K13" i="1"/>
  <c r="W13" i="1"/>
  <c r="L13" i="1"/>
  <c r="T12" i="1"/>
  <c r="Q12" i="1"/>
  <c r="U12" i="1"/>
  <c r="J12" i="1"/>
  <c r="R12" i="1" s="1"/>
  <c r="V12" i="1" s="1"/>
  <c r="K12" i="1"/>
  <c r="L12" i="1"/>
  <c r="S12" i="1" s="1"/>
  <c r="W12" i="1"/>
  <c r="R11" i="1"/>
  <c r="S11" i="1"/>
  <c r="U11" i="1"/>
  <c r="Q11" i="1"/>
  <c r="T11" i="1"/>
  <c r="V11" i="1"/>
  <c r="J11" i="1"/>
  <c r="K11" i="1"/>
  <c r="L11" i="1"/>
  <c r="W11" i="1"/>
  <c r="Q10" i="1"/>
  <c r="U10" i="1"/>
  <c r="T10" i="1"/>
  <c r="K10" i="1"/>
  <c r="J10" i="1"/>
  <c r="R10" i="1" s="1"/>
  <c r="W10" i="1"/>
  <c r="L10" i="1"/>
  <c r="S10" i="1" s="1"/>
  <c r="Q9" i="1"/>
  <c r="T9" i="1"/>
  <c r="R9" i="1"/>
  <c r="U9" i="1"/>
  <c r="S9" i="1"/>
  <c r="V9" i="1"/>
  <c r="J9" i="1"/>
  <c r="K9" i="1"/>
  <c r="W9" i="1"/>
  <c r="L9" i="1"/>
  <c r="U8" i="1"/>
  <c r="Q8" i="1"/>
  <c r="T8" i="1"/>
  <c r="J8" i="1"/>
  <c r="R8" i="1" s="1"/>
  <c r="V8" i="1" s="1"/>
  <c r="K8" i="1"/>
  <c r="W8" i="1"/>
  <c r="L8" i="1"/>
  <c r="S8" i="1" s="1"/>
  <c r="Q7" i="1"/>
  <c r="T7" i="1"/>
  <c r="U7" i="1"/>
  <c r="J7" i="1"/>
  <c r="R7" i="1" s="1"/>
  <c r="V7" i="1" s="1"/>
  <c r="K7" i="1"/>
  <c r="L7" i="1"/>
  <c r="S7" i="1" s="1"/>
  <c r="W7" i="1"/>
  <c r="U6" i="1"/>
  <c r="S6" i="1"/>
  <c r="Q6" i="1"/>
  <c r="T6" i="1"/>
  <c r="J6" i="1"/>
  <c r="R6" i="1" s="1"/>
  <c r="V6" i="1" s="1"/>
  <c r="K6" i="1"/>
  <c r="W6" i="1"/>
  <c r="L6" i="1"/>
  <c r="Q5" i="1"/>
  <c r="U5" i="1"/>
  <c r="T5" i="1"/>
  <c r="J5" i="1"/>
  <c r="R5" i="1" s="1"/>
  <c r="K5" i="1"/>
  <c r="L5" i="1"/>
  <c r="S5" i="1" s="1"/>
  <c r="W5" i="1"/>
  <c r="S4" i="1"/>
  <c r="V4" i="1"/>
  <c r="Q4" i="1"/>
  <c r="T4" i="1"/>
  <c r="R4" i="1"/>
  <c r="U4" i="1"/>
  <c r="J4" i="1"/>
  <c r="K4" i="1"/>
  <c r="L4" i="1"/>
  <c r="W4" i="1"/>
  <c r="D64" i="1"/>
  <c r="D65" i="1"/>
  <c r="E66" i="1"/>
  <c r="E65" i="1"/>
  <c r="D66" i="1"/>
  <c r="E64" i="1"/>
  <c r="X60" i="1" l="1"/>
  <c r="P60" i="1"/>
  <c r="P59" i="1"/>
  <c r="X59" i="1"/>
  <c r="P58" i="1"/>
  <c r="X58" i="1"/>
  <c r="P57" i="1"/>
  <c r="X57" i="1"/>
  <c r="P56" i="1"/>
  <c r="X56" i="1"/>
  <c r="P55" i="1"/>
  <c r="X55" i="1"/>
  <c r="P54" i="1"/>
  <c r="X54" i="1"/>
  <c r="P53" i="1"/>
  <c r="X53" i="1"/>
  <c r="P52" i="1"/>
  <c r="X52" i="1"/>
  <c r="X51" i="1"/>
  <c r="P51" i="1"/>
  <c r="P50" i="1"/>
  <c r="X50" i="1"/>
  <c r="P49" i="1"/>
  <c r="X49" i="1"/>
  <c r="X48" i="1"/>
  <c r="P48" i="1"/>
  <c r="P47" i="1"/>
  <c r="X47" i="1"/>
  <c r="P46" i="1"/>
  <c r="X46" i="1"/>
  <c r="P45" i="1"/>
  <c r="X45" i="1"/>
  <c r="P44" i="1"/>
  <c r="X44" i="1"/>
  <c r="P43" i="1"/>
  <c r="X43" i="1"/>
  <c r="P42" i="1"/>
  <c r="X42" i="1"/>
  <c r="P41" i="1"/>
  <c r="X41" i="1"/>
  <c r="P40" i="1"/>
  <c r="X40" i="1"/>
  <c r="X39" i="1"/>
  <c r="P39" i="1"/>
  <c r="P38" i="1"/>
  <c r="X38" i="1"/>
  <c r="P37" i="1"/>
  <c r="X37" i="1"/>
  <c r="P36" i="1"/>
  <c r="X36" i="1"/>
  <c r="P35" i="1"/>
  <c r="X35" i="1"/>
  <c r="P34" i="1"/>
  <c r="X34" i="1"/>
  <c r="P33" i="1"/>
  <c r="X33" i="1"/>
  <c r="P32" i="1"/>
  <c r="X32" i="1"/>
  <c r="P31" i="1"/>
  <c r="X31" i="1"/>
  <c r="P30" i="1"/>
  <c r="X30" i="1"/>
  <c r="P29" i="1"/>
  <c r="X29" i="1"/>
  <c r="P28" i="1"/>
  <c r="X28" i="1"/>
  <c r="P27" i="1"/>
  <c r="X27" i="1"/>
  <c r="P26" i="1"/>
  <c r="X26" i="1"/>
  <c r="X25" i="1"/>
  <c r="P25" i="1"/>
  <c r="P24" i="1"/>
  <c r="X24" i="1"/>
  <c r="P23" i="1"/>
  <c r="X23" i="1"/>
  <c r="P22" i="1"/>
  <c r="X22" i="1"/>
  <c r="P21" i="1"/>
  <c r="X21" i="1"/>
  <c r="P20" i="1"/>
  <c r="X20" i="1"/>
  <c r="P19" i="1"/>
  <c r="X19" i="1"/>
  <c r="P18" i="1"/>
  <c r="X18" i="1"/>
  <c r="P17" i="1"/>
  <c r="X17" i="1"/>
  <c r="X16" i="1"/>
  <c r="P16" i="1"/>
  <c r="P15" i="1"/>
  <c r="X15" i="1"/>
  <c r="P14" i="1"/>
  <c r="X14" i="1"/>
  <c r="P13" i="1"/>
  <c r="X13" i="1"/>
  <c r="X12" i="1"/>
  <c r="P12" i="1"/>
  <c r="P11" i="1"/>
  <c r="X11" i="1"/>
  <c r="P10" i="1"/>
  <c r="I66" i="1" s="1"/>
  <c r="N66" i="1" s="1"/>
  <c r="O66" i="1" s="1"/>
  <c r="X10" i="1"/>
  <c r="X9" i="1"/>
  <c r="P9" i="1"/>
  <c r="P8" i="1"/>
  <c r="X8" i="1"/>
  <c r="X7" i="1"/>
  <c r="P7" i="1"/>
  <c r="X6" i="1"/>
  <c r="P6" i="1"/>
  <c r="X5" i="1"/>
  <c r="P5" i="1"/>
  <c r="I64" i="1" s="1"/>
  <c r="N64" i="1" s="1"/>
  <c r="O64" i="1" s="1"/>
  <c r="X4" i="1"/>
  <c r="P4" i="1"/>
  <c r="C101" i="1"/>
  <c r="D67" i="1" s="1"/>
  <c r="I67" i="1" s="1"/>
  <c r="N67" i="1" s="1"/>
  <c r="O67" i="1" s="1"/>
  <c r="V58" i="1"/>
  <c r="V57" i="1"/>
  <c r="V54" i="1"/>
  <c r="V53" i="1"/>
  <c r="V31" i="1"/>
  <c r="V10" i="1"/>
  <c r="V5" i="1"/>
  <c r="V49" i="1"/>
  <c r="V46" i="1"/>
  <c r="I65" i="1" l="1"/>
  <c r="N65" i="1" s="1"/>
  <c r="O65" i="1" s="1"/>
  <c r="C74" i="1"/>
  <c r="C72" i="1"/>
  <c r="C73" i="1"/>
  <c r="D72" i="1"/>
  <c r="D73" i="1"/>
  <c r="D75" i="1"/>
  <c r="D74" i="1"/>
  <c r="C76" i="1" l="1"/>
  <c r="D76" i="1"/>
</calcChain>
</file>

<file path=xl/sharedStrings.xml><?xml version="1.0" encoding="utf-8"?>
<sst xmlns="http://schemas.openxmlformats.org/spreadsheetml/2006/main" count="190" uniqueCount="113">
  <si>
    <t>Risk of bias and certainty of evidence — included studies</t>
  </si>
  <si>
    <t>QUIPS domains</t>
  </si>
  <si>
    <t>PROBAST domains (model studies)</t>
  </si>
  <si>
    <t>Helper columns (parsing)</t>
  </si>
  <si>
    <t>#</t>
  </si>
  <si>
    <t>Study</t>
  </si>
  <si>
    <t>Biomarker</t>
  </si>
  <si>
    <t>Category</t>
  </si>
  <si>
    <t>Platform / omics</t>
  </si>
  <si>
    <t>N (as reported)</t>
  </si>
  <si>
    <t>Model type</t>
  </si>
  <si>
    <t>Multivariable adjustment</t>
  </si>
  <si>
    <t>Validation</t>
  </si>
  <si>
    <t>D1 Participation</t>
  </si>
  <si>
    <t>D2 Attrition</t>
  </si>
  <si>
    <t>D3 PF measurement</t>
  </si>
  <si>
    <t>D4 Outcome measurement</t>
  </si>
  <si>
    <t>D5 Confounding</t>
  </si>
  <si>
    <t>D6 Analysis &amp; reporting</t>
  </si>
  <si>
    <t>QUIPS overall</t>
  </si>
  <si>
    <t>PROBAST applicable</t>
  </si>
  <si>
    <t>P1 Participants</t>
  </si>
  <si>
    <t>P2 Predictors</t>
  </si>
  <si>
    <t>P3 Outcome</t>
  </si>
  <si>
    <t>P4 Analysis</t>
  </si>
  <si>
    <t>PROBAST overall</t>
  </si>
  <si>
    <t>Applicability</t>
  </si>
  <si>
    <t>Domains driving a High rating</t>
  </si>
  <si>
    <t>N parsed</t>
  </si>
  <si>
    <t>Validation class</t>
  </si>
  <si>
    <t>Model study (1/0)</t>
  </si>
  <si>
    <t>N text cleaned</t>
  </si>
  <si>
    <t>Evidence stream</t>
  </si>
  <si>
    <t>Section 2 — GRADE certainty of evidence, by evidence stream</t>
  </si>
  <si>
    <t>Outcome</t>
  </si>
  <si>
    <t>No. of studies</t>
  </si>
  <si>
    <t>No. of patients (sum of reported N)</t>
  </si>
  <si>
    <t>Study design</t>
  </si>
  <si>
    <t>Starting certainty</t>
  </si>
  <si>
    <t>Risk of bias</t>
  </si>
  <si>
    <t>Inconsistency</t>
  </si>
  <si>
    <t>Indirectness</t>
  </si>
  <si>
    <t>Imprecision</t>
  </si>
  <si>
    <t>Publication bias</t>
  </si>
  <si>
    <t>Total downgrades</t>
  </si>
  <si>
    <t>Certainty of evidence</t>
  </si>
  <si>
    <t>Rationale for the judgements</t>
  </si>
  <si>
    <t>Multi-gene / multi-protein signatures</t>
  </si>
  <si>
    <t>Overall survival</t>
  </si>
  <si>
    <t>Retrospective cohort / secondary analysis of public multi-omics cohorts</t>
  </si>
  <si>
    <t>High (prognostic-factor cohort evidence)</t>
  </si>
  <si>
    <t>Risk of bias: derived from the QUIPS overall ratings of the studies in this stream (Section 1). Inconsistency: signatures share almost no constituent genes, effect sizes are reported on non-comparable risk-score scales and no quantitative pooling was possible. Indirectness: not downgraded — indirectness is judged on the population and the test assessed: all studies in this stream enrolled patients with PDAC and evaluated the tumour biomarker as a prognostic test against a survival outcome, matching the review question (whether the marker is single- or multi-gene, or the assay platform, is not treated as indirectness). Imprecision: hazard ratios frequently reported without confidence intervals, and validation cohorts are typically &lt;200 patients with few events. Publication bias: no protocol or registration, no funnel-plot or small-study assessment, and the signature-development literature strongly selects for positive discrimination.</t>
  </si>
  <si>
    <t>Single-gene / single-protein markers</t>
  </si>
  <si>
    <t>Retrospective cohort / single-centre IHC or expression cohorts with public-data corroboration</t>
  </si>
  <si>
    <t>Risk of bias: from the QUIPS overall ratings of the 10 studies in this stream (UFM1, MCMBP, PLAAT2, LY6D, SERPINE1, KRAS, RAD51AP1, PAUF, TIPARP, ANP32E) — 8 of the 10 are High (only UFM1 and TIPARP are Moderate), so the stream is downgraded two levels. Inconsistency: each marker is reported by a single study, no marker has been independently replicated and the effects are expressed on non-comparable expression scales. Indirectness: not downgraded — indirectness is judged on the population and the test assessed: all studies in this stream enrolled patients with PDAC and evaluated the tumour biomarker as a prognostic test against a survival outcome, matching the review question (whether the marker is single- or multi-gene, or the assay platform, is not treated as indirectness). Imprecision: only four of the 10 studies report an analysed patient total (n = 75–178); the others report multi-cohort or small validation series, hazard ratios are given without consistent confidence intervals and cut-points are data-derived. Publication bias: single reports of positive associations, no replication and no protocol.</t>
  </si>
  <si>
    <t>Pathway, epigenetic, multi-modal &amp; histopathologic markers</t>
  </si>
  <si>
    <t>Overall survival / cancer-specific survival</t>
  </si>
  <si>
    <t>Retrospective cohort / secondary analysis of public multi-omics cohorts, with IHC or experimental corroboration</t>
  </si>
  <si>
    <t>Risk of bias: from the QUIPS overall ratings in this stream (Yu 2025 APOBEC mutagenesis score, Yang 2025 JUP / FOXM1–JUP axis) — both are High, so the stream is downgraded two levels. (Yamazaki 2026, MEG3 methylation + F11R, was removed at revision: its independent result is for a composite that includes a DNA-methylation marker, outside the transcriptomic/proteomic scope.) Inconsistency: heterogeneous marker constructs (a mutational-process score and an EMT transcriptional axis) that cannot be compared or pooled. Indirectness: not downgraded — indirectness is judged on the population and the test assessed: all studies in this stream enrolled patients with PDAC and evaluated the tumour biomarker as a prognostic test against a survival outcome, matching the review question (whether the marker is single- or multi-gene, or the assay platform, is not treated as indirectness). Imprecision: small cohorts (n = 25 for the IHC series and approximately 170–180 for the other) with few events and data-derived cut-points. Publication bias: exploratory single-cohort reports, no protocol or registration.</t>
  </si>
  <si>
    <t>Registered therapeutic trials (contextual)</t>
  </si>
  <si>
    <t>Overall survival / progression-free survival</t>
  </si>
  <si>
    <t>Interventional trials: 11 single-arm / non-randomised, 3 randomised (1 double-blind)</t>
  </si>
  <si>
    <t>High (randomised trials) / Low (single-arm)</t>
  </si>
  <si>
    <t>Included for context only; this stream does not address the review's prognostic-biomarker question. Risk of bias: 11 of 14 records are single-arm trials rated Critical under ROBINS-I and one randomised trial is High under RoB 2. Inconsistency: 13 different regimens across resectable, locally advanced and metastatic populations, with no replicated comparison. Indirectness: downgraded twice — the population, intervention and outcome address therapeutic efficacy, not the prognostic value of a molecular marker; only four records report any tumour-marker or SMAD4 data and none analyse it as a prognostic factor. Imprecision: median n = 37 excluding the two largest trials, with time-point proportions rather than hazard ratios reported for most primary endpoints. Publication bias: registry-sourced records with selective and in several cases internally inconsistent results reporting.</t>
  </si>
  <si>
    <t>Downgrade codes: 0 = not serious; –1 = serious (one level); –2 = very serious (two levels). Certainty = High with no downgrades, Moderate at –1, Low at –2, Very low at –3 or more. Risk-of-bias downgrades are calculated from the Section 1 QUIPS overall ratings; the remaining four domains are reviewer judgements (blue) with the reasoning recorded in the Rationale column.</t>
  </si>
  <si>
    <t>Reviewer verification: all QUIPS, PROBAST, ROBINS-I, RoB 2 and GRADE judgements on this sheet were checked by Vassiliki Tarara and Evangelos Karamitrousis (recorded 2026-09-29). Indirectness revised 2026-09-29: judged on population and test assessed, not on single- vs multi-gene marker type. PROBAST ratings use the official terms Low / High / Unclear.</t>
  </si>
  <si>
    <t>Section 3 — Risk-of-bias distribution (summary for the manuscript text and figure)</t>
  </si>
  <si>
    <t>Rating</t>
  </si>
  <si>
    <t>QUIPS overall (all 57 studies)</t>
  </si>
  <si>
    <t>PROBAST overall (model studies only; Low / High / Unclear)</t>
  </si>
  <si>
    <t>Low risk of bias</t>
  </si>
  <si>
    <t>Moderate (QUIPS) / Unclear (PROBAST) risk of bias</t>
  </si>
  <si>
    <t>High risk of bias</t>
  </si>
  <si>
    <t>Not applicable (no model developed)</t>
  </si>
  <si>
    <t>–</t>
  </si>
  <si>
    <t>Total</t>
  </si>
  <si>
    <t>Section 4 — Registered therapeutic trials from ClinicalTrials.gov (n = 14): risk of bias</t>
  </si>
  <si>
    <t>These 14 records are interventional treatment trials, not prognostic-factor or prognostic-model studies, so QUIPS and PROBAST do not apply. Randomised trials are appraised with Cochrane RoB 2 (Low / Some concerns / High) and non-randomised or single-arm trials with ROBINS-I (Low / Moderate / Serious / Critical). Single-arm trials are rated Critical for the confounding domain by design: with no comparator, a comparative effect estimate is not assessable. Domain judgements are reviewer inputs (blue); the tool, comparator status and overall rating are calculated.</t>
  </si>
  <si>
    <t>NCT number</t>
  </si>
  <si>
    <t>Design</t>
  </si>
  <si>
    <t>Intervention</t>
  </si>
  <si>
    <t>Stage</t>
  </si>
  <si>
    <t>Primary outcome</t>
  </si>
  <si>
    <t>Result for primary outcome</t>
  </si>
  <si>
    <t>Appraisal tool</t>
  </si>
  <si>
    <t>D1 Confounding / randomisation</t>
  </si>
  <si>
    <t>D2 Deviations / classification</t>
  </si>
  <si>
    <t>D3 Missing data</t>
  </si>
  <si>
    <t>D5 Selection of reported result</t>
  </si>
  <si>
    <t>Overall risk of bias</t>
  </si>
  <si>
    <t>Comparator</t>
  </si>
  <si>
    <t>Relevance to the review question</t>
  </si>
  <si>
    <t>Registry / reporting limitations</t>
  </si>
  <si>
    <t>N analysed</t>
  </si>
  <si>
    <t>Critical</t>
  </si>
  <si>
    <t>Serious</t>
  </si>
  <si>
    <t>Moderate</t>
  </si>
  <si>
    <t>Partial — a biomarker completion endpoint is reported, but no prognostic-biomarker analysis</t>
  </si>
  <si>
    <t>Partial — CEA / CA19-9 change reported; not analysed as a prognostic factor</t>
  </si>
  <si>
    <t>Some concerns</t>
  </si>
  <si>
    <t>High</t>
  </si>
  <si>
    <t>Indirect — therapeutic efficacy only</t>
  </si>
  <si>
    <t>Indirect — IGF-1R–targeted agent; biomarker correlation data not reported</t>
  </si>
  <si>
    <t>Partial — CA19-9 decline reported; not analysed as a prognostic factor</t>
  </si>
  <si>
    <t>Low</t>
  </si>
  <si>
    <t>Partial — SMAD4 status reported before and after treatment</t>
  </si>
  <si>
    <t>Indirect — therapeutic efficacy and toxicity only</t>
  </si>
  <si>
    <t>Overall risk of bias — ClinicalTrials.gov records</t>
  </si>
  <si>
    <t>Critical (ROBINS-I)</t>
  </si>
  <si>
    <t>High (RoB 2)</t>
  </si>
  <si>
    <t>Some concerns (RoB 2)</t>
  </si>
  <si>
    <t>Total records</t>
  </si>
  <si>
    <t>Total patients (analysed, as reported)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</si>
</sst>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–0;\–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1F4E5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008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1F4E5F"/>
      <name val="Calibri"/>
      <family val="2"/>
      <scheme val="minor"/>
    </font>
    <font>
      <sz val="10"/>
      <color rgb="FF0000FF"/>
      <name val="Calibri"/>
      <family val="2"/>
      <scheme val="minor"/>
    </font>
    <font>
      <i/>
      <sz val="10"/>
      <color rgb="FF555555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CE9EF"/>
        <bgColor indexed="64"/>
      </patternFill>
    </fill>
    <fill>
      <patternFill patternType="solid">
        <fgColor rgb="FFE8E2D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1F4E5F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5" borderId="0" xfId="0" applyFont="1" applyFill="1" applyAlignment="1">
      <alignment wrapText="1"/>
    </xf>
    <xf numFmtId="0" fontId="3" fillId="6" borderId="0" xfId="0" applyFont="1" applyFill="1" applyAlignment="1">
      <alignment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0" fontId="7" fillId="0" borderId="0" xfId="0" applyFont="1"/>
    <xf numFmtId="0" fontId="3" fillId="5" borderId="0" xfId="0" applyFont="1" applyFill="1" applyAlignment="1">
      <alignment wrapText="1"/>
    </xf>
    <xf numFmtId="0" fontId="6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164" fontId="5" fillId="0" borderId="0" xfId="0" applyNumberFormat="1" applyFont="1" applyAlignment="1">
      <alignment horizontal="center" vertical="top" wrapText="1"/>
    </xf>
    <xf numFmtId="164" fontId="8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wrapText="1"/>
    </xf>
    <xf numFmtId="0" fontId="0" fillId="0" borderId="0" xfId="0"/>
    <xf numFmtId="0" fontId="10" fillId="0" borderId="0" xfId="0" applyFont="1"/>
    <xf numFmtId="0" fontId="5" fillId="7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5" fillId="8" borderId="0" xfId="0" applyFont="1" applyFill="1"/>
    <xf numFmtId="0" fontId="5" fillId="9" borderId="0" xfId="0" applyFont="1" applyFill="1"/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5" fillId="0" borderId="0" xfId="0" applyFont="1"/>
  </cellXfs>
  <cellStyles count="1">
    <cellStyle name="Normal" xfId="0" builtinId="0"/>
  </cellStyles>
  <dxfs count="18">
    <dxf>
      <font>
        <color rgb="FF843C0C"/>
      </font>
      <fill>
        <patternFill patternType="solid">
          <fgColor indexed="64"/>
          <bgColor rgb="FFF8CBAD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7B1F1F"/>
      </font>
      <fill>
        <patternFill patternType="solid">
          <fgColor indexed="64"/>
          <bgColor rgb="FFE8A0A0"/>
        </patternFill>
      </fill>
    </dxf>
    <dxf>
      <font>
        <color rgb="FF843C0C"/>
      </font>
      <fill>
        <patternFill patternType="solid">
          <fgColor indexed="64"/>
          <bgColor rgb="FFF8CBAD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7B1F1F"/>
      </font>
      <fill>
        <patternFill patternType="solid">
          <fgColor indexed="64"/>
          <bgColor rgb="FFE8A0A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843C0C"/>
      </font>
      <fill>
        <patternFill patternType="solid">
          <fgColor indexed="64"/>
          <bgColor rgb="FFF8CBAD"/>
        </patternFill>
      </fill>
    </dxf>
    <dxf>
      <font>
        <color rgb="FF843C0C"/>
      </font>
      <fill>
        <patternFill patternType="solid">
          <fgColor indexed="64"/>
          <bgColor rgb="FFF8CBAD"/>
        </patternFill>
      </fill>
    </dxf>
    <dxf>
      <font>
        <color rgb="FF7B1F1F"/>
      </font>
      <fill>
        <patternFill patternType="solid">
          <fgColor indexed="64"/>
          <bgColor rgb="FFE8A0A0"/>
        </patternFill>
      </fill>
    </dxf>
    <dxf>
      <font>
        <color rgb="FF7B1F1F"/>
      </font>
      <fill>
        <patternFill patternType="solid">
          <fgColor indexed="64"/>
          <bgColor rgb="FFE8A0A0"/>
        </patternFill>
      </fill>
    </dxf>
    <dxf>
      <font>
        <color rgb="FF375623"/>
      </font>
      <fill>
        <patternFill patternType="solid">
          <fgColor indexed="64"/>
          <bgColor rgb="FFC6E0B4"/>
        </patternFill>
      </fill>
    </dxf>
    <dxf>
      <font>
        <color rgb="FF7F6000"/>
      </font>
      <fill>
        <patternFill patternType="solid">
          <fgColor indexed="64"/>
          <bgColor rgb="FFFFE699"/>
        </patternFill>
      </fill>
    </dxf>
    <dxf>
      <font>
        <color rgb="FF843C0C"/>
      </font>
      <fill>
        <patternFill patternType="solid">
          <fgColor indexed="64"/>
          <bgColor rgb="FFF8CBA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2nd%20sub/126295-Supplementary%20Material.xlsm" TargetMode="External"/><Relationship Id="rId2" Type="http://schemas.openxmlformats.org/officeDocument/2006/relationships/externalLinkPath" Target="https://d.docs.live.net/ea5c81a0d8d8691c/Desktop/PhD_Med_Auth/publications%202026%20v2.0%20resubmissions/126295_v2.0_07092026/2nd%20sub/126295-Supplementary%20Material.xlsm" TargetMode="External"/><Relationship Id="rId1" Type="http://schemas.openxmlformats.org/officeDocument/2006/relationships/externalLinkPath" Target="/ea5c81a0d8d8691c/Desktop/PhD_Med_Auth/publications%202026%20v2.0%20resubmissions/126295_v2.0_07092026/2nd%20sub/126295-Supplementary%20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tro"/>
      <sheetName val="Search strategy"/>
      <sheetName val="PICOS"/>
      <sheetName val="Abstract review"/>
      <sheetName val="ctg-studies"/>
      <sheetName val="pubmed"/>
      <sheetName val="europepmc"/>
      <sheetName val="PRISMA"/>
      <sheetName val="Full-text screening-extraction"/>
      <sheetName val="Study decisions log"/>
      <sheetName val="RoB &amp; GRADE"/>
      <sheetName val="LAB data"/>
      <sheetName val="QUIPS appraisal frame"/>
      <sheetName val="PROBAST appraisal frame"/>
      <sheetName val="Data extraction"/>
      <sheetName val="Data extraction clinical.gov"/>
      <sheetName val="Model development"/>
      <sheetName val="tumor"/>
      <sheetName val="normal"/>
      <sheetName val="CPTAC_DE_all"/>
      <sheetName val="CPTAC_DE_significant"/>
      <sheetName val="Top_upregulated"/>
      <sheetName val="Top_downregulated"/>
      <sheetName val="GO_results"/>
      <sheetName val="GO_results_downregulated"/>
      <sheetName val="KEGG_results_all"/>
      <sheetName val="KEGG_results_downregulated"/>
      <sheetName val="TCGA_univariable_Cox"/>
      <sheetName val="TCGA_multivariable_Cox"/>
      <sheetName val="LASSO_selected_genes"/>
      <sheetName val="LASSO_patient_scores"/>
      <sheetName val="Initial_signature_scores"/>
      <sheetName val="Model_performance"/>
      <sheetName val="Model validation"/>
      <sheetName val="EXTERNAL VALIDATION "/>
      <sheetName val="cohort_summary"/>
      <sheetName val="GSE71729_validation_dataset"/>
      <sheetName val="signature_coefficients"/>
      <sheetName val="survival_results"/>
      <sheetName val="cox_univariable"/>
      <sheetName val="cox_median_split"/>
      <sheetName val="cox_multivariable"/>
      <sheetName val="km_medians"/>
      <sheetName val="logrank_test"/>
      <sheetName val="model_performance (2)"/>
      <sheetName val="signature_expression"/>
      <sheetName val="expression_wide"/>
      <sheetName val="expression_long"/>
      <sheetName val="DATA-3 review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2">
          <cell r="A2">
            <v>1</v>
          </cell>
          <cell r="B2" t="str">
            <v>Wang 2026</v>
          </cell>
          <cell r="C2" t="str">
            <v>UFM1</v>
          </cell>
          <cell r="D2" t="str">
            <v>Protein</v>
          </cell>
          <cell r="E2" t="str">
            <v>Proteomics</v>
          </cell>
          <cell r="F2">
            <v>101</v>
          </cell>
          <cell r="H2" t="str">
            <v>Single biomarker</v>
          </cell>
          <cell r="I2" t="str">
            <v>yes</v>
          </cell>
          <cell r="J2" t="str">
            <v>yes (internal independent cohort)</v>
          </cell>
          <cell r="K2" t="str">
            <v>High UFM1 → worse OS (HR 0.30) &amp; PFS</v>
          </cell>
        </row>
        <row r="3">
          <cell r="A3">
            <v>2</v>
          </cell>
          <cell r="B3" t="str">
            <v>Wang 2026</v>
          </cell>
          <cell r="C3" t="str">
            <v>9-gene signature (TP53, EP300, PIAS1 etc.)</v>
          </cell>
          <cell r="D3" t="str">
            <v>Multi-gene</v>
          </cell>
          <cell r="E3" t="str">
            <v>Transcriptomics (scRNA + bulk)</v>
          </cell>
          <cell r="F3" t="str">
            <v>NR</v>
          </cell>
          <cell r="H3" t="str">
            <v>Risk score model</v>
          </cell>
          <cell r="I3" t="str">
            <v>yes (LASSO)</v>
          </cell>
          <cell r="J3" t="str">
            <v>yes (ICGC + experimental)</v>
          </cell>
          <cell r="K3" t="str">
            <v>High-risk → worse OS</v>
          </cell>
        </row>
        <row r="4">
          <cell r="A4">
            <v>3</v>
          </cell>
          <cell r="B4" t="str">
            <v>Li 2026</v>
          </cell>
          <cell r="C4" t="str">
            <v>3-gene MRS (CAT, CEBPB, PRKN)</v>
          </cell>
          <cell r="D4" t="str">
            <v>Multi-gene</v>
          </cell>
          <cell r="E4" t="str">
            <v>Transcriptomics + proteomics</v>
          </cell>
          <cell r="F4" t="str">
            <v>177 + external</v>
          </cell>
          <cell r="H4" t="str">
            <v>ML risk score</v>
          </cell>
          <cell r="I4" t="str">
            <v>yes</v>
          </cell>
          <cell r="J4" t="str">
            <v>✔✔ (GEO + CPTAC)</v>
          </cell>
          <cell r="K4" t="str">
            <v>High-MRS → worse OS</v>
          </cell>
        </row>
        <row r="5">
          <cell r="A5">
            <v>4</v>
          </cell>
          <cell r="B5" t="str">
            <v>Ge 2026</v>
          </cell>
          <cell r="C5" t="str">
            <v>LMRGS (lactate metabolism gene signature)</v>
          </cell>
          <cell r="D5" t="str">
            <v>Multi-gene ML signature</v>
          </cell>
          <cell r="E5" t="str">
            <v>Transcriptomics + ML</v>
          </cell>
          <cell r="F5" t="str">
            <v>Multi-cohort</v>
          </cell>
          <cell r="H5" t="str">
            <v>ML + Cox model</v>
          </cell>
          <cell r="I5" t="str">
            <v>yes</v>
          </cell>
          <cell r="J5" t="str">
            <v>✔✔ multi-cohort</v>
          </cell>
          <cell r="K5" t="str">
            <v>Risk score predicts OS &amp; immune suppression</v>
          </cell>
        </row>
        <row r="6">
          <cell r="A6">
            <v>5</v>
          </cell>
          <cell r="B6" t="str">
            <v>Zhou 2025</v>
          </cell>
          <cell r="C6" t="str">
            <v>6-gene PCLM-BM signature (COL7A1, ITGA6, ITGA7, ITGB5, ITGB7, NTN4)</v>
          </cell>
          <cell r="D6" t="str">
            <v>Multi-gene (metastasis/BM)</v>
          </cell>
          <cell r="E6" t="str">
            <v>Transcriptomics + scRNA</v>
          </cell>
          <cell r="F6" t="str">
            <v>~433</v>
          </cell>
          <cell r="H6" t="str">
            <v>LASSO + RSF + Cox</v>
          </cell>
          <cell r="I6" t="str">
            <v>yes</v>
          </cell>
          <cell r="J6" t="str">
            <v>✔ external (ICGC)</v>
          </cell>
          <cell r="K6" t="str">
            <v>Risk score predicts OS</v>
          </cell>
        </row>
        <row r="7">
          <cell r="A7">
            <v>6</v>
          </cell>
          <cell r="B7" t="str">
            <v>Zhang 2025</v>
          </cell>
          <cell r="C7" t="str">
            <v>MCMBP</v>
          </cell>
          <cell r="D7" t="str">
            <v>Single-gene (immune/proliferation)</v>
          </cell>
          <cell r="E7" t="str">
            <v>Multi-omics</v>
          </cell>
          <cell r="F7" t="str">
            <v>Multi-cohort</v>
          </cell>
          <cell r="H7" t="str">
            <v>Cox + multi-omics</v>
          </cell>
          <cell r="I7" t="str">
            <v>yes</v>
          </cell>
          <cell r="J7" t="str">
            <v>✔ (TCGA + CPTAC + IHC)</v>
          </cell>
          <cell r="K7" t="str">
            <v>Independent OS predictor</v>
          </cell>
        </row>
        <row r="8">
          <cell r="A8">
            <v>7</v>
          </cell>
          <cell r="B8" t="str">
            <v>Yu 2025</v>
          </cell>
          <cell r="C8" t="str">
            <v>APOBEC mutagenesis score (AMrs)</v>
          </cell>
          <cell r="D8" t="str">
            <v>Genomic instability / mutational processes</v>
          </cell>
          <cell r="E8" t="str">
            <v>RNA-seq + WES + scRNA</v>
          </cell>
          <cell r="F8" t="str">
            <v>~170–180</v>
          </cell>
          <cell r="H8" t="str">
            <v>LASSO + Cox</v>
          </cell>
          <cell r="I8" t="str">
            <v>yes</v>
          </cell>
          <cell r="J8" t="str">
            <v>✔ external + experimental</v>
          </cell>
          <cell r="K8" t="str">
            <v>High AMrs → worse OS</v>
          </cell>
        </row>
        <row r="9">
          <cell r="A9">
            <v>8</v>
          </cell>
          <cell r="B9" t="str">
            <v>Yang 2025</v>
          </cell>
          <cell r="C9" t="str">
            <v>JUP / FOXM1–JUP axis</v>
          </cell>
          <cell r="D9" t="str">
            <v>Transcriptional / EMT</v>
          </cell>
          <cell r="E9" t="str">
            <v>Multi-omics + experimental</v>
          </cell>
          <cell r="F9" t="str">
            <v>25 (IHC)</v>
          </cell>
          <cell r="H9" t="str">
            <v>Cox + functional</v>
          </cell>
          <cell r="I9" t="str">
            <v>yes</v>
          </cell>
          <cell r="J9" t="str">
            <v>⚠ no external</v>
          </cell>
          <cell r="K9" t="str">
            <v>JUP → worse OS</v>
          </cell>
        </row>
        <row r="10">
          <cell r="A10">
            <v>9</v>
          </cell>
          <cell r="B10" t="str">
            <v>Xiong 2025</v>
          </cell>
          <cell r="C10" t="str">
            <v>12-gene manganese metabolism signature (NPPA, KYNU, ITGB6, etc.)</v>
          </cell>
          <cell r="D10" t="str">
            <v>Multi-gene (metabolism-related)</v>
          </cell>
          <cell r="E10" t="str">
            <v>Transcriptomics (bulk RNA-seq + microarray)</v>
          </cell>
          <cell r="F10" t="str">
            <v>176 (TCGA) + 107 (GEO)</v>
          </cell>
          <cell r="H10" t="str">
            <v>Risk score model</v>
          </cell>
          <cell r="I10" t="str">
            <v>yes (clinical covariates)</v>
          </cell>
          <cell r="J10" t="str">
            <v>yes (external GEO)</v>
          </cell>
          <cell r="K10" t="str">
            <v>High-risk → worse OS</v>
          </cell>
        </row>
        <row r="11">
          <cell r="A11">
            <v>10</v>
          </cell>
          <cell r="B11" t="str">
            <v>Wu 2025</v>
          </cell>
          <cell r="C11" t="str">
            <v>ALDH family (ALDH1L1, ALDH3A1, ALDH3B1, ALDH5A1)</v>
          </cell>
          <cell r="D11" t="str">
            <v>Multi-gene (family-based biomarkers)</v>
          </cell>
          <cell r="E11" t="str">
            <v>Transcriptomics (+ single-cell &amp; protein validation)</v>
          </cell>
          <cell r="F11">
            <v>179</v>
          </cell>
          <cell r="H11" t="str">
            <v>Multiple single biomarkers</v>
          </cell>
          <cell r="I11" t="str">
            <v>yes (unclear covariates)</v>
          </cell>
          <cell r="J11" t="str">
            <v>partial (internal + biological)</v>
          </cell>
          <cell r="K11" t="str">
            <v>High ALDH3A1/3B1 &amp; low ALDH5A1 → worse OS</v>
          </cell>
        </row>
        <row r="12">
          <cell r="A12">
            <v>11</v>
          </cell>
          <cell r="B12" t="str">
            <v>Wang 2025</v>
          </cell>
          <cell r="C12" t="str">
            <v>EFFscore (ADAM9, P2RY6, CD36); P2RY6</v>
          </cell>
          <cell r="D12" t="str">
            <v>Multi-gene (immune/efferocytosis-related signature)</v>
          </cell>
          <cell r="E12" t="str">
            <v>Multi-omics (bulk RNA-seq + scRNA-seq + protein validation)</v>
          </cell>
          <cell r="F12" t="str">
            <v>178 (TCGA) + 199 (GEO) + 81 (tissue cohort)</v>
          </cell>
          <cell r="H12" t="str">
            <v>Risk score model + single biomarker</v>
          </cell>
          <cell r="I12" t="str">
            <v>yes (clinical covariates)</v>
          </cell>
          <cell r="J12" t="str">
            <v>yes (external GEO + clinical cohort + experimental)</v>
          </cell>
          <cell r="K12" t="str">
            <v>High EFFscore &amp; P2RY6 → worse OS; immune suppression phenotype</v>
          </cell>
        </row>
        <row r="13">
          <cell r="A13">
            <v>12</v>
          </cell>
          <cell r="B13" t="str">
            <v>Wang 2025</v>
          </cell>
          <cell r="C13" t="str">
            <v>7-gene mCAF-related signature (USP36, KLF5, MT2A, etc.); PHLDA1</v>
          </cell>
          <cell r="D13" t="str">
            <v>Multi-gene (TME/CAF-related signature)</v>
          </cell>
          <cell r="E13" t="str">
            <v>Multi-omics (bulk + scRNA-seq + spatial transcriptomics + protein validation)</v>
          </cell>
          <cell r="F13" t="str">
            <v>176 (TCGA) + multi GEO cohorts + clinical samples</v>
          </cell>
          <cell r="H13" t="str">
            <v>Risk score model + single biomarker</v>
          </cell>
          <cell r="I13" t="str">
            <v>yes (unclear covariates)</v>
          </cell>
          <cell r="J13" t="str">
            <v>yes (multi-cohort + immunotherapy cohorts + experimental)</v>
          </cell>
          <cell r="K13" t="str">
            <v>High-risk &amp; PHLDA1+ CAFs → worse OS; immunosuppressive TME</v>
          </cell>
        </row>
        <row r="14">
          <cell r="A14">
            <v>13</v>
          </cell>
          <cell r="B14" t="str">
            <v>Wang 2025</v>
          </cell>
          <cell r="C14" t="str">
            <v>18-gene immune-related signature; IL6R</v>
          </cell>
          <cell r="D14" t="str">
            <v>Multi-gene (immune-related signature + nomogram)</v>
          </cell>
          <cell r="E14" t="str">
            <v>Transcriptomics (bulk RNA-seq)</v>
          </cell>
          <cell r="F14" t="str">
            <v>172 (TCGA) + 113 (ICGC)</v>
          </cell>
          <cell r="H14" t="str">
            <v>Risk score model + nomogram</v>
          </cell>
          <cell r="I14" t="str">
            <v>yes (clinical covariates)</v>
          </cell>
          <cell r="J14" t="str">
            <v>yes (external ICGC + local cohort)</v>
          </cell>
          <cell r="K14" t="str">
            <v>High-risk → worse OS; IL6R protective; model outperforms TNM</v>
          </cell>
        </row>
        <row r="15">
          <cell r="A15">
            <v>14</v>
          </cell>
          <cell r="B15" t="str">
            <v>Wang 2025</v>
          </cell>
          <cell r="C15" t="str">
            <v>6-gene programmed cell death (PCD) signature (ITGA3, CDCP1, IL1RAP, etc.)</v>
          </cell>
          <cell r="D15" t="str">
            <v>Multi-gene (PCD-related signature; ML-based)</v>
          </cell>
          <cell r="E15" t="str">
            <v>Transcriptomics (bulk RNA-seq + microarray)</v>
          </cell>
          <cell r="F15" t="str">
            <v>183 (TCGA) + ~828 (GEO/ICGC)</v>
          </cell>
          <cell r="H15" t="str">
            <v>Risk score model (ML-based)</v>
          </cell>
          <cell r="I15" t="str">
            <v>yes (clinical covariates)</v>
          </cell>
          <cell r="J15" t="str">
            <v>yes (multi-cohort external + qRT-PCR)</v>
          </cell>
          <cell r="K15" t="str">
            <v>High-risk → worse OS; immune infiltration differences</v>
          </cell>
        </row>
        <row r="16">
          <cell r="A16">
            <v>15</v>
          </cell>
          <cell r="B16" t="str">
            <v>Ma 2025</v>
          </cell>
          <cell r="C16" t="str">
            <v>11-gene ICD-related signature; AJM1</v>
          </cell>
          <cell r="D16" t="str">
            <v>Multi-gene (immune/ICD-related signature)</v>
          </cell>
          <cell r="E16" t="str">
            <v>Transcriptomics (bulk RNA-seq)</v>
          </cell>
          <cell r="F16" t="str">
            <v>176 (TCGA) + 63 (GEO) + 33 (internal)</v>
          </cell>
          <cell r="H16" t="str">
            <v>Risk score model (WGCNA + LASSO)</v>
          </cell>
          <cell r="I16" t="str">
            <v>yes (clinical covariates)</v>
          </cell>
          <cell r="J16" t="str">
            <v>yes (external GEO + internal + HPA + in vitro)</v>
          </cell>
          <cell r="K16" t="str">
            <v>High-risk → worse OS; AJM1 protective; immune suppression phenotype</v>
          </cell>
        </row>
        <row r="17">
          <cell r="A17">
            <v>16</v>
          </cell>
          <cell r="B17" t="str">
            <v>Liu 2025</v>
          </cell>
          <cell r="C17" t="str">
            <v>MDRG signature (incl. CITED4, CIRBP); CITED4</v>
          </cell>
          <cell r="D17" t="str">
            <v>Multi-gene (metastasis/TME-related signature)</v>
          </cell>
          <cell r="E17" t="str">
            <v>Multi-omics (snRNA-seq + spatial transcriptomics + bulk RNA-seq)</v>
          </cell>
          <cell r="F17" t="str">
            <v>TCGA + snRNA/ST cohorts (small)</v>
          </cell>
          <cell r="H17" t="str">
            <v>Risk score model + single biomarker</v>
          </cell>
          <cell r="I17" t="str">
            <v>yes (unclear covariates)</v>
          </cell>
          <cell r="J17" t="str">
            <v>partial (TCGA + experimental)</v>
          </cell>
          <cell r="K17" t="str">
            <v>High-risk → worse OS/DSS; CITED4 drives metastasis &amp; Treg-mediated immunosuppression</v>
          </cell>
        </row>
        <row r="18">
          <cell r="A18">
            <v>17</v>
          </cell>
          <cell r="B18" t="str">
            <v>Guan 2025</v>
          </cell>
          <cell r="C18" t="str">
            <v>IGFBP-based 8-gene signature (IGFBP1–7 axis; key gene IGFBP3)</v>
          </cell>
          <cell r="D18" t="str">
            <v>Multi-gene (immune–metabolic signature / subtype model)</v>
          </cell>
          <cell r="E18" t="str">
            <v>Multi-omics (bulk RNA-seq + scRNA + spatial + in vitro)</v>
          </cell>
          <cell r="F18">
            <v>309</v>
          </cell>
          <cell r="H18" t="str">
            <v>Risk score + subtype model</v>
          </cell>
          <cell r="I18" t="str">
            <v>yes</v>
          </cell>
          <cell r="J18" t="str">
            <v>yes (GSE62452)</v>
          </cell>
          <cell r="K18" t="str">
            <v>High-risk / subtype A → worse OS; IGFBP3 linked to immune exclusion</v>
          </cell>
        </row>
        <row r="19">
          <cell r="A19">
            <v>18</v>
          </cell>
          <cell r="B19" t="str">
            <v>Ge 2025</v>
          </cell>
          <cell r="C19" t="str">
            <v>A2ML1 + 23-gene signature (basal-like subtype model)</v>
          </cell>
          <cell r="D19" t="str">
            <v>Multi-gene (subtype + ML prognostic model)</v>
          </cell>
          <cell r="E19" t="str">
            <v>Multi-omics (mRNA + miRNA + lncRNA + methylation + scRNA + spatial)</v>
          </cell>
          <cell r="F19" t="str">
            <v>168 + multi-cohort</v>
          </cell>
          <cell r="H19" t="str">
            <v>ML risk model + subtype classification</v>
          </cell>
          <cell r="I19" t="str">
            <v>yes</v>
          </cell>
          <cell r="J19" t="str">
            <v>yes (12 external cohorts)</v>
          </cell>
          <cell r="K19" t="str">
            <v>Basal-like subtype → worse OS; A2ML1 drives EMT &amp; progression</v>
          </cell>
        </row>
        <row r="20">
          <cell r="A20">
            <v>19</v>
          </cell>
          <cell r="B20" t="str">
            <v>Ge 2025</v>
          </cell>
          <cell r="C20" t="str">
            <v>BM-related gene signature (LAMA3, ITGA3, ITGB6); SPP1+ TAMs</v>
          </cell>
          <cell r="D20" t="str">
            <v>Multi-gene (basement membrane-related signature; SPP1+ TAM / ITGB6 axis)</v>
          </cell>
          <cell r="E20" t="str">
            <v>Transcriptomics + scRNA-seq + experimental validation</v>
          </cell>
          <cell r="F20" t="str">
            <v>Not clearly reported</v>
          </cell>
          <cell r="H20" t="str">
            <v>Risk score model (LASSO + survival-SVM)</v>
          </cell>
          <cell r="I20" t="str">
            <v>yes (adjusted covariates not clearly reported)</v>
          </cell>
          <cell r="J20" t="str">
            <v>yes (multi-cohort TCGA + GEO + experimental validation of ITGB6)</v>
          </cell>
          <cell r="K20" t="str">
            <v>High BM-signature risk score associated with worse OS; SPP1+ TAMs promote progression via ITGB6-mediated interactions</v>
          </cell>
        </row>
        <row r="21">
          <cell r="A21">
            <v>20</v>
          </cell>
          <cell r="B21" t="str">
            <v>Gao 2025</v>
          </cell>
          <cell r="C21" t="str">
            <v>4-TF ER-stress signature (STAT1, IRF6, NRF1, RXRA)</v>
          </cell>
          <cell r="D21" t="str">
            <v>Multi-gene (transcription factor / pathway signature)</v>
          </cell>
          <cell r="E21" t="str">
            <v>Transcriptomics + experimental validation</v>
          </cell>
          <cell r="F21" t="str">
            <v>NR</v>
          </cell>
          <cell r="H21" t="str">
            <v>Risk score model</v>
          </cell>
          <cell r="I21" t="str">
            <v>yes</v>
          </cell>
          <cell r="J21" t="str">
            <v>yes (GEO + experimental)</v>
          </cell>
          <cell r="K21" t="str">
            <v>High-risk → worse OS; IRF6 regulates proliferation/apoptosis</v>
          </cell>
        </row>
        <row r="22">
          <cell r="A22">
            <v>21</v>
          </cell>
          <cell r="B22" t="str">
            <v>Chen 2025</v>
          </cell>
          <cell r="C22" t="str">
            <v>PLAAT2</v>
          </cell>
          <cell r="D22" t="str">
            <v>Single gene (metabolic / therapeutic biomarker)</v>
          </cell>
          <cell r="E22" t="str">
            <v>Transcriptomics + experimental</v>
          </cell>
          <cell r="F22" t="str">
            <v>TCGA + GEO + small cohort</v>
          </cell>
          <cell r="H22" t="str">
            <v>Single biomarker (+ signature secondary)</v>
          </cell>
          <cell r="I22" t="str">
            <v>yes</v>
          </cell>
          <cell r="J22" t="str">
            <v>yes (GEO + in vitro)</v>
          </cell>
          <cell r="K22" t="str">
            <v>High PLAAT2 → worse OS + chemoresistance (oxaliplatin)</v>
          </cell>
        </row>
        <row r="23">
          <cell r="A23">
            <v>22</v>
          </cell>
          <cell r="B23" t="str">
            <v>Shi 2026</v>
          </cell>
          <cell r="C23" t="str">
            <v>LY6D (stem-like gastric-like cell state marker)</v>
          </cell>
          <cell r="D23" t="str">
            <v>Single gene</v>
          </cell>
          <cell r="E23" t="str">
            <v>Single-cell transcriptomics + bulk RNA-seq + epigenomics (ATAC-seq) + proteomics + metabolic profiling + functional genomics</v>
          </cell>
          <cell r="F23" t="str">
            <v>Not explicitly stated; includes multiple scRNA-seq datasets, mouse models, and human validation cohorts</v>
          </cell>
          <cell r="H23" t="str">
            <v>Single biomarker</v>
          </cell>
          <cell r="I23" t="str">
            <v>yes (Not explicitly detailed (likely adjusted for clinical variables in Cox model, but not specified))</v>
          </cell>
          <cell r="J23" t="str">
            <v>Yes (strong multi-level validation); Human PDAC cohorts + in vivo mouse models + multi-omics data</v>
          </cell>
          <cell r="K23" t="str">
            <v>LY6D marks a persistent stem-like gastric cell state that emerges early, drives tumorigenesis, and promotes metastasis through OXPHOS dependency and FOSL1-mediated transcriptional reprogramming</v>
          </cell>
        </row>
        <row r="24">
          <cell r="A24">
            <v>23</v>
          </cell>
          <cell r="B24" t="str">
            <v>Pei 2026</v>
          </cell>
          <cell r="C24" t="str">
            <v>Disulfidptosis-related gene (DRG) signature; key genes: RPN1, PML; model genes: NDUFA11, MYH14, TRIP6, ACTN1, ANP32E, PML, CD2AP, RPN1</v>
          </cell>
          <cell r="D24" t="str">
            <v>Multi-gene signature</v>
          </cell>
          <cell r="E24" t="str">
            <v>Transcriptomics (bulk RNA-seq) and single-cell transcriptomics (scRNA-seq)</v>
          </cell>
          <cell r="F24" t="str">
            <v>178 in training (TCGA-PAAD)</v>
          </cell>
          <cell r="H24" t="str">
            <v>Signature / risk model</v>
          </cell>
          <cell r="I24" t="str">
            <v>yes (Age, sex, tumor grade, clinical stage, T stage, N stage, M stage)</v>
          </cell>
          <cell r="J24" t="str">
            <v>yes; External validation using GEO dataset GSE28735</v>
          </cell>
          <cell r="K24" t="str">
            <v>DRG-based ML prognostic model stratifies PDAC patients into high- and low-risk survival groups; RPN1 and PML identified as key prognostic genes</v>
          </cell>
        </row>
        <row r="25">
          <cell r="A25">
            <v>24</v>
          </cell>
          <cell r="B25" t="str">
            <v>Lu 2026</v>
          </cell>
          <cell r="C25" t="str">
            <v>Palmitoylation-related gene signature (PRGS, 7 genes: DCBLD2, CXCL5, ASPH, LAMC2, KRT6A, TOP2A, NPNT); upstream regulators: zDHHC family (palmitoyltransferases)</v>
          </cell>
          <cell r="D25" t="str">
            <v>Multi-gene signature</v>
          </cell>
          <cell r="E25" t="str">
            <v>Transcriptomics + single-cell RNA-seq + mutational profiling + immune deconvolution + pathway analysis</v>
          </cell>
          <cell r="F25" t="str">
            <v>(multi-cohort integration across GEO and TCGA datasets)</v>
          </cell>
          <cell r="H25" t="str">
            <v>Signature / risk model</v>
          </cell>
          <cell r="I25" t="str">
            <v>yes (LASSO model inherently adjusts for gene interactions; specific clinical covariates not clearly reported)</v>
          </cell>
          <cell r="J25" t="str">
            <v>Yes (external validation across multiple GEO/TCGA cohorts); Multiple independent GEO cohorts and TCGA-PAAD; validation a</v>
          </cell>
          <cell r="K25" t="str">
            <v>A novel palmitoylation-related molecular classification identifies two PDAC subtypes and a 7-gene PRGS that predicts prognosis and is associated with immune suppression, high TMB, and KRAS/TP53 mutations</v>
          </cell>
        </row>
        <row r="26">
          <cell r="A26">
            <v>25</v>
          </cell>
          <cell r="B26" t="str">
            <v>Kuang 2026</v>
          </cell>
          <cell r="C26" t="str">
            <v>7-gene SASP prognostic signature: ANGPTL4, DKK1, EREG, IGFBP3, IL18, MMP13, PLAU; plus SASP molecular subtypes</v>
          </cell>
          <cell r="D26" t="str">
            <v>Multi-gene signature</v>
          </cell>
          <cell r="E26" t="str">
            <v>Bulk transcriptomics, CNV, scRNA-seq, immunoinformatics, mutation profiling, functional assays</v>
          </cell>
          <cell r="F26" t="str">
            <v>269 in merged TCGA-ICGC cohort</v>
          </cell>
          <cell r="H26" t="str">
            <v>Signature / risk model</v>
          </cell>
          <cell r="I26" t="str">
            <v>yes (Age, sex, pathological grade, TNM stage, and SASP cluster were assessed; exact final adjustment set beyond reported clin)</v>
          </cell>
          <cell r="J26" t="str">
            <v>yes; Internal training/test split from merged TCGA-ICGC cohort; b</v>
          </cell>
          <cell r="K26" t="str">
            <v>SASP-based clustering identified two prognostically distinct molecular subtypes, and a 7-gene SASP signature stratified prognosis, mutation burden, immune landscape, and chemosensitivity; ANGPTL4 promoted proliferation, migration, and invasion of PC cells</v>
          </cell>
        </row>
        <row r="27">
          <cell r="A27">
            <v>26</v>
          </cell>
          <cell r="B27" t="str">
            <v>Jin 2026</v>
          </cell>
          <cell r="C27" t="str">
            <v>SEMA3 family genes; 9-gene prognostic signature derived from SEMA3-related DEGs; key driver SEMA3C</v>
          </cell>
          <cell r="D27" t="str">
            <v>Multi-gene signature</v>
          </cell>
          <cell r="E27" t="str">
            <v>Bulk transcriptomics + single-cell RNA-seq + spatial transcriptomics + mutation data</v>
          </cell>
          <cell r="F27">
            <v>441</v>
          </cell>
          <cell r="H27" t="str">
            <v>Signature / risk model</v>
          </cell>
          <cell r="I27" t="str">
            <v>yes (Clinicopathologic characteristics included in nomogram (specific covariates not explicitly detailed))</v>
          </cell>
          <cell r="J27" t="str">
            <v>yes; External validation cohort GSE183795 (n=134)</v>
          </cell>
          <cell r="K27" t="str">
            <v>SEMA3-based clustering identified two PDAC subtypes with distinct survival and immune microenvironments; a 9-gene risk model stratified prognosis and correlated with TME and KRAS mutation frequency</v>
          </cell>
        </row>
        <row r="28">
          <cell r="A28">
            <v>27</v>
          </cell>
          <cell r="B28" t="str">
            <v>Cai 2026</v>
          </cell>
          <cell r="C28" t="str">
            <v>Six-gene mitophagy-related signature (PAPPA, NBPF12, CXCL11, CKLF-CMTM1, CCDC6, AHNAK)</v>
          </cell>
          <cell r="D28" t="str">
            <v>Multi-gene signature</v>
          </cell>
          <cell r="E28" t="str">
            <v>Transcriptomics</v>
          </cell>
          <cell r="F28" t="str">
            <v>177 TCGA PDAC used for model development</v>
          </cell>
          <cell r="H28" t="str">
            <v>Signature / risk model</v>
          </cell>
          <cell r="I28" t="str">
            <v>yes (Age, tumor grade, T stage, N stage)</v>
          </cell>
          <cell r="J28" t="str">
            <v>Yes; External GEO cohorts (GSE21501, GSE71729)</v>
          </cell>
          <cell r="K28" t="str">
            <v>Six-gene mitophagy-related signature stratified PDAC patients into prognostic groups and correlated with immune microenvironment differences</v>
          </cell>
        </row>
        <row r="29">
          <cell r="A29">
            <v>28</v>
          </cell>
          <cell r="B29" t="str">
            <v>Zhu 2025</v>
          </cell>
          <cell r="C29" t="str">
            <v>Six ICD-associated lncRNA prognostic signature: ZEB2-AS1, AC099792.1, LINC01091, LINC02613, AC005304.3, LINC00705</v>
          </cell>
          <cell r="D29" t="str">
            <v>Multi-gene signature</v>
          </cell>
          <cell r="E29" t="str">
            <v>Transcriptomics (lncRNA-focused) + functional cell assays</v>
          </cell>
          <cell r="F29" t="str">
            <v>178 PAAD cases with survival data (89 training, 89 testing)</v>
          </cell>
          <cell r="H29" t="str">
            <v>Signature / risk model</v>
          </cell>
          <cell r="I29" t="str">
            <v>yes (Age, gender, stage, T stage, N stage)</v>
          </cell>
          <cell r="J29" t="str">
            <v>yes; Internal split-sample validation (training set n=89; test se</v>
          </cell>
          <cell r="K29" t="str">
            <v>A six-lncRNA ICD-associated signature stratified PAAD patients into prognostic groups; low-risk patients showed more immune-active TME features, while LINC00705 promoted malignant cell behavior in vitro</v>
          </cell>
        </row>
        <row r="30">
          <cell r="A30">
            <v>29</v>
          </cell>
          <cell r="B30" t="str">
            <v>Zhao 2025</v>
          </cell>
          <cell r="C30" t="str">
            <v>11-gene ITH-related prognostic signature</v>
          </cell>
          <cell r="D30" t="str">
            <v>Multi-gene signature</v>
          </cell>
          <cell r="E30" t="str">
            <v>Transcriptomics</v>
          </cell>
          <cell r="F30" t="str">
            <v>178 TCGA cases for training; 69 GEO cases for external validation</v>
          </cell>
          <cell r="H30" t="str">
            <v>Signature / risk model</v>
          </cell>
          <cell r="I30" t="str">
            <v>yes (Age, sex, grade, stage, T stage)</v>
          </cell>
          <cell r="J30" t="str">
            <v xml:space="preserve">Yes; External validation in GEO bulk cohort GSE62452; biological </v>
          </cell>
          <cell r="K30" t="str">
            <v>An 11-gene ITH-related signature stratified PDAC patients by survival, with high-risk patients showing worse outcomes, distinct immune landscapes, and differential predicted drug sensitivity; low transcriptomic ITH was paradoxically associated with poorer prognosis</v>
          </cell>
        </row>
        <row r="31">
          <cell r="A31">
            <v>30</v>
          </cell>
          <cell r="B31" t="str">
            <v>Zhang 2025</v>
          </cell>
          <cell r="C31" t="str">
            <v>Ferroptosis-related 3-gene signature (NOTCH2, KRT18, H1-2); key single biomarker: NOTCH2</v>
          </cell>
          <cell r="D31" t="str">
            <v>Multi-gene signature</v>
          </cell>
          <cell r="E31" t="str">
            <v>Transcriptomics</v>
          </cell>
          <cell r="F31" t="str">
            <v>315 for model/prognostic analyses</v>
          </cell>
          <cell r="H31" t="str">
            <v>Signature / risk model</v>
          </cell>
          <cell r="I31" t="str">
            <v>yes (Age and clinicopathologic variables included in multivariable/nomogram analyses (sex, stage, grade, and related clinical)</v>
          </cell>
          <cell r="J31" t="str">
            <v xml:space="preserve">Yes; External validation in GSE28735 and GSE85916 for signature; </v>
          </cell>
          <cell r="K31" t="str">
            <v>A ferroptosis-related 3-gene signature predicted poor prognosis; NOTCH2 emerged as the dominant component, was overexpressed in pancreatic cancer, associated with immunosuppressive infiltration including M2 macrophages, and its knockdown suppressed proliferation/migration while increasing iron, ROS, and lipid peroxidation</v>
          </cell>
        </row>
        <row r="32">
          <cell r="A32">
            <v>31</v>
          </cell>
          <cell r="B32" t="str">
            <v>Zhang 2025</v>
          </cell>
          <cell r="C32" t="str">
            <v>16-gene DNA damage and repair-related prognostic risk score model; key experimental gene: LY6D</v>
          </cell>
          <cell r="D32" t="str">
            <v>Multi-gene signature</v>
          </cell>
          <cell r="E32" t="str">
            <v>Single-cell RNA-seq + bulk RNA-seq</v>
          </cell>
          <cell r="F32" t="str">
            <v>scRNA-seq: 30,483 cells after QC; TCGA/GEO survival cohorts analyzed after filtering missing follow-up; exact final combined patient count not clearly stated</v>
          </cell>
          <cell r="H32" t="str">
            <v>Signature / risk model</v>
          </cell>
          <cell r="I32" t="str">
            <v>yes (Age and stage explicitly mentioned; text says multivariable Cox on clinical characteristics including age and stage)</v>
          </cell>
          <cell r="J32" t="str">
            <v xml:space="preserve">yes; Internal training: TCGA-PDAC; external validation: GSE62452 </v>
          </cell>
          <cell r="K32" t="str">
            <v>A 16-gene DDR-related model showed strong prognostic performance in training and validation cohorts; high- and low-risk groups differed in immune microenvironment, drug sensitivity, and predicted immunotherapy benefit; LY6D knockdown induced DNA damage, reduced proliferation, increased apoptosis</v>
          </cell>
        </row>
        <row r="33">
          <cell r="A33">
            <v>32</v>
          </cell>
          <cell r="B33" t="str">
            <v>Yu 2025</v>
          </cell>
          <cell r="C33" t="str">
            <v>STING signaling pathway-derived 6-gene prognostic signature: DTX4, IFI16, MAVS, PRKDC, ZDHHC1, IFIT2</v>
          </cell>
          <cell r="D33" t="str">
            <v>Multi-gene signature</v>
          </cell>
          <cell r="E33" t="str">
            <v>Transcriptomics</v>
          </cell>
          <cell r="F33" t="str">
            <v>353 after excluding incomplete clinical data</v>
          </cell>
          <cell r="H33" t="str">
            <v>Signature / risk model</v>
          </cell>
          <cell r="I33" t="str">
            <v>yes (Clinical features and N stage included; exact full covariate list not fully reported in the pasted text for final model)</v>
          </cell>
          <cell r="J33" t="str">
            <v>Yes; External validation in GSE224564</v>
          </cell>
          <cell r="K33" t="str">
            <v>STING-pathway activity defines biologically distinct PAAD subtypes; the 6-gene STING-related signature stratifies survival; IFIT2 behaves as a potential oncogenic factor and ZDHHC1 as a potential tumor suppressor in functional assays</v>
          </cell>
        </row>
        <row r="34">
          <cell r="A34">
            <v>33</v>
          </cell>
          <cell r="B34" t="str">
            <v>Wang 2025</v>
          </cell>
          <cell r="C34" t="str">
            <v>SERPINE1</v>
          </cell>
          <cell r="D34" t="str">
            <v>Single gene</v>
          </cell>
          <cell r="E34" t="str">
            <v>Bulk transcriptomics; scRNA-seq; methylation; somatic mutation/TMB; immune deconvolution; protein and serum validation</v>
          </cell>
          <cell r="F34" t="str">
            <v>TCGA n=123 for main clinical/prognostic analyses; scRNA-seq from 6 PDAC patients; local validation cohorts as above</v>
          </cell>
          <cell r="H34" t="str">
            <v>Single biomarker</v>
          </cell>
          <cell r="I34" t="str">
            <v>yes (Age and lymph node metastasis explicitly reported with SERPINE1 in final nomogram)</v>
          </cell>
          <cell r="J34" t="str">
            <v>yes; External transcriptomic validation in GSE71989, E-MEXP-1121,</v>
          </cell>
          <cell r="K34" t="str">
            <v>SERPINE1 is consistently upregulated in PDAC, enriched in fibroblasts especially myCAF/iCAF, associated with poor prognosis, immunosuppressive stromal microenvironment, worse immunotherapy response, and promotes malignant behavior partly via mTOR signaling</v>
          </cell>
        </row>
        <row r="35">
          <cell r="A35">
            <v>34</v>
          </cell>
          <cell r="B35" t="str">
            <v>Stålberg 2025</v>
          </cell>
          <cell r="C35" t="str">
            <v>KRAS protein level, KRAS mRNA expression, KRAS mutation status/subtype</v>
          </cell>
          <cell r="D35" t="str">
            <v>Single gene</v>
          </cell>
          <cell r="E35" t="str">
            <v>Proteomics, transcriptomics, mutation analysis</v>
          </cell>
          <cell r="F35" t="str">
            <v>Proteomics: 41 PDAC; Transcriptomics: 38 PDAC; Survival analyses: 36 PDAC with overlapping protein/mRNA data after exclusions</v>
          </cell>
          <cell r="H35" t="str">
            <v>Single biomarker</v>
          </cell>
          <cell r="I35" t="str">
            <v>yes (Clinicopathological variables considered included age, sex, blood type, CA19-9, surgery type, tumor size, TNM, different)</v>
          </cell>
          <cell r="J35" t="str">
            <v>No external validation; None</v>
          </cell>
          <cell r="K35" t="str">
            <v>KRAS mRNA and protein were both higher in PDAC than benign pancreas, but only KRAS protein level and KRAS mutation subtype showed prognostic relevance; unexpectedly, low KRAS protein predicted worse survival</v>
          </cell>
        </row>
        <row r="36">
          <cell r="A36">
            <v>35</v>
          </cell>
          <cell r="B36" t="str">
            <v>Rezagholizadeh 2025</v>
          </cell>
          <cell r="C36" t="str">
            <v>RAD51AP1 (DNA repair–associated protein)</v>
          </cell>
          <cell r="D36" t="str">
            <v>Single gene</v>
          </cell>
          <cell r="E36" t="str">
            <v>Bulk transcriptomics, LCM-based cell-specific transcriptomics, RT-qPCR, proteomics (IHC)</v>
          </cell>
          <cell r="F36" t="str">
            <v>LCM cohort: n=20; IHC cohort: n=353; TCGA: n=177</v>
          </cell>
          <cell r="H36" t="str">
            <v>Single biomarker</v>
          </cell>
          <cell r="I36" t="str">
            <v>yes (Age, TNM stage, tumor size, metastasis, histological grade)</v>
          </cell>
          <cell r="J36" t="str">
            <v>Yes (multi-level validation: in-silico + RT-qPCR + IHC + TCGA); TCGA cohort (n=177), IHC cohort (n=353), LCM cohort (n=20)</v>
          </cell>
          <cell r="K36" t="str">
            <v>RAD51AP1 is tumor-specific, increases from normal → PanIN → PDAC, and correlates with aggressiveness, EMT, and metastasis</v>
          </cell>
        </row>
        <row r="37">
          <cell r="A37">
            <v>36</v>
          </cell>
          <cell r="B37" t="str">
            <v>Nie 2025</v>
          </cell>
          <cell r="C37" t="str">
            <v>Mitochondria-related 12-gene prognostic signature; mechanistic emphasis on CAMK2A and THEM4</v>
          </cell>
          <cell r="D37" t="str">
            <v>Multi-gene signature</v>
          </cell>
          <cell r="E37" t="str">
            <v>Bulk transcriptomics, single-cell transcriptomics, immunohistochemistry, functional molecular assays, mitochondrial phenotyping</v>
          </cell>
          <cell r="F37" t="str">
            <v>TCGA training cohort and multiple external validation datasets were analyzed; 119 retrospective institutional PDAC samples and 122 PDAC tissues were additionally assessed; exact total analyzed number across all datasets not clearly reported</v>
          </cell>
          <cell r="H37" t="str">
            <v>Signature / risk model</v>
          </cell>
          <cell r="I37" t="str">
            <v>yes (Age, sex, and pathological TNM stage for the signature model; other clinical indicators included in CAMK2A/THEM4 multiva)</v>
          </cell>
          <cell r="J37" t="str">
            <v>Yes; validated in four independent public datasets, a retrospective institutional cohort, single-cell analyses, IHC cohort, and in vitro/in vivo functional experiments; GSE78229, GSE71729, E-MTAB-6134, GSE21501, 119 institutional</v>
          </cell>
          <cell r="K37" t="str">
            <v>A mitochondria-related 12-gene signature robustly predicts PDAC survival and outperforms 7 published signatures and 101 machine-learning algorithms; CAMK2A acts as a tumor suppressive regulator of mitochondrial injury and THEM4 release, while THEM4 suppresses PDAC progression via AKT inhibition</v>
          </cell>
        </row>
        <row r="38">
          <cell r="A38">
            <v>37</v>
          </cell>
          <cell r="B38" t="str">
            <v>Luo 2025</v>
          </cell>
          <cell r="C38" t="str">
            <v>Innate immune barrier gene signature (84 genes); key genes: UBASH3B, ITGB6, COL17A1, MMP28, DIAPH3 (focus on UBASH3B)</v>
          </cell>
          <cell r="D38" t="str">
            <v>Multi-gene signature</v>
          </cell>
          <cell r="E38" t="str">
            <v>Bulk transcriptomics + scRNA-seq + immunogenomics</v>
          </cell>
          <cell r="F38" t="str">
            <v>TCGA ~178 used for modelling; validation across 3 GEO cohorts; scRNA 61 patients</v>
          </cell>
          <cell r="H38" t="str">
            <v>Signature / risk model</v>
          </cell>
          <cell r="I38" t="str">
            <v>yes (Clinical variables included stage, tumor status, and other clinicopathologic features (exact final covariate list not fu)</v>
          </cell>
          <cell r="J38" t="str">
            <v xml:space="preserve">Yes (multi-cohort validation + scRNA validation + GEPIA validation); GSE62452, GSE78229, GSE85916; scRNA from 61 patients; GEPIA </v>
          </cell>
          <cell r="K38" t="str">
            <v>RSF-based immune gene model stratifies prognosis; UBASH3B identified as novel prognostic gene negatively regulating NK cell activation and associated with drug resistance</v>
          </cell>
        </row>
        <row r="39">
          <cell r="A39">
            <v>38</v>
          </cell>
          <cell r="B39" t="str">
            <v>Lin 2025</v>
          </cell>
          <cell r="C39" t="str">
            <v>P4HA1; CCDC148; UCA1; TMPRSS11E + tumor stage</v>
          </cell>
          <cell r="D39" t="str">
            <v>Multi-gene signature</v>
          </cell>
          <cell r="E39" t="str">
            <v>Transcriptomics (RNA-seq)</v>
          </cell>
          <cell r="F39">
            <v>573</v>
          </cell>
          <cell r="H39" t="str">
            <v>Signature / risk model</v>
          </cell>
          <cell r="I39" t="str">
            <v>yes (Tumor stage (early vs late))</v>
          </cell>
          <cell r="J39" t="str">
            <v>Yes; GSE78229 + GSE79668 (n=100)</v>
          </cell>
          <cell r="K39" t="str">
            <v>4-gene + stage model stratifies PDAC survival effectively</v>
          </cell>
        </row>
        <row r="40">
          <cell r="A40">
            <v>39</v>
          </cell>
          <cell r="B40" t="str">
            <v>Lansbergen 2025</v>
          </cell>
          <cell r="C40" t="str">
            <v>KRAS mutational status as key biomarker; integrated molecular classifier of KRAS wild-type vs KRAS-mutant classical vs KRAS-mutant basal-like; exploratory HRD and other somatic mutations</v>
          </cell>
          <cell r="D40" t="str">
            <v>Multi-gene signature</v>
          </cell>
          <cell r="E40" t="str">
            <v>Genomics + transcriptomics (WGS + bulk RNA-seq)</v>
          </cell>
          <cell r="F40" t="str">
            <v>108 FOLFIRINOX-treated patients with successful WGS in pretreatment biopsies; 83 complete cases in multivariable integrated molecular model</v>
          </cell>
          <cell r="H40" t="str">
            <v>Signature / risk model</v>
          </cell>
          <cell r="I40" t="str">
            <v>yes (Age, sex, stage, only lymph node metastases, peritoneal metastases, liver metastases, number of metastatic sites)</v>
          </cell>
          <cell r="J40" t="str">
            <v>Yes, but mainly internal/prospective cohort validation of integrated modeling rather than external independent cohort validation; No separate external validation cohort; exploratory non-FOLF</v>
          </cell>
          <cell r="K40" t="str">
            <v>KRAS wild-type tumors formed a distinct subgroup (12%) with longer OS on FOLFIRINOX (17.7 vs 7.8 months), more targetable alterations (42% vs 17%), and transcriptomic enrichment for a classifier-negative/neural-like program rather than classical or basal-like states</v>
          </cell>
        </row>
        <row r="41">
          <cell r="A41">
            <v>40</v>
          </cell>
          <cell r="B41" t="str">
            <v>Kim 2025</v>
          </cell>
          <cell r="C41" t="str">
            <v>PAUF (pancreatic adenocarcinoma upregulated factor; ZG16B-related protein product)</v>
          </cell>
          <cell r="D41" t="str">
            <v>Single gene</v>
          </cell>
          <cell r="E41" t="str">
            <v>Protein expression by immunohistochemistry with transcript/protein in silico validation</v>
          </cell>
          <cell r="F41" t="str">
            <v>93 PDAC patients in primary IHC prognostic cohort</v>
          </cell>
          <cell r="H41" t="str">
            <v>Single biomarker</v>
          </cell>
          <cell r="I41" t="str">
            <v>yes (Age, tumor location, stage (RPC vs BRPC), histology, resection margin, nodal status, adjuvant therapy, CA19-9)</v>
          </cell>
          <cell r="J41" t="str">
            <v>Partial validation only; Public validation through TCGA/GTEx (mRNA) and CPTAC (protei</v>
          </cell>
          <cell r="K41" t="str">
            <v>PAUF is overexpressed in PDAC, strongly associated with nodal metastasis, and high protein expression predicts shorter survival; transcript overexpression was confirmed, but only protein-level expression showed prognostic significance</v>
          </cell>
        </row>
        <row r="42">
          <cell r="A42">
            <v>41</v>
          </cell>
          <cell r="B42" t="str">
            <v>Kang 2025</v>
          </cell>
          <cell r="C42" t="str">
            <v>Six BA-related prognostic genes: SERPINB5, CALU, TFRC, LY6D, SFRP1, GBP2</v>
          </cell>
          <cell r="D42" t="str">
            <v>Multi-gene signature</v>
          </cell>
          <cell r="E42" t="str">
            <v>Transcriptomics (bulk RNA-seq), single-cell RNA-seq, in silico multi-omics, RT-qPCR validation</v>
          </cell>
          <cell r="F42" t="str">
            <v>178 patients (TCGA-PAAD primary cohort)</v>
          </cell>
          <cell r="H42" t="str">
            <v>Signature / risk model</v>
          </cell>
          <cell r="I42" t="str">
            <v>yes (Age, gender, stage, T stage, N stage)</v>
          </cell>
          <cell r="J42" t="str">
            <v xml:space="preserve">Yes (internal + external dataset validation); GSE57495 external validation cohort; RT-qPCR small clinical </v>
          </cell>
          <cell r="K42" t="str">
            <v>6-gene BA-related signature robustly predicts survival; high RS associated with worse OS, higher TMB, immune alterations, and differential drug sensitivity</v>
          </cell>
        </row>
        <row r="43">
          <cell r="A43">
            <v>42</v>
          </cell>
          <cell r="B43" t="str">
            <v>Jiang 2025</v>
          </cell>
          <cell r="C43" t="str">
            <v>TIPARP (PARP7) expression</v>
          </cell>
          <cell r="D43" t="str">
            <v>Single gene</v>
          </cell>
          <cell r="E43" t="str">
            <v>Transcriptomics, single-cell RNA-seq, Mendelian randomization, functional assays (in vitro/in vivo)</v>
          </cell>
          <cell r="F43" t="str">
            <v>178 patients (TCGA cohort)</v>
          </cell>
          <cell r="H43" t="str">
            <v>Single biomarker</v>
          </cell>
          <cell r="I43" t="str">
            <v>yes (Age, sex, tumor grade, stage, pN stage)</v>
          </cell>
          <cell r="J43" t="str">
            <v>Yes (multi-level validation: TCGA + scRNA + MR + functional assays); No independent external cohort (but MR + experimental valida</v>
          </cell>
          <cell r="K43" t="str">
            <v>TIPARP overexpression promotes proliferation, invasion, migration; knockdown suppresses tumor growth; MR shows causal association (OR=1.51, p=0.008)</v>
          </cell>
        </row>
        <row r="44">
          <cell r="A44">
            <v>43</v>
          </cell>
          <cell r="B44" t="str">
            <v>Han 2025</v>
          </cell>
          <cell r="C44" t="str">
            <v>Microenvironmental/stromal and immune markers including MFAP4, EGR3, KRT8, monocyte infiltration, CD68+ macrophages, CD3/CD4/CD8 T-cell infiltration</v>
          </cell>
          <cell r="D44" t="str">
            <v>Multi-gene signature</v>
          </cell>
          <cell r="E44" t="str">
            <v>Digital spatial transcriptomics, immunohistochemistry, immune deconvolution, clinicopathologic survival analysis</v>
          </cell>
          <cell r="F44" t="str">
            <v>48 total analyzed; NAT response subgroup: CAP score 2 n=10, CAP score 3 n=14</v>
          </cell>
          <cell r="H44" t="str">
            <v>Signature / risk model</v>
          </cell>
          <cell r="I44" t="str">
            <v>yes (Age, sex, pT/pN, differentiation, resection margin, invasion variables, CA19-9, treatment group, multiple DSP-derived im)</v>
          </cell>
          <cell r="J44" t="str">
            <v>No external validation cohort; internal comparison across UFS/NAT and CAP subgroups only; No formal external validation; internal orthogonal validatio</v>
          </cell>
          <cell r="K44" t="str">
            <v>MFAP4, EGR3, and KRT8 in stromal compartments plus CD3/CD4/CD8 infiltration may act as predictive indicators of NAT response; high monocyte infiltration and high CD68+ cell infiltration may serve as prognostic markers in PDAC</v>
          </cell>
        </row>
        <row r="45">
          <cell r="A45">
            <v>44</v>
          </cell>
          <cell r="B45" t="str">
            <v>Ge 2025</v>
          </cell>
          <cell r="C45" t="str">
            <v>Hypoxia score; 13-gene signature (LYZ, PLAU, INSIG2, KRTCAP2 etc.)</v>
          </cell>
          <cell r="D45" t="str">
            <v>Multi-gene signature</v>
          </cell>
          <cell r="E45" t="str">
            <v>scRNA-seq + bulk RNA-seq (hypoxia hallmark genes from MSigDB)</v>
          </cell>
          <cell r="F45" t="str">
            <v>Training: TCGA-PAAD; Validation: PACA-CA &amp; PACA-AU</v>
          </cell>
          <cell r="H45" t="str">
            <v>Signature / risk model</v>
          </cell>
          <cell r="I45" t="str">
            <v>yes (Adjusted for clinicopathologic variables (age, TNM, etc.))</v>
          </cell>
          <cell r="J45" t="str">
            <v>YES → external validation (ICGC cohorts); PACA-CA &amp; PACA-AU</v>
          </cell>
          <cell r="K45" t="str">
            <v>Model predicts prognosis + immune suppression + drug resistance; KRTCAP2 key pan-cancer gene</v>
          </cell>
        </row>
        <row r="46">
          <cell r="A46">
            <v>45</v>
          </cell>
          <cell r="B46" t="str">
            <v>Fang 2025</v>
          </cell>
          <cell r="C46" t="str">
            <v>SHCBP1, CEP55, GMNN, CDCA5, FAM111B (CSCLPI genes)</v>
          </cell>
          <cell r="D46" t="str">
            <v>Multi-gene signature</v>
          </cell>
          <cell r="E46" t="str">
            <v>scRNA-seq + bulk RNA-seq + machine learning</v>
          </cell>
          <cell r="F46" t="str">
            <v>Discovery: TCGA; Validation: GEO + CPTAC</v>
          </cell>
          <cell r="H46" t="str">
            <v>Signature / risk model</v>
          </cell>
          <cell r="I46" t="str">
            <v>yes (Adjusted (clinical covariates in Cox))</v>
          </cell>
          <cell r="J46" t="str">
            <v>YES (GEO + CPTAC); External cohorts validated</v>
          </cell>
          <cell r="K46" t="str">
            <v>CSCLPI reflects CSC biology, prognosis, and therapy response</v>
          </cell>
        </row>
        <row r="47">
          <cell r="A47">
            <v>46</v>
          </cell>
          <cell r="B47" t="str">
            <v>Fang 2025</v>
          </cell>
          <cell r="C47" t="str">
            <v>23 ISGS-based features in RS model</v>
          </cell>
          <cell r="D47" t="str">
            <v>Multi-gene signature</v>
          </cell>
          <cell r="E47" t="str">
            <v>Bulk RNA-seq / immunogenomic signature analysis</v>
          </cell>
          <cell r="F47" t="str">
            <v>Training: TCGA/GTEx; Validation: GEO</v>
          </cell>
          <cell r="H47" t="str">
            <v>Signature / risk model</v>
          </cell>
          <cell r="I47" t="str">
            <v>yes (Stage_N and RS in nomogram)</v>
          </cell>
          <cell r="J47" t="str">
            <v>YES; GEO merged validation cohort</v>
          </cell>
          <cell r="K47" t="str">
            <v>Subtype 1 had worse prognosis and higher TIDE; RS had moderate prognostic performance</v>
          </cell>
        </row>
        <row r="48">
          <cell r="A48">
            <v>47</v>
          </cell>
          <cell r="B48" t="str">
            <v>Duo 2025</v>
          </cell>
          <cell r="C48" t="str">
            <v>Cuproptosis-related lncRNA prognostic model; key lncRNAs LINC00900 and AC078820.1</v>
          </cell>
          <cell r="D48" t="str">
            <v>Multi-gene signature</v>
          </cell>
          <cell r="E48" t="str">
            <v>Transcriptomics focused on cuproptosis-related lncRNAs</v>
          </cell>
          <cell r="F48" t="str">
            <v>Not clearly reported</v>
          </cell>
          <cell r="H48" t="str">
            <v>Signature / risk model</v>
          </cell>
          <cell r="I48" t="str">
            <v>yes (Not clearly detailed in excerpt)</v>
          </cell>
          <cell r="J48" t="str">
            <v>Partial validation; TCGA model plus human pancreatic cancer tissue validation by</v>
          </cell>
          <cell r="K48" t="str">
            <v>A cuproptosis-related lncRNA model predicts prognosis in pancreatic cancer, and LINC00900 and AC078820.1 emerge as key survival-associated lncRNAs linked to immune modulation and mutation burden</v>
          </cell>
        </row>
        <row r="49">
          <cell r="A49">
            <v>48</v>
          </cell>
          <cell r="B49" t="str">
            <v>Deng 2025</v>
          </cell>
          <cell r="C49" t="str">
            <v>ST3GAL2, SLCO1B3, PTGES, PRKACA</v>
          </cell>
          <cell r="D49" t="str">
            <v>Multi-gene signature</v>
          </cell>
          <cell r="E49" t="str">
            <v>Lipid metabolism-related transcriptomics; bulk RNA-seq with supplementary single-cell exploration</v>
          </cell>
          <cell r="F49" t="str">
            <v>N_analyzed not fully consistent across sections; model development mainly in TCGA PAAD cohort, external validation in ICGC and multicenter cohort</v>
          </cell>
          <cell r="H49" t="str">
            <v>Signature / risk model</v>
          </cell>
          <cell r="I49" t="str">
            <v>yes (Tumor location, T stage/tumor size, N stage/tumor invasion, M stage/tumor metastasis, and other clinicopathologic variab)</v>
          </cell>
          <cell r="J49" t="str">
            <v>Yes; ICGC cohort and multicenter surgical cohort</v>
          </cell>
          <cell r="K49" t="str">
            <v>Main finding was that a 4-gene lipid-metabolism signature stratified postoperative PAAD patients into high- and low-risk groups with different recurrence risk, survival, immune infiltration, TMB, and predicted chemotherapy sensitivity</v>
          </cell>
        </row>
        <row r="50">
          <cell r="A50">
            <v>49</v>
          </cell>
          <cell r="B50" t="str">
            <v>Cui 2025</v>
          </cell>
          <cell r="C50" t="str">
            <v>DCBLD2, OCIAD2, SAMD9</v>
          </cell>
          <cell r="D50" t="str">
            <v>Multi-gene signature</v>
          </cell>
          <cell r="E50" t="str">
            <v>Transcriptomics (bulk + single-cell), RNA-seq after gene knockdown, drug sensitivity omics</v>
          </cell>
          <cell r="F50" t="str">
            <v>TCGA cohort analyzed after filtering; exact final n not consistently restated across all analyses</v>
          </cell>
          <cell r="H50" t="str">
            <v>Signature / risk model</v>
          </cell>
          <cell r="I50" t="str">
            <v>yes (Age, lymph node metastasis (LNM), and gene expression variables)</v>
          </cell>
          <cell r="J50" t="str">
            <v xml:space="preserve">Yes; GSE79668 external validation cohort; multiple GEO datasets; </v>
          </cell>
          <cell r="K50" t="str">
            <v>DCBLD2, OCIAD2, and SAMD9 are novel independent prognostic biomarkers; OCIAD2 plays a functional oncogenic role via JAK-STAT and cell cycle pathways; expression correlates with drug sensitivity</v>
          </cell>
        </row>
        <row r="51">
          <cell r="A51">
            <v>50</v>
          </cell>
          <cell r="B51" t="str">
            <v>Cui 2025</v>
          </cell>
          <cell r="C51" t="str">
            <v>Disulfidptosis-related prognostic signature / DPS (8-gene signature: SLC3A2, HMGA1, S100A2, DUSP5, SPRR1B, MET, CREB5, MACROD2)</v>
          </cell>
          <cell r="D51" t="str">
            <v>Multi-gene signature</v>
          </cell>
          <cell r="E51" t="str">
            <v>Bulk transcriptomics, single-cell transcriptomics, spatial transcriptomics, mutation data</v>
          </cell>
          <cell r="F51" t="str">
            <v>1250 bulk samples included after filtering; 582 RNA-array + 541 RNA-seq explicitly detailed, plus CPTAC cohort for additional external validation</v>
          </cell>
          <cell r="H51" t="str">
            <v>Signature / risk model</v>
          </cell>
          <cell r="I51" t="str">
            <v>yes (Clinicopathological features including age, gender, stage / clinical variables depending on cohort)</v>
          </cell>
          <cell r="J51" t="str">
            <v>Yes; External validation in TCGA-PAAD, ICGC-CA, ICGC-AU, CPTAC-PD</v>
          </cell>
          <cell r="K51" t="str">
            <v>High DPS predicted poor prognosis, reduced immune-cell infiltration, higher TIDE score, lower sensitivity to immune checkpoint blockade, and enrichment of myCAF–tumor crosstalk via collagen/laminin/FN1 signaling</v>
          </cell>
        </row>
        <row r="52">
          <cell r="A52">
            <v>51</v>
          </cell>
          <cell r="B52" t="str">
            <v>Chen 2025</v>
          </cell>
          <cell r="C52" t="str">
            <v>M2 macrophage-related 6-gene prognostic signature: CCL2, CD9, FBP1, LIMS1, LYZ, TGFBI; also M2/TAM biology and TNFRSF12A highlighted</v>
          </cell>
          <cell r="D52" t="str">
            <v>Multi-gene signature</v>
          </cell>
          <cell r="E52" t="str">
            <v>scRNA-seq, bulk RNA expression, SNV, CNV, clinical survival data, immune infiltration, drug sensitivity prediction</v>
          </cell>
          <cell r="F52" t="str">
            <v>TCGA-PDAC training cohort: 153 PDAC cases with OS&gt;0; external GEO validation cohort: 225 cases with OS&gt;0; scRNA-seq: 41,855 cells analyzed</v>
          </cell>
          <cell r="H52" t="str">
            <v>Signature / risk model</v>
          </cell>
          <cell r="I52" t="str">
            <v>yes (Not clearly specified in the pasted excerpt; multivariable analysis likely adjusted for clinicopathologic features, but )</v>
          </cell>
          <cell r="J52" t="str">
            <v>Yes; External validation in merged GEO cohort (GSE183795 + GSE287</v>
          </cell>
          <cell r="K52" t="str">
            <v>A 6-gene M2 macrophage-related signature predicts poor prognosis in PDAC, associates with higher TMB, KRAS/TP53 mutations, lower CD8 T-cell infiltration, altered immune checkpoint/HLA expression, and lower predicted sensitivity to several anticancer drugs in high-risk patients</v>
          </cell>
        </row>
        <row r="53">
          <cell r="A53">
            <v>52</v>
          </cell>
          <cell r="B53" t="str">
            <v>Aref 2025</v>
          </cell>
          <cell r="C53" t="str">
            <v>20-protein diagnostic panel; four proteomic prognostic subtypes; 18-protein prognostic risk score (PURB, SDCBP2, CD2BP2, GALM, SERPINA3, OAS3, FAN1, ZPR1, KRT2, NUDT2, SMNDC1, SERPINA4, CUTA, WDR36, POSTN, CLEC11A, PEX14, PI4KA)</v>
          </cell>
          <cell r="D53" t="str">
            <v>Multi-gene signature</v>
          </cell>
          <cell r="E53" t="str">
            <v>Proteomics</v>
          </cell>
          <cell r="F53" t="str">
            <v>115 tumor samples and 61 matched adjacent normal samples after QC; CPTAC validation: 92 tumor samples</v>
          </cell>
          <cell r="H53" t="str">
            <v>Signature / risk model</v>
          </cell>
          <cell r="I53" t="str">
            <v>yes (Clinical prognostic variables included age, stage, grade, histology, margin, recurrence-related features, and other avai)</v>
          </cell>
          <cell r="J53" t="str">
            <v>Yes; Independent CPTAC PDA proteomic cohort generated using a dif</v>
          </cell>
          <cell r="K53" t="str">
            <v>Identified a 20-protein diagnostic panel, four prognostic proteomic subtypes, and an 18-protein risk score independently associated with OS and recurrence; poorer-prognosis tumors showed basal-like, stromal, ECM, neutrophil degranulation, and PI3K-Akt-mTOR-related features</v>
          </cell>
        </row>
        <row r="54">
          <cell r="A54">
            <v>53</v>
          </cell>
          <cell r="B54" t="str">
            <v>Zhang 2025</v>
          </cell>
          <cell r="C54" t="str">
            <v>Complement pathway genes (C1R, C1S, C3, C4B, C7) in tumour microenvironment</v>
          </cell>
          <cell r="D54" t="str">
            <v>Multi-gene signature</v>
          </cell>
          <cell r="E54" t="str">
            <v>Spatial transcriptomics (NanoString GeoMx DSP)</v>
          </cell>
          <cell r="F54">
            <v>36</v>
          </cell>
          <cell r="H54" t="str">
            <v>Signature / risk model</v>
          </cell>
          <cell r="I54" t="str">
            <v>yes (Tumor stage, treatment status, clinicopathologic variables)</v>
          </cell>
          <cell r="J54" t="str">
            <v>Partial validation only; single-nucleus RNA-seq datasets (biological, no independent prognostic cohort)</v>
          </cell>
          <cell r="K54" t="str">
            <v>Neoadjuvant therapy induces complement activation in CAF-rich tumour microenvironment; high complement expression is an independent favourable prognostic factor (HR ≈ 0.21)</v>
          </cell>
        </row>
        <row r="55">
          <cell r="A55">
            <v>54</v>
          </cell>
          <cell r="B55" t="str">
            <v>Wang 2025</v>
          </cell>
          <cell r="C55" t="str">
            <v>13-gene autophagy-related signature (EIF4EBP1, HDAC6, GABARAP, CASP4, ATG16L2, BCL2L1, BAG3, ATG4B, TNFSF10, PTK6, ITGA3, BIRC5, BAK1)</v>
          </cell>
          <cell r="D55" t="str">
            <v>Multi-gene signature</v>
          </cell>
          <cell r="E55" t="str">
            <v>Bulk transcriptomics (+ methylation/CNV/mutation analyses)</v>
          </cell>
          <cell r="F55" t="str">
            <v>177 training (TCGA) + 139 validation (GEO)</v>
          </cell>
          <cell r="H55" t="str">
            <v>Signature / risk model</v>
          </cell>
          <cell r="I55" t="str">
            <v>yes (Clinicopathological variables; exact full list not fully specified)</v>
          </cell>
          <cell r="J55" t="str">
            <v>Yes; External validation in GSE183795</v>
          </cell>
          <cell r="K55" t="str">
            <v>13-ARG signature predicts poorer OS (HR 4.237, 95% CI 2.836–6.331) and associates with immune and molecular features</v>
          </cell>
        </row>
        <row r="56">
          <cell r="A56">
            <v>55</v>
          </cell>
          <cell r="B56" t="str">
            <v>Wang 2025</v>
          </cell>
          <cell r="C56" t="str">
            <v>Fibroblast-related 14-gene prognostic signature (risk score model)</v>
          </cell>
          <cell r="D56" t="str">
            <v>Multi-gene signature</v>
          </cell>
          <cell r="E56" t="str">
            <v>Bulk RNA-seq + scRNA-seq</v>
          </cell>
          <cell r="F56" t="str">
            <v>179 (TCGA) + 63 + 66 (GEO)</v>
          </cell>
          <cell r="H56" t="str">
            <v>Signature / risk model</v>
          </cell>
          <cell r="I56" t="str">
            <v>yes (Age, gender, tumor grade, stage)</v>
          </cell>
          <cell r="J56" t="str">
            <v>Yes; External validation in GSE57495 (n=63) and GSE62452 (n=66)</v>
          </cell>
          <cell r="K56" t="str">
            <v>Fibroblast-specific gene signature is an independent prognostic factor that stratifies PDAC survival and reflects TME interactions</v>
          </cell>
        </row>
        <row r="57">
          <cell r="A57">
            <v>56</v>
          </cell>
          <cell r="B57" t="str">
            <v>Liu 2025</v>
          </cell>
          <cell r="C57" t="str">
            <v>ANP32E</v>
          </cell>
          <cell r="D57" t="str">
            <v>Single gene</v>
          </cell>
          <cell r="E57" t="str">
            <v>Protein (IHC) + transcriptomics (TCGA) + functional assays</v>
          </cell>
          <cell r="F57" t="str">
            <v>75 (clinical cohort) + 174 (TCGA)</v>
          </cell>
          <cell r="H57" t="str">
            <v>Single biomarker</v>
          </cell>
          <cell r="I57" t="str">
            <v>yes (Age, sex, BMI, TNM stage, CEA, CA19-9, CA242, clinical features)</v>
          </cell>
          <cell r="J57" t="str">
            <v>Yes; TCGA-PAAD (n=174) external validation + in vitro functional validation</v>
          </cell>
          <cell r="K57" t="str">
            <v>High ANP32E independently associated with poorer survival (HR ≈ 0.41–0.49) and reduced gemcitabine efficacy; knockdown increases chemosensitivity</v>
          </cell>
        </row>
        <row r="58">
          <cell r="A58">
            <v>57</v>
          </cell>
          <cell r="B58" t="str">
            <v>Ge 2025</v>
          </cell>
          <cell r="C58" t="str">
            <v>Cuproptosis-related signature score (MIR3677, AC068620.2, UPK2, LDHAP7, FAM83A)</v>
          </cell>
          <cell r="D58" t="str">
            <v>Multi-gene signature</v>
          </cell>
          <cell r="E58" t="str">
            <v>Transcriptomics + proteomics + cfDNA (multi-omics integration)</v>
          </cell>
          <cell r="F58" t="str">
            <v>160 (TCGA) + 101 (ICGC)</v>
          </cell>
          <cell r="H58" t="str">
            <v>Signature / risk model</v>
          </cell>
          <cell r="I58" t="str">
            <v>yes (Age, sex, grade and other clinical covariates)</v>
          </cell>
          <cell r="J58" t="str">
            <v>Yes; External validation in ICGC cohort</v>
          </cell>
          <cell r="K58" t="str">
            <v>Cuproptosis-related risk score is an independent prognostic factor and predicts immune status, immunotherapy response and drug sensitivity</v>
          </cell>
        </row>
      </sheetData>
      <sheetData sheetId="15">
        <row r="2">
          <cell r="A2" t="str">
            <v>NCT01726582</v>
          </cell>
          <cell r="B2" t="str">
            <v>Single-arm</v>
          </cell>
          <cell r="C2">
            <v>130</v>
          </cell>
          <cell r="D2" t="str">
            <v>Personalized periop (chemo/CRT/surgery)</v>
          </cell>
          <cell r="E2" t="str">
            <v>Resectable/Borderline</v>
          </cell>
          <cell r="F2" t="str">
            <v>Completion to surgery (feasibility)</v>
          </cell>
          <cell r="G2" t="str">
            <v>108/130 (83.1%)</v>
          </cell>
          <cell r="J2" t="str">
            <v>Single-arm
Feasibility endpoint
Selection bias (resected)
Heterogeneous treatment
No comparator
No HR</v>
          </cell>
        </row>
        <row r="3">
          <cell r="A3" t="str">
            <v>NCT00536874</v>
          </cell>
          <cell r="B3" t="str">
            <v>Single-arm</v>
          </cell>
          <cell r="C3">
            <v>35</v>
          </cell>
          <cell r="D3" t="str">
            <v>Gemcitabine + Oxaliplatin (neoadjuvant)</v>
          </cell>
          <cell r="E3" t="str">
            <v>Resectable</v>
          </cell>
          <cell r="F3" t="str">
            <v>OS rate (18 mo)</v>
          </cell>
          <cell r="G3" t="str">
            <v>63% (45–76)</v>
          </cell>
          <cell r="J3" t="str">
            <v>Single-arm
Small N (35)
OS rate (no HR)
Resectable-only (selection bias)
No comparator</v>
          </cell>
        </row>
        <row r="4">
          <cell r="A4" t="str">
            <v>NCT01926197</v>
          </cell>
          <cell r="B4" t="str">
            <v>Randomized</v>
          </cell>
          <cell r="C4" t="str">
            <v>13/12</v>
          </cell>
          <cell r="D4" t="str">
            <v>mFOLFIRINOX vs mFOLFIRINOX+SBRT</v>
          </cell>
          <cell r="E4" t="str">
            <v>Locally advanced (unresectable)</v>
          </cell>
          <cell r="F4" t="str">
            <v>PFS (median)</v>
          </cell>
          <cell r="G4" t="str">
            <v>6.5 vs 8.4 mo</v>
          </cell>
          <cell r="J4" t="str">
            <v>Small sample (n=25)
No HR / p-values
High variability
Event-based toxicity
Limited generalizability</v>
          </cell>
        </row>
        <row r="5">
          <cell r="A5" t="str">
            <v>NCT00810719</v>
          </cell>
          <cell r="B5" t="str">
            <v>Single-arm</v>
          </cell>
          <cell r="C5">
            <v>30</v>
          </cell>
          <cell r="D5" t="str">
            <v>Gemcitabine + Erlotinib</v>
          </cell>
          <cell r="E5" t="str">
            <v>Advanced/Metastatic</v>
          </cell>
          <cell r="F5" t="str">
            <v>PFS (median)</v>
          </cell>
          <cell r="G5" t="str">
            <v>2.07 mo (1.87–5.50)</v>
          </cell>
          <cell r="J5" t="str">
            <v>Single-arm
Small N (30)
Advanced disease (poor prognosis)
No comparator
Low PFS / OS</v>
          </cell>
        </row>
        <row r="6">
          <cell r="A6" t="str">
            <v>NCT00769483</v>
          </cell>
          <cell r="B6" t="str">
            <v>Phase I/II, non-randomized, multi-arm</v>
          </cell>
          <cell r="C6" t="str">
            <v>~15/arm</v>
          </cell>
          <cell r="D6" t="str">
            <v>MK-0646 + Gem ± Erlotinib</v>
          </cell>
          <cell r="E6" t="str">
            <v>Stage IV (metastatic)</v>
          </cell>
          <cell r="F6" t="str">
            <v>MTD + PFS (time to progression/death)</v>
          </cell>
          <cell r="G6" t="str">
            <v>MTD: 10 mg/kg (Gem), 5 mg/kg (Gem+Erl); PFS: ~1.8–2.0 mo</v>
          </cell>
          <cell r="J6" t="str">
            <v>Small sample size (n≈15/arm)
Phase I/II design (exploratory)
No powered comparison
Metastatic population (poor prognosis baseline)
Very low PFS (~2 mo)
No biomarker-driven selection (despite IGF axis target)
Missing biomarker correlation data</v>
          </cell>
        </row>
        <row r="7">
          <cell r="A7" t="str">
            <v>NCT00365144</v>
          </cell>
          <cell r="B7" t="str">
            <v>Single-arm</v>
          </cell>
          <cell r="C7">
            <v>36</v>
          </cell>
          <cell r="D7" t="str">
            <v>Bevacizumab + Erlotinib</v>
          </cell>
          <cell r="E7" t="str">
            <v>Metastatic, gemcitabine-refractory</v>
          </cell>
          <cell r="F7" t="str">
            <v>OS rate (6 mo) + safety</v>
          </cell>
          <cell r="G7" t="str">
            <v>8/36 (22.2%)</v>
          </cell>
          <cell r="J7" t="str">
            <v>Single-arm
Heavily pretreated / refractory population
No comparator
Dual primary outcome structure
Small sample
TTP reported in days, όχι HR
Toxicity reported mostly as counts, όχι always standardized patient-level severity summary</v>
          </cell>
        </row>
        <row r="8">
          <cell r="A8" t="str">
            <v>NCT00550836</v>
          </cell>
          <cell r="B8" t="str">
            <v>Randomized</v>
          </cell>
          <cell r="C8" t="str">
            <v>46 / 46</v>
          </cell>
          <cell r="D8" t="str">
            <v>Gemcitabine+Erlotinib vs +Panitumumab</v>
          </cell>
          <cell r="E8" t="str">
            <v>Metastatic</v>
          </cell>
          <cell r="F8" t="str">
            <v>OS (median; Arm B vs Arm A)</v>
          </cell>
          <cell r="G8" t="str">
            <v>4.2 vs 8.3 mo; p=0.36</v>
          </cell>
          <cell r="J8" t="str">
            <v>Small phase II sample
Open-label
No HR reported
Wide uncertainty around medians
High toxicity burden in both arms
ORR did not improve despite numerically longer OS/PFS in Arm B</v>
          </cell>
        </row>
        <row r="9">
          <cell r="A9" t="str">
            <v>NCT03941093</v>
          </cell>
          <cell r="B9" t="str">
            <v>Randomized, double-blind</v>
          </cell>
          <cell r="C9" t="str">
            <v>143 / 141</v>
          </cell>
          <cell r="D9" t="str">
            <v>Pamrevlumab + G/nab-P or FOLFIRINOX vs Placebo + G/nab-P or FOLFIRINOX</v>
          </cell>
          <cell r="E9" t="str">
            <v>Locally advanced unresectable</v>
          </cell>
          <cell r="F9" t="str">
            <v>OS</v>
          </cell>
          <cell r="G9" t="str">
            <v>17.25 vs 17.94 mo; HR 1.08 (0.83–1.41); p=0.5487</v>
          </cell>
          <cell r="J9" t="str">
            <v>Mixed backbone chemotherapy (G/nab-P or FOLFIRINOX)
Composite EFS endpoint
ORR registry formatting bug
No efficacy signal despite large sample
Unresectable-only population, so limited generalizability outside LAPC</v>
          </cell>
        </row>
        <row r="10">
          <cell r="A10" t="str">
            <v>NCT00408564</v>
          </cell>
          <cell r="B10" t="str">
            <v>Single-arm</v>
          </cell>
          <cell r="C10" t="str">
            <v>38–39</v>
          </cell>
          <cell r="D10" t="str">
            <v>Gemcitabine + Oxaliplatin + Cetuximab → reassessment → surgery or RT/capecitabine</v>
          </cell>
          <cell r="E10" t="str">
            <v>Locally advanced unresectable, nonmetastatic</v>
          </cell>
          <cell r="F10" t="str">
            <v>PFS rate at 6 mo</v>
          </cell>
          <cell r="G10" t="str">
            <v>82% (70–95)</v>
          </cell>
          <cell r="J10" t="str">
            <v>Single-arm
No comparator
Primary endpoint based on time-point proportion, όχι HR/median PFS
Different analyzed N across endpoints (38 vs 39)
ORR registry formatting bug
Response duration and CA19-9 endpoints not collected
Multimodality pathway after induction adds heterogeneity</v>
          </cell>
        </row>
        <row r="11">
          <cell r="A11" t="str">
            <v>NCT00521404</v>
          </cell>
          <cell r="B11" t="str">
            <v>Single-arm</v>
          </cell>
          <cell r="C11">
            <v>61</v>
          </cell>
          <cell r="D11" t="str">
            <v>CS-1008 (anti-DR5) + gemcitabine</v>
          </cell>
          <cell r="E11" t="str">
            <v>Unresectable / metastatic (chemo-naïve)</v>
          </cell>
          <cell r="F11" t="str">
            <v>PFS rate at 16 weeks</v>
          </cell>
          <cell r="G11" t="str">
            <v>52.5% (39.3–64.1)</v>
          </cell>
          <cell r="J11" t="str">
            <v>Single-arm (no comparator)
Time-point endpoint (not median PFS ή HR)
Per-protocol analysis (selection bias)
High “unknown response” (~18%)
Registry data inconsistencies (major formatting errors)
Mixed population (resectable + metastatic in eligibility αλλά τελικά unresectable/metastatic analyzed)</v>
          </cell>
        </row>
        <row r="12">
          <cell r="A12" t="str">
            <v>NCT00417976</v>
          </cell>
          <cell r="B12" t="str">
            <v>Single-arm</v>
          </cell>
          <cell r="C12" t="str">
            <v>39–40</v>
          </cell>
          <cell r="D12" t="str">
            <v>Bevacizumab + Gemcitabine + infusional 5-FU</v>
          </cell>
          <cell r="E12" t="str">
            <v>Stage III–IV</v>
          </cell>
          <cell r="F12" t="str">
            <v>PFS rate at 6 mo</v>
          </cell>
          <cell r="G12">
            <v>0.49</v>
          </cell>
          <cell r="J12" t="str">
            <v>Single-arm (no comparator)
No CI for primary endpoint 
No OS / median PFS reported
Small sample size
Mixed stage (III + IV → heterogeneity)
No biomarker stratification</v>
          </cell>
        </row>
        <row r="13">
          <cell r="A13" t="str">
            <v>NCT00499486</v>
          </cell>
          <cell r="B13" t="str">
            <v>Single-arm</v>
          </cell>
          <cell r="C13">
            <v>31</v>
          </cell>
          <cell r="D13" t="str">
            <v>Sirolimus monotherapy</v>
          </cell>
          <cell r="E13" t="str">
            <v>Advanced PDAC, post-gemcitabine (refractory)</v>
          </cell>
          <cell r="F13" t="str">
            <v>OS rate at 6 months</v>
          </cell>
          <cell r="G13">
            <v>0.26</v>
          </cell>
          <cell r="J13" t="str">
            <v>Single-arm
Small sample (n=31)
Gemcitabine-refractory → worst prognosis group
Selection bias (ECOG 0–1)</v>
          </cell>
        </row>
        <row r="14">
          <cell r="A14" t="str">
            <v>NCT01560949</v>
          </cell>
          <cell r="B14" t="str">
            <v>Single-arm</v>
          </cell>
          <cell r="C14">
            <v>33</v>
          </cell>
          <cell r="D14" t="str">
            <v>mFOLFIRINOX → gemcitabine-based CRT → surgery</v>
          </cell>
          <cell r="E14" t="str">
            <v>Borderline resectable / high-risk resectable</v>
          </cell>
          <cell r="F14" t="str">
            <v>Resectability rate</v>
          </cell>
          <cell r="G14" t="str">
            <v>15/33 (45.5%)</v>
          </cell>
          <cell r="J14" t="str">
            <v>Single-arm
Registry percentage/count formatting errors
Small sample
Mixed high-risk resectable + borderline resectable population
Survival and recurrence strongly influenced by post-selection to surgery
DFS CI not estimable at upper bound</v>
          </cell>
        </row>
        <row r="15">
          <cell r="A15" t="str">
            <v>NCT01146054</v>
          </cell>
          <cell r="B15" t="str">
            <v>Single-arm</v>
          </cell>
          <cell r="C15">
            <v>49</v>
          </cell>
          <cell r="D15" t="str">
            <v>SBRT + Gemcitabine</v>
          </cell>
          <cell r="E15" t="str">
            <v>Locally advanced unresectable, nonmetastatic</v>
          </cell>
          <cell r="F15" t="str">
            <v>Late GI toxicity ≥Grade 2 at 1 year</v>
          </cell>
          <cell r="G15" t="str">
            <v>5/49 (10.2%)</v>
          </cell>
          <cell r="J15" t="str">
            <v>Single-arm
No comparator
Primary endpoint is safety, not efficacy
Toxicity reported as counts, not full comparative risk framework
Locally advanced-only population
Good local control metric (FFLP) but no direct comparator for systemic outcomes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CF0FE50-E0E9-45A9-ADA9-EEE57B3834A9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f35c016d-ae47-4c53-bc4a-a1c1c7d30870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D161B-A296-43E6-8D8A-555953F2A068}">
  <dimension ref="A1:AC102"/>
  <sheetViews>
    <sheetView tabSelected="1" zoomScale="70" zoomScaleNormal="70" workbookViewId="0">
      <selection activeCell="A2" sqref="A2"/>
    </sheetView>
  </sheetViews>
  <sheetFormatPr defaultRowHeight="14.4" x14ac:dyDescent="0.3"/>
  <cols>
    <col min="1" max="1" width="7.44140625" customWidth="1"/>
    <col min="2" max="2" width="17.5546875" customWidth="1"/>
    <col min="3" max="3" width="27.77734375" customWidth="1"/>
    <col min="4" max="4" width="25.88671875" customWidth="1"/>
    <col min="5" max="5" width="27.77734375" customWidth="1"/>
    <col min="6" max="6" width="17.5546875" customWidth="1"/>
    <col min="7" max="8" width="18.5546875" customWidth="1"/>
    <col min="9" max="9" width="24.109375" customWidth="1"/>
    <col min="10" max="10" width="14.77734375" customWidth="1"/>
    <col min="11" max="11" width="13" customWidth="1"/>
    <col min="12" max="15" width="15.77734375" customWidth="1"/>
    <col min="16" max="16" width="13.88671875" customWidth="1"/>
    <col min="17" max="17" width="16.6640625" customWidth="1"/>
    <col min="18" max="21" width="13.88671875" customWidth="1"/>
    <col min="22" max="22" width="14.77734375" customWidth="1"/>
    <col min="23" max="23" width="20.33203125" customWidth="1"/>
    <col min="24" max="24" width="24.109375" customWidth="1"/>
    <col min="25" max="25" width="10.21875" customWidth="1"/>
    <col min="26" max="26" width="14.77734375" customWidth="1"/>
    <col min="27" max="27" width="10.21875" customWidth="1"/>
    <col min="28" max="28" width="11.109375" customWidth="1"/>
    <col min="29" max="29" width="27.77734375" customWidth="1"/>
  </cols>
  <sheetData>
    <row r="1" spans="1:29" ht="18" x14ac:dyDescent="0.35">
      <c r="A1" s="1" t="s">
        <v>0</v>
      </c>
    </row>
    <row r="2" spans="1:29" x14ac:dyDescent="0.3">
      <c r="J2" s="2" t="s">
        <v>1</v>
      </c>
      <c r="R2" s="3" t="s">
        <v>2</v>
      </c>
      <c r="Y2" s="4" t="s">
        <v>3</v>
      </c>
    </row>
    <row r="3" spans="1:29" ht="46.05" customHeight="1" x14ac:dyDescent="0.3">
      <c r="A3" s="5" t="s">
        <v>4</v>
      </c>
      <c r="B3" s="5" t="s">
        <v>5</v>
      </c>
      <c r="C3" s="5" t="s">
        <v>6</v>
      </c>
      <c r="D3" s="5" t="s">
        <v>7</v>
      </c>
      <c r="E3" s="5" t="s">
        <v>8</v>
      </c>
      <c r="F3" s="5" t="s">
        <v>9</v>
      </c>
      <c r="G3" s="5" t="s">
        <v>10</v>
      </c>
      <c r="H3" s="5" t="s">
        <v>11</v>
      </c>
      <c r="I3" s="5" t="s">
        <v>12</v>
      </c>
      <c r="J3" s="5" t="s">
        <v>13</v>
      </c>
      <c r="K3" s="5" t="s">
        <v>14</v>
      </c>
      <c r="L3" s="5" t="s">
        <v>15</v>
      </c>
      <c r="M3" s="5" t="s">
        <v>16</v>
      </c>
      <c r="N3" s="5" t="s">
        <v>17</v>
      </c>
      <c r="O3" s="5" t="s">
        <v>18</v>
      </c>
      <c r="P3" s="5" t="s">
        <v>19</v>
      </c>
      <c r="Q3" s="5" t="s">
        <v>20</v>
      </c>
      <c r="R3" s="5" t="s">
        <v>21</v>
      </c>
      <c r="S3" s="5" t="s">
        <v>22</v>
      </c>
      <c r="T3" s="5" t="s">
        <v>23</v>
      </c>
      <c r="U3" s="5" t="s">
        <v>24</v>
      </c>
      <c r="V3" s="5" t="s">
        <v>25</v>
      </c>
      <c r="W3" s="5" t="s">
        <v>26</v>
      </c>
      <c r="X3" s="5" t="s">
        <v>27</v>
      </c>
      <c r="Y3" s="6" t="s">
        <v>28</v>
      </c>
      <c r="Z3" s="6" t="s">
        <v>29</v>
      </c>
      <c r="AA3" s="6" t="s">
        <v>30</v>
      </c>
      <c r="AB3" s="6" t="s">
        <v>31</v>
      </c>
      <c r="AC3" s="6" t="s">
        <v>32</v>
      </c>
    </row>
    <row r="4" spans="1:29" ht="27.6" x14ac:dyDescent="0.3">
      <c r="A4" s="7">
        <f>'[1]Data extraction'!A2</f>
        <v>1</v>
      </c>
      <c r="B4" s="7" t="str">
        <f>'[1]Data extraction'!B2</f>
        <v>Wang 2026</v>
      </c>
      <c r="C4" s="8" t="str">
        <f>'[1]Data extraction'!C2</f>
        <v>UFM1</v>
      </c>
      <c r="D4" s="8" t="str">
        <f>'[1]Data extraction'!D2</f>
        <v>Protein</v>
      </c>
      <c r="E4" s="8" t="str">
        <f>'[1]Data extraction'!E2</f>
        <v>Proteomics</v>
      </c>
      <c r="F4" s="8">
        <f>'[1]Data extraction'!F2</f>
        <v>101</v>
      </c>
      <c r="G4" s="8" t="str">
        <f>'[1]Data extraction'!H2</f>
        <v>Single biomarker</v>
      </c>
      <c r="H4" s="8" t="str">
        <f>'[1]Data extraction'!I2</f>
        <v>yes</v>
      </c>
      <c r="I4" s="8" t="str">
        <f>'[1]Data extraction'!J2</f>
        <v>yes (internal independent cohort)</v>
      </c>
      <c r="J4" s="9" t="str">
        <f t="shared" ref="J4:J60" si="0">IF($Y4="","High",IF($Y4&lt;100,"High","Moderate"))</f>
        <v>Moderate</v>
      </c>
      <c r="K4" s="9" t="str">
        <f t="shared" ref="K4:K60" si="1">IF($Y4="","High","Low")</f>
        <v>Low</v>
      </c>
      <c r="L4" s="9" t="str">
        <f>IF(SUMPRODUCT(--ISNUMBER(SEARCH({"proteom","protein","IHC","qPCR","qRT-PCR","experimental","in vitro","RT-PCR","spatial"},$E4&amp;"|"&amp;$I4)))&gt;0,"Low","Moderate")</f>
        <v>Low</v>
      </c>
      <c r="M4" s="9" t="str">
        <f>IF(SUMPRODUCT(--ISNUMBER(SEARCH({"OS","CSS","PFS","DFS","DSS","survival","recurrence"},'[1]Data extraction'!$K2&amp;"|")))&gt;0,"Low","Moderate")</f>
        <v>Low</v>
      </c>
      <c r="N4" s="9" t="str">
        <f>IF(SUMPRODUCT(--ISNUMBER(SEARCH({"clinical covariates","includes stage"},$H4&amp;"|")))&gt;0,"Low",IF(TRIM(LOWER($H4))="no","High","Moderate"))</f>
        <v>Moderate</v>
      </c>
      <c r="O4" s="9" t="str">
        <f t="shared" ref="O4:O60" si="2">IF($Z4="External","Low",IF($Z4="None","High","Moderate"))</f>
        <v>Moderate</v>
      </c>
      <c r="P4" s="10" t="str">
        <f t="shared" ref="P4:P60" si="3">IF(COUNTIF($J4:$O4,"High")&gt;0,"High",IF(COUNTIF($J4:$O4,"Moderate")&gt;0,"Moderate","Low"))</f>
        <v>Moderate</v>
      </c>
      <c r="Q4" s="9" t="str">
        <f t="shared" ref="Q4:Q60" si="4">IF($AA4=1,"Yes","No (prognostic factor only)")</f>
        <v>No (prognostic factor only)</v>
      </c>
      <c r="R4" s="9" t="str">
        <f t="shared" ref="R4:R60" si="5">IF($AA4=1,SUBSTITUTE($J4,"Moderate","Unclear"),"n/a")</f>
        <v>n/a</v>
      </c>
      <c r="S4" s="9" t="str">
        <f t="shared" ref="S4:S60" si="6">IF($AA4=1,SUBSTITUTE($L4,"Moderate","Unclear"),"n/a")</f>
        <v>n/a</v>
      </c>
      <c r="T4" s="9" t="str">
        <f t="shared" ref="T4:T60" si="7">IF($AA4=1,SUBSTITUTE($M4,"Moderate","Unclear"),"n/a")</f>
        <v>n/a</v>
      </c>
      <c r="U4" s="9" t="str">
        <f t="shared" ref="U4:U60" si="8">IF($AA4=0,"n/a",IF(OR($Z4&lt;&gt;"External",$Y4="",$Y4&lt;100),"High","Unclear"))</f>
        <v>n/a</v>
      </c>
      <c r="V4" s="10" t="str">
        <f t="shared" ref="V4:V60" si="9">IF($AA4=0,"n/a",IF(COUNTIF($R4:$U4,"High")&gt;0,"High",IF(COUNTIF($R4:$U4,"Unclear")&gt;0,"Unclear","Low")))</f>
        <v>n/a</v>
      </c>
      <c r="W4" s="9" t="str">
        <f>IF(SUMPRODUCT(--ISNUMBER(SEARCH({"IHC","proteom","qPCR","RT-PCR","serum","circulating","Histopathology"},$E4&amp;"|")))&gt;0,"Low concern (assay clinically deployable)","High concern (research-grade multi-omics)")</f>
        <v>Low concern (assay clinically deployable)</v>
      </c>
      <c r="X4" s="9" t="str">
        <f t="shared" ref="X4:X60" si="10">_xlfn.TEXTJOIN(", ",TRUE,IF($J4="High","Participation",""),IF($K4="High","Attrition",""),IF($L4="High","PF measurement",""),IF($M4="High","Outcome",""),IF($N4="High","Confounding",""),IF($O4="High","Analysis/reporting",""),IF($U4="High","PROBAST analysis",""))</f>
        <v/>
      </c>
      <c r="Y4" s="11">
        <f t="shared" ref="Y4:Y60" si="11">IFERROR(VALUE(LEFT($AB4,MIN(FIND(" ",$AB4&amp;" "),FIND("+",$AB4&amp;"+"),FIND("(",$AB4&amp;"("))-1)),"")</f>
        <v>101</v>
      </c>
      <c r="Z4" s="11" t="str">
        <f>IF(SUMPRODUCT(--ISNUMBER(SEARCH({"no external","no ext"},$I4&amp;"|")))&gt;0,IF(ISNUMBER(SEARCH("partial",$I4)),"Internal/partial","None"),IF(TRIM(LOWER($I4))="no","None",IF(ISNUMBER(SEARCH("partial",$I4)),"Internal/partial",IF(SUMPRODUCT(--ISNUMBER(SEARCH({"external","GEO","GSE","ICGC","CPTAC","multi-cohort","multi-level","multicenter","trial","TCGA","clinical cohort"},$I4&amp;"|")))&gt;0,"External",IF(SUMPRODUCT(--ISNUMBER(SEARCH({"internal","limited","only"},$I4&amp;"|")))&gt;0,"Internal/partial","Unclear")))))</f>
        <v>Internal/partial</v>
      </c>
      <c r="AA4" s="11">
        <f>IF(SUMPRODUCT(--ISNUMBER(SEARCH({"risk score","model","nomogram","signature","clustering","classifier","classification","LASSO","RSF"},$G4&amp;"|")))&gt;0,1,0)</f>
        <v>0</v>
      </c>
      <c r="AB4" s="11" t="str">
        <f t="shared" ref="AB4:AB60" si="12">SUBSTITUTE(SUBSTITUTE(TRIM($F4),"~",""),"≈","")</f>
        <v>101</v>
      </c>
      <c r="AC4" s="11" t="str">
        <f>IF(ISNUMBER(SEARCH("liquid biopsy",$D4)),"Liquid-biopsy markers",IF(SUMPRODUCT(--ISNUMBER(SEARCH({"multi-gene","multi-protein"},$D4&amp;"|")))&gt;0,"Multi-gene / multi-protein signatures",IF(SUMPRODUCT(--ISNUMBER(SEARCH({"single gene","single-gene","single protein","single biomarker"},$D4&amp;"|")))&gt;0,"Single-gene / single-protein markers",IF(LOWER(TRIM($D4))="protein","Single-gene / single-protein markers","Pathway, epigenetic, multi-modal &amp; histopathologic markers"))))</f>
        <v>Single-gene / single-protein markers</v>
      </c>
    </row>
    <row r="5" spans="1:29" ht="27.6" x14ac:dyDescent="0.3">
      <c r="A5" s="7">
        <f>'[1]Data extraction'!A3</f>
        <v>2</v>
      </c>
      <c r="B5" s="7" t="str">
        <f>'[1]Data extraction'!B3</f>
        <v>Wang 2026</v>
      </c>
      <c r="C5" s="8" t="str">
        <f>'[1]Data extraction'!C3</f>
        <v>9-gene signature (TP53, EP300, PIAS1 etc.)</v>
      </c>
      <c r="D5" s="8" t="str">
        <f>'[1]Data extraction'!D3</f>
        <v>Multi-gene</v>
      </c>
      <c r="E5" s="8" t="str">
        <f>'[1]Data extraction'!E3</f>
        <v>Transcriptomics (scRNA + bulk)</v>
      </c>
      <c r="F5" s="8" t="str">
        <f>'[1]Data extraction'!F3</f>
        <v>NR</v>
      </c>
      <c r="G5" s="8" t="str">
        <f>'[1]Data extraction'!H3</f>
        <v>Risk score model</v>
      </c>
      <c r="H5" s="8" t="str">
        <f>'[1]Data extraction'!I3</f>
        <v>yes (LASSO)</v>
      </c>
      <c r="I5" s="8" t="str">
        <f>'[1]Data extraction'!J3</f>
        <v>yes (ICGC + experimental)</v>
      </c>
      <c r="J5" s="9" t="str">
        <f t="shared" si="0"/>
        <v>High</v>
      </c>
      <c r="K5" s="9" t="str">
        <f t="shared" si="1"/>
        <v>High</v>
      </c>
      <c r="L5" s="9" t="str">
        <f>IF(SUMPRODUCT(--ISNUMBER(SEARCH({"proteom","protein","IHC","qPCR","qRT-PCR","experimental","in vitro","RT-PCR","spatial"},$E5&amp;"|"&amp;$I5)))&gt;0,"Low","Moderate")</f>
        <v>Low</v>
      </c>
      <c r="M5" s="9" t="str">
        <f>IF(SUMPRODUCT(--ISNUMBER(SEARCH({"OS","CSS","PFS","DFS","DSS","survival","recurrence"},'[1]Data extraction'!$K3&amp;"|")))&gt;0,"Low","Moderate")</f>
        <v>Low</v>
      </c>
      <c r="N5" s="9" t="str">
        <f>IF(SUMPRODUCT(--ISNUMBER(SEARCH({"clinical covariates","includes stage"},$H5&amp;"|")))&gt;0,"Low",IF(TRIM(LOWER($H5))="no","High","Moderate"))</f>
        <v>Moderate</v>
      </c>
      <c r="O5" s="9" t="str">
        <f t="shared" si="2"/>
        <v>Low</v>
      </c>
      <c r="P5" s="10" t="str">
        <f t="shared" si="3"/>
        <v>High</v>
      </c>
      <c r="Q5" s="9" t="str">
        <f t="shared" si="4"/>
        <v>Yes</v>
      </c>
      <c r="R5" s="9" t="str">
        <f t="shared" si="5"/>
        <v>High</v>
      </c>
      <c r="S5" s="9" t="str">
        <f t="shared" si="6"/>
        <v>Low</v>
      </c>
      <c r="T5" s="9" t="str">
        <f t="shared" si="7"/>
        <v>Low</v>
      </c>
      <c r="U5" s="9" t="str">
        <f t="shared" si="8"/>
        <v>High</v>
      </c>
      <c r="V5" s="10" t="str">
        <f t="shared" si="9"/>
        <v>High</v>
      </c>
      <c r="W5" s="9" t="str">
        <f>IF(SUMPRODUCT(--ISNUMBER(SEARCH({"IHC","proteom","qPCR","RT-PCR","serum","circulating","Histopathology"},$E5&amp;"|")))&gt;0,"Low concern (assay clinically deployable)","High concern (research-grade multi-omics)")</f>
        <v>High concern (research-grade multi-omics)</v>
      </c>
      <c r="X5" s="9" t="str">
        <f t="shared" si="10"/>
        <v>Participation, Attrition, PROBAST analysis</v>
      </c>
      <c r="Y5" s="11" t="str">
        <f t="shared" si="11"/>
        <v/>
      </c>
      <c r="Z5" s="11" t="str">
        <f>IF(SUMPRODUCT(--ISNUMBER(SEARCH({"no external","no ext"},$I5&amp;"|")))&gt;0,IF(ISNUMBER(SEARCH("partial",$I5)),"Internal/partial","None"),IF(TRIM(LOWER($I5))="no","None",IF(ISNUMBER(SEARCH("partial",$I5)),"Internal/partial",IF(SUMPRODUCT(--ISNUMBER(SEARCH({"external","GEO","GSE","ICGC","CPTAC","multi-cohort","multi-level","multicenter","trial","TCGA","clinical cohort"},$I5&amp;"|")))&gt;0,"External",IF(SUMPRODUCT(--ISNUMBER(SEARCH({"internal","limited","only"},$I5&amp;"|")))&gt;0,"Internal/partial","Unclear")))))</f>
        <v>External</v>
      </c>
      <c r="AA5" s="11">
        <f>IF(SUMPRODUCT(--ISNUMBER(SEARCH({"risk score","model","nomogram","signature","clustering","classifier","classification","LASSO","RSF"},$G5&amp;"|")))&gt;0,1,0)</f>
        <v>1</v>
      </c>
      <c r="AB5" s="11" t="str">
        <f t="shared" si="12"/>
        <v>NR</v>
      </c>
      <c r="AC5" s="11" t="str">
        <f>IF(ISNUMBER(SEARCH("liquid biopsy",$D5)),"Liquid-biopsy markers",IF(SUMPRODUCT(--ISNUMBER(SEARCH({"multi-gene","multi-protein"},$D5&amp;"|")))&gt;0,"Multi-gene / multi-protein signatures",IF(SUMPRODUCT(--ISNUMBER(SEARCH({"single gene","single-gene","single protein","single biomarker"},$D5&amp;"|")))&gt;0,"Single-gene / single-protein markers",IF(LOWER(TRIM($D5))="protein","Single-gene / single-protein markers","Pathway, epigenetic, multi-modal &amp; histopathologic markers"))))</f>
        <v>Multi-gene / multi-protein signatures</v>
      </c>
    </row>
    <row r="6" spans="1:29" ht="27.6" x14ac:dyDescent="0.3">
      <c r="A6" s="7">
        <f>'[1]Data extraction'!A4</f>
        <v>3</v>
      </c>
      <c r="B6" s="7" t="str">
        <f>'[1]Data extraction'!B4</f>
        <v>Li 2026</v>
      </c>
      <c r="C6" s="8" t="str">
        <f>'[1]Data extraction'!C4</f>
        <v>3-gene MRS (CAT, CEBPB, PRKN)</v>
      </c>
      <c r="D6" s="8" t="str">
        <f>'[1]Data extraction'!D4</f>
        <v>Multi-gene</v>
      </c>
      <c r="E6" s="8" t="str">
        <f>'[1]Data extraction'!E4</f>
        <v>Transcriptomics + proteomics</v>
      </c>
      <c r="F6" s="8" t="str">
        <f>'[1]Data extraction'!F4</f>
        <v>177 + external</v>
      </c>
      <c r="G6" s="8" t="str">
        <f>'[1]Data extraction'!H4</f>
        <v>ML risk score</v>
      </c>
      <c r="H6" s="8" t="str">
        <f>'[1]Data extraction'!I4</f>
        <v>yes</v>
      </c>
      <c r="I6" s="8" t="str">
        <f>'[1]Data extraction'!J4</f>
        <v>✔✔ (GEO + CPTAC)</v>
      </c>
      <c r="J6" s="9" t="str">
        <f t="shared" si="0"/>
        <v>Moderate</v>
      </c>
      <c r="K6" s="9" t="str">
        <f t="shared" si="1"/>
        <v>Low</v>
      </c>
      <c r="L6" s="9" t="str">
        <f>IF(SUMPRODUCT(--ISNUMBER(SEARCH({"proteom","protein","IHC","qPCR","qRT-PCR","experimental","in vitro","RT-PCR","spatial"},$E6&amp;"|"&amp;$I6)))&gt;0,"Low","Moderate")</f>
        <v>Low</v>
      </c>
      <c r="M6" s="9" t="str">
        <f>IF(SUMPRODUCT(--ISNUMBER(SEARCH({"OS","CSS","PFS","DFS","DSS","survival","recurrence"},'[1]Data extraction'!$K4&amp;"|")))&gt;0,"Low","Moderate")</f>
        <v>Low</v>
      </c>
      <c r="N6" s="9" t="str">
        <f>IF(SUMPRODUCT(--ISNUMBER(SEARCH({"clinical covariates","includes stage"},$H6&amp;"|")))&gt;0,"Low",IF(TRIM(LOWER($H6))="no","High","Moderate"))</f>
        <v>Moderate</v>
      </c>
      <c r="O6" s="9" t="str">
        <f t="shared" si="2"/>
        <v>Low</v>
      </c>
      <c r="P6" s="10" t="str">
        <f t="shared" si="3"/>
        <v>Moderate</v>
      </c>
      <c r="Q6" s="9" t="str">
        <f t="shared" si="4"/>
        <v>Yes</v>
      </c>
      <c r="R6" s="9" t="str">
        <f t="shared" si="5"/>
        <v>Unclear</v>
      </c>
      <c r="S6" s="9" t="str">
        <f t="shared" si="6"/>
        <v>Low</v>
      </c>
      <c r="T6" s="9" t="str">
        <f t="shared" si="7"/>
        <v>Low</v>
      </c>
      <c r="U6" s="9" t="str">
        <f t="shared" si="8"/>
        <v>Unclear</v>
      </c>
      <c r="V6" s="10" t="str">
        <f t="shared" si="9"/>
        <v>Unclear</v>
      </c>
      <c r="W6" s="9" t="str">
        <f>IF(SUMPRODUCT(--ISNUMBER(SEARCH({"IHC","proteom","qPCR","RT-PCR","serum","circulating","Histopathology"},$E6&amp;"|")))&gt;0,"Low concern (assay clinically deployable)","High concern (research-grade multi-omics)")</f>
        <v>Low concern (assay clinically deployable)</v>
      </c>
      <c r="X6" s="9" t="str">
        <f t="shared" si="10"/>
        <v/>
      </c>
      <c r="Y6" s="11">
        <f t="shared" si="11"/>
        <v>177</v>
      </c>
      <c r="Z6" s="11" t="str">
        <f>IF(SUMPRODUCT(--ISNUMBER(SEARCH({"no external","no ext"},$I6&amp;"|")))&gt;0,IF(ISNUMBER(SEARCH("partial",$I6)),"Internal/partial","None"),IF(TRIM(LOWER($I6))="no","None",IF(ISNUMBER(SEARCH("partial",$I6)),"Internal/partial",IF(SUMPRODUCT(--ISNUMBER(SEARCH({"external","GEO","GSE","ICGC","CPTAC","multi-cohort","multi-level","multicenter","trial","TCGA","clinical cohort"},$I6&amp;"|")))&gt;0,"External",IF(SUMPRODUCT(--ISNUMBER(SEARCH({"internal","limited","only"},$I6&amp;"|")))&gt;0,"Internal/partial","Unclear")))))</f>
        <v>External</v>
      </c>
      <c r="AA6" s="11">
        <f>IF(SUMPRODUCT(--ISNUMBER(SEARCH({"risk score","model","nomogram","signature","clustering","classifier","classification","LASSO","RSF"},$G6&amp;"|")))&gt;0,1,0)</f>
        <v>1</v>
      </c>
      <c r="AB6" s="11" t="str">
        <f t="shared" si="12"/>
        <v>177 + external</v>
      </c>
      <c r="AC6" s="11" t="str">
        <f>IF(ISNUMBER(SEARCH("liquid biopsy",$D6)),"Liquid-biopsy markers",IF(SUMPRODUCT(--ISNUMBER(SEARCH({"multi-gene","multi-protein"},$D6&amp;"|")))&gt;0,"Multi-gene / multi-protein signatures",IF(SUMPRODUCT(--ISNUMBER(SEARCH({"single gene","single-gene","single protein","single biomarker"},$D6&amp;"|")))&gt;0,"Single-gene / single-protein markers",IF(LOWER(TRIM($D6))="protein","Single-gene / single-protein markers","Pathway, epigenetic, multi-modal &amp; histopathologic markers"))))</f>
        <v>Multi-gene / multi-protein signatures</v>
      </c>
    </row>
    <row r="7" spans="1:29" ht="27.6" x14ac:dyDescent="0.3">
      <c r="A7" s="7">
        <f>'[1]Data extraction'!A5</f>
        <v>4</v>
      </c>
      <c r="B7" s="7" t="str">
        <f>'[1]Data extraction'!B5</f>
        <v>Ge 2026</v>
      </c>
      <c r="C7" s="8" t="str">
        <f>'[1]Data extraction'!C5</f>
        <v>LMRGS (lactate metabolism gene signature)</v>
      </c>
      <c r="D7" s="8" t="str">
        <f>'[1]Data extraction'!D5</f>
        <v>Multi-gene ML signature</v>
      </c>
      <c r="E7" s="8" t="str">
        <f>'[1]Data extraction'!E5</f>
        <v>Transcriptomics + ML</v>
      </c>
      <c r="F7" s="8" t="str">
        <f>'[1]Data extraction'!F5</f>
        <v>Multi-cohort</v>
      </c>
      <c r="G7" s="8" t="str">
        <f>'[1]Data extraction'!H5</f>
        <v>ML + Cox model</v>
      </c>
      <c r="H7" s="8" t="str">
        <f>'[1]Data extraction'!I5</f>
        <v>yes</v>
      </c>
      <c r="I7" s="8" t="str">
        <f>'[1]Data extraction'!J5</f>
        <v>✔✔ multi-cohort</v>
      </c>
      <c r="J7" s="9" t="str">
        <f t="shared" si="0"/>
        <v>High</v>
      </c>
      <c r="K7" s="9" t="str">
        <f t="shared" si="1"/>
        <v>High</v>
      </c>
      <c r="L7" s="9" t="str">
        <f>IF(SUMPRODUCT(--ISNUMBER(SEARCH({"proteom","protein","IHC","qPCR","qRT-PCR","experimental","in vitro","RT-PCR","spatial"},$E7&amp;"|"&amp;$I7)))&gt;0,"Low","Moderate")</f>
        <v>Moderate</v>
      </c>
      <c r="M7" s="9" t="str">
        <f>IF(SUMPRODUCT(--ISNUMBER(SEARCH({"OS","CSS","PFS","DFS","DSS","survival","recurrence"},'[1]Data extraction'!$K5&amp;"|")))&gt;0,"Low","Moderate")</f>
        <v>Low</v>
      </c>
      <c r="N7" s="9" t="str">
        <f>IF(SUMPRODUCT(--ISNUMBER(SEARCH({"clinical covariates","includes stage"},$H7&amp;"|")))&gt;0,"Low",IF(TRIM(LOWER($H7))="no","High","Moderate"))</f>
        <v>Moderate</v>
      </c>
      <c r="O7" s="9" t="str">
        <f t="shared" si="2"/>
        <v>Low</v>
      </c>
      <c r="P7" s="10" t="str">
        <f t="shared" si="3"/>
        <v>High</v>
      </c>
      <c r="Q7" s="9" t="str">
        <f t="shared" si="4"/>
        <v>Yes</v>
      </c>
      <c r="R7" s="9" t="str">
        <f t="shared" si="5"/>
        <v>High</v>
      </c>
      <c r="S7" s="9" t="str">
        <f t="shared" si="6"/>
        <v>Unclear</v>
      </c>
      <c r="T7" s="9" t="str">
        <f t="shared" si="7"/>
        <v>Low</v>
      </c>
      <c r="U7" s="9" t="str">
        <f t="shared" si="8"/>
        <v>High</v>
      </c>
      <c r="V7" s="10" t="str">
        <f t="shared" si="9"/>
        <v>High</v>
      </c>
      <c r="W7" s="9" t="str">
        <f>IF(SUMPRODUCT(--ISNUMBER(SEARCH({"IHC","proteom","qPCR","RT-PCR","serum","circulating","Histopathology"},$E7&amp;"|")))&gt;0,"Low concern (assay clinically deployable)","High concern (research-grade multi-omics)")</f>
        <v>High concern (research-grade multi-omics)</v>
      </c>
      <c r="X7" s="9" t="str">
        <f t="shared" si="10"/>
        <v>Participation, Attrition, PROBAST analysis</v>
      </c>
      <c r="Y7" s="11" t="str">
        <f t="shared" si="11"/>
        <v/>
      </c>
      <c r="Z7" s="11" t="str">
        <f>IF(SUMPRODUCT(--ISNUMBER(SEARCH({"no external","no ext"},$I7&amp;"|")))&gt;0,IF(ISNUMBER(SEARCH("partial",$I7)),"Internal/partial","None"),IF(TRIM(LOWER($I7))="no","None",IF(ISNUMBER(SEARCH("partial",$I7)),"Internal/partial",IF(SUMPRODUCT(--ISNUMBER(SEARCH({"external","GEO","GSE","ICGC","CPTAC","multi-cohort","multi-level","multicenter","trial","TCGA","clinical cohort"},$I7&amp;"|")))&gt;0,"External",IF(SUMPRODUCT(--ISNUMBER(SEARCH({"internal","limited","only"},$I7&amp;"|")))&gt;0,"Internal/partial","Unclear")))))</f>
        <v>External</v>
      </c>
      <c r="AA7" s="11">
        <f>IF(SUMPRODUCT(--ISNUMBER(SEARCH({"risk score","model","nomogram","signature","clustering","classifier","classification","LASSO","RSF"},$G7&amp;"|")))&gt;0,1,0)</f>
        <v>1</v>
      </c>
      <c r="AB7" s="11" t="str">
        <f t="shared" si="12"/>
        <v>Multi-cohort</v>
      </c>
      <c r="AC7" s="11" t="str">
        <f>IF(ISNUMBER(SEARCH("liquid biopsy",$D7)),"Liquid-biopsy markers",IF(SUMPRODUCT(--ISNUMBER(SEARCH({"multi-gene","multi-protein"},$D7&amp;"|")))&gt;0,"Multi-gene / multi-protein signatures",IF(SUMPRODUCT(--ISNUMBER(SEARCH({"single gene","single-gene","single protein","single biomarker"},$D7&amp;"|")))&gt;0,"Single-gene / single-protein markers",IF(LOWER(TRIM($D7))="protein","Single-gene / single-protein markers","Pathway, epigenetic, multi-modal &amp; histopathologic markers"))))</f>
        <v>Multi-gene / multi-protein signatures</v>
      </c>
    </row>
    <row r="8" spans="1:29" ht="41.4" x14ac:dyDescent="0.3">
      <c r="A8" s="7">
        <f>'[1]Data extraction'!A6</f>
        <v>5</v>
      </c>
      <c r="B8" s="7" t="str">
        <f>'[1]Data extraction'!B6</f>
        <v>Zhou 2025</v>
      </c>
      <c r="C8" s="8" t="str">
        <f>'[1]Data extraction'!C6</f>
        <v>6-gene PCLM-BM signature (COL7A1, ITGA6, ITGA7, ITGB5, ITGB7, NTN4)</v>
      </c>
      <c r="D8" s="8" t="str">
        <f>'[1]Data extraction'!D6</f>
        <v>Multi-gene (metastasis/BM)</v>
      </c>
      <c r="E8" s="8" t="str">
        <f>'[1]Data extraction'!E6</f>
        <v>Transcriptomics + scRNA</v>
      </c>
      <c r="F8" s="8" t="str">
        <f>'[1]Data extraction'!F6</f>
        <v>~433</v>
      </c>
      <c r="G8" s="8" t="str">
        <f>'[1]Data extraction'!H6</f>
        <v>LASSO + RSF + Cox</v>
      </c>
      <c r="H8" s="8" t="str">
        <f>'[1]Data extraction'!I6</f>
        <v>yes</v>
      </c>
      <c r="I8" s="8" t="str">
        <f>'[1]Data extraction'!J6</f>
        <v>✔ external (ICGC)</v>
      </c>
      <c r="J8" s="9" t="str">
        <f t="shared" si="0"/>
        <v>Moderate</v>
      </c>
      <c r="K8" s="9" t="str">
        <f t="shared" si="1"/>
        <v>Low</v>
      </c>
      <c r="L8" s="9" t="str">
        <f>IF(SUMPRODUCT(--ISNUMBER(SEARCH({"proteom","protein","IHC","qPCR","qRT-PCR","experimental","in vitro","RT-PCR","spatial"},$E8&amp;"|"&amp;$I8)))&gt;0,"Low","Moderate")</f>
        <v>Moderate</v>
      </c>
      <c r="M8" s="9" t="str">
        <f>IF(SUMPRODUCT(--ISNUMBER(SEARCH({"OS","CSS","PFS","DFS","DSS","survival","recurrence"},'[1]Data extraction'!$K6&amp;"|")))&gt;0,"Low","Moderate")</f>
        <v>Low</v>
      </c>
      <c r="N8" s="9" t="str">
        <f>IF(SUMPRODUCT(--ISNUMBER(SEARCH({"clinical covariates","includes stage"},$H8&amp;"|")))&gt;0,"Low",IF(TRIM(LOWER($H8))="no","High","Moderate"))</f>
        <v>Moderate</v>
      </c>
      <c r="O8" s="9" t="str">
        <f t="shared" si="2"/>
        <v>Low</v>
      </c>
      <c r="P8" s="10" t="str">
        <f t="shared" si="3"/>
        <v>Moderate</v>
      </c>
      <c r="Q8" s="9" t="str">
        <f t="shared" si="4"/>
        <v>Yes</v>
      </c>
      <c r="R8" s="9" t="str">
        <f t="shared" si="5"/>
        <v>Unclear</v>
      </c>
      <c r="S8" s="9" t="str">
        <f t="shared" si="6"/>
        <v>Unclear</v>
      </c>
      <c r="T8" s="9" t="str">
        <f t="shared" si="7"/>
        <v>Low</v>
      </c>
      <c r="U8" s="9" t="str">
        <f t="shared" si="8"/>
        <v>Unclear</v>
      </c>
      <c r="V8" s="10" t="str">
        <f t="shared" si="9"/>
        <v>Unclear</v>
      </c>
      <c r="W8" s="9" t="str">
        <f>IF(SUMPRODUCT(--ISNUMBER(SEARCH({"IHC","proteom","qPCR","RT-PCR","serum","circulating","Histopathology"},$E8&amp;"|")))&gt;0,"Low concern (assay clinically deployable)","High concern (research-grade multi-omics)")</f>
        <v>High concern (research-grade multi-omics)</v>
      </c>
      <c r="X8" s="9" t="str">
        <f t="shared" si="10"/>
        <v/>
      </c>
      <c r="Y8" s="11">
        <f t="shared" si="11"/>
        <v>433</v>
      </c>
      <c r="Z8" s="11" t="str">
        <f>IF(SUMPRODUCT(--ISNUMBER(SEARCH({"no external","no ext"},$I8&amp;"|")))&gt;0,IF(ISNUMBER(SEARCH("partial",$I8)),"Internal/partial","None"),IF(TRIM(LOWER($I8))="no","None",IF(ISNUMBER(SEARCH("partial",$I8)),"Internal/partial",IF(SUMPRODUCT(--ISNUMBER(SEARCH({"external","GEO","GSE","ICGC","CPTAC","multi-cohort","multi-level","multicenter","trial","TCGA","clinical cohort"},$I8&amp;"|")))&gt;0,"External",IF(SUMPRODUCT(--ISNUMBER(SEARCH({"internal","limited","only"},$I8&amp;"|")))&gt;0,"Internal/partial","Unclear")))))</f>
        <v>External</v>
      </c>
      <c r="AA8" s="11">
        <f>IF(SUMPRODUCT(--ISNUMBER(SEARCH({"risk score","model","nomogram","signature","clustering","classifier","classification","LASSO","RSF"},$G8&amp;"|")))&gt;0,1,0)</f>
        <v>1</v>
      </c>
      <c r="AB8" s="11" t="str">
        <f t="shared" si="12"/>
        <v>433</v>
      </c>
      <c r="AC8" s="11" t="str">
        <f>IF(ISNUMBER(SEARCH("liquid biopsy",$D8)),"Liquid-biopsy markers",IF(SUMPRODUCT(--ISNUMBER(SEARCH({"multi-gene","multi-protein"},$D8&amp;"|")))&gt;0,"Multi-gene / multi-protein signatures",IF(SUMPRODUCT(--ISNUMBER(SEARCH({"single gene","single-gene","single protein","single biomarker"},$D8&amp;"|")))&gt;0,"Single-gene / single-protein markers",IF(LOWER(TRIM($D8))="protein","Single-gene / single-protein markers","Pathway, epigenetic, multi-modal &amp; histopathologic markers"))))</f>
        <v>Multi-gene / multi-protein signatures</v>
      </c>
    </row>
    <row r="9" spans="1:29" ht="27.6" x14ac:dyDescent="0.3">
      <c r="A9" s="7">
        <f>'[1]Data extraction'!A7</f>
        <v>6</v>
      </c>
      <c r="B9" s="7" t="str">
        <f>'[1]Data extraction'!B7</f>
        <v>Zhang 2025</v>
      </c>
      <c r="C9" s="8" t="str">
        <f>'[1]Data extraction'!C7</f>
        <v>MCMBP</v>
      </c>
      <c r="D9" s="8" t="str">
        <f>'[1]Data extraction'!D7</f>
        <v>Single-gene (immune/proliferation)</v>
      </c>
      <c r="E9" s="8" t="str">
        <f>'[1]Data extraction'!E7</f>
        <v>Multi-omics</v>
      </c>
      <c r="F9" s="8" t="str">
        <f>'[1]Data extraction'!F7</f>
        <v>Multi-cohort</v>
      </c>
      <c r="G9" s="8" t="str">
        <f>'[1]Data extraction'!H7</f>
        <v>Cox + multi-omics</v>
      </c>
      <c r="H9" s="8" t="str">
        <f>'[1]Data extraction'!I7</f>
        <v>yes</v>
      </c>
      <c r="I9" s="8" t="str">
        <f>'[1]Data extraction'!J7</f>
        <v>✔ (TCGA + CPTAC + IHC)</v>
      </c>
      <c r="J9" s="9" t="str">
        <f t="shared" si="0"/>
        <v>High</v>
      </c>
      <c r="K9" s="9" t="str">
        <f t="shared" si="1"/>
        <v>High</v>
      </c>
      <c r="L9" s="9" t="str">
        <f>IF(SUMPRODUCT(--ISNUMBER(SEARCH({"proteom","protein","IHC","qPCR","qRT-PCR","experimental","in vitro","RT-PCR","spatial"},$E9&amp;"|"&amp;$I9)))&gt;0,"Low","Moderate")</f>
        <v>Low</v>
      </c>
      <c r="M9" s="9" t="str">
        <f>IF(SUMPRODUCT(--ISNUMBER(SEARCH({"OS","CSS","PFS","DFS","DSS","survival","recurrence"},'[1]Data extraction'!$K7&amp;"|")))&gt;0,"Low","Moderate")</f>
        <v>Low</v>
      </c>
      <c r="N9" s="9" t="str">
        <f>IF(SUMPRODUCT(--ISNUMBER(SEARCH({"clinical covariates","includes stage"},$H9&amp;"|")))&gt;0,"Low",IF(TRIM(LOWER($H9))="no","High","Moderate"))</f>
        <v>Moderate</v>
      </c>
      <c r="O9" s="9" t="str">
        <f t="shared" si="2"/>
        <v>Low</v>
      </c>
      <c r="P9" s="10" t="str">
        <f t="shared" si="3"/>
        <v>High</v>
      </c>
      <c r="Q9" s="9" t="str">
        <f t="shared" si="4"/>
        <v>No (prognostic factor only)</v>
      </c>
      <c r="R9" s="9" t="str">
        <f t="shared" si="5"/>
        <v>n/a</v>
      </c>
      <c r="S9" s="9" t="str">
        <f t="shared" si="6"/>
        <v>n/a</v>
      </c>
      <c r="T9" s="9" t="str">
        <f t="shared" si="7"/>
        <v>n/a</v>
      </c>
      <c r="U9" s="9" t="str">
        <f t="shared" si="8"/>
        <v>n/a</v>
      </c>
      <c r="V9" s="10" t="str">
        <f t="shared" si="9"/>
        <v>n/a</v>
      </c>
      <c r="W9" s="9" t="str">
        <f>IF(SUMPRODUCT(--ISNUMBER(SEARCH({"IHC","proteom","qPCR","RT-PCR","serum","circulating","Histopathology"},$E9&amp;"|")))&gt;0,"Low concern (assay clinically deployable)","High concern (research-grade multi-omics)")</f>
        <v>High concern (research-grade multi-omics)</v>
      </c>
      <c r="X9" s="9" t="str">
        <f t="shared" si="10"/>
        <v>Participation, Attrition</v>
      </c>
      <c r="Y9" s="11" t="str">
        <f t="shared" si="11"/>
        <v/>
      </c>
      <c r="Z9" s="11" t="str">
        <f>IF(SUMPRODUCT(--ISNUMBER(SEARCH({"no external","no ext"},$I9&amp;"|")))&gt;0,IF(ISNUMBER(SEARCH("partial",$I9)),"Internal/partial","None"),IF(TRIM(LOWER($I9))="no","None",IF(ISNUMBER(SEARCH("partial",$I9)),"Internal/partial",IF(SUMPRODUCT(--ISNUMBER(SEARCH({"external","GEO","GSE","ICGC","CPTAC","multi-cohort","multi-level","multicenter","trial","TCGA","clinical cohort"},$I9&amp;"|")))&gt;0,"External",IF(SUMPRODUCT(--ISNUMBER(SEARCH({"internal","limited","only"},$I9&amp;"|")))&gt;0,"Internal/partial","Unclear")))))</f>
        <v>External</v>
      </c>
      <c r="AA9" s="11">
        <f>IF(SUMPRODUCT(--ISNUMBER(SEARCH({"risk score","model","nomogram","signature","clustering","classifier","classification","LASSO","RSF"},$G9&amp;"|")))&gt;0,1,0)</f>
        <v>0</v>
      </c>
      <c r="AB9" s="11" t="str">
        <f t="shared" si="12"/>
        <v>Multi-cohort</v>
      </c>
      <c r="AC9" s="11" t="str">
        <f>IF(ISNUMBER(SEARCH("liquid biopsy",$D9)),"Liquid-biopsy markers",IF(SUMPRODUCT(--ISNUMBER(SEARCH({"multi-gene","multi-protein"},$D9&amp;"|")))&gt;0,"Multi-gene / multi-protein signatures",IF(SUMPRODUCT(--ISNUMBER(SEARCH({"single gene","single-gene","single protein","single biomarker"},$D9&amp;"|")))&gt;0,"Single-gene / single-protein markers",IF(LOWER(TRIM($D9))="protein","Single-gene / single-protein markers","Pathway, epigenetic, multi-modal &amp; histopathologic markers"))))</f>
        <v>Single-gene / single-protein markers</v>
      </c>
    </row>
    <row r="10" spans="1:29" ht="27.6" x14ac:dyDescent="0.3">
      <c r="A10" s="7">
        <f>'[1]Data extraction'!A8</f>
        <v>7</v>
      </c>
      <c r="B10" s="7" t="str">
        <f>'[1]Data extraction'!B8</f>
        <v>Yu 2025</v>
      </c>
      <c r="C10" s="8" t="str">
        <f>'[1]Data extraction'!C8</f>
        <v>APOBEC mutagenesis score (AMrs)</v>
      </c>
      <c r="D10" s="8" t="str">
        <f>'[1]Data extraction'!D8</f>
        <v>Genomic instability / mutational processes</v>
      </c>
      <c r="E10" s="8" t="str">
        <f>'[1]Data extraction'!E8</f>
        <v>RNA-seq + WES + scRNA</v>
      </c>
      <c r="F10" s="8" t="str">
        <f>'[1]Data extraction'!F8</f>
        <v>~170–180</v>
      </c>
      <c r="G10" s="8" t="str">
        <f>'[1]Data extraction'!H8</f>
        <v>LASSO + Cox</v>
      </c>
      <c r="H10" s="8" t="str">
        <f>'[1]Data extraction'!I8</f>
        <v>yes</v>
      </c>
      <c r="I10" s="8" t="str">
        <f>'[1]Data extraction'!J8</f>
        <v>✔ external + experimental</v>
      </c>
      <c r="J10" s="9" t="str">
        <f t="shared" si="0"/>
        <v>High</v>
      </c>
      <c r="K10" s="9" t="str">
        <f t="shared" si="1"/>
        <v>High</v>
      </c>
      <c r="L10" s="9" t="str">
        <f>IF(SUMPRODUCT(--ISNUMBER(SEARCH({"proteom","protein","IHC","qPCR","qRT-PCR","experimental","in vitro","RT-PCR","spatial"},$E10&amp;"|"&amp;$I10)))&gt;0,"Low","Moderate")</f>
        <v>Low</v>
      </c>
      <c r="M10" s="9" t="str">
        <f>IF(SUMPRODUCT(--ISNUMBER(SEARCH({"OS","CSS","PFS","DFS","DSS","survival","recurrence"},'[1]Data extraction'!$K8&amp;"|")))&gt;0,"Low","Moderate")</f>
        <v>Low</v>
      </c>
      <c r="N10" s="9" t="str">
        <f>IF(SUMPRODUCT(--ISNUMBER(SEARCH({"clinical covariates","includes stage"},$H10&amp;"|")))&gt;0,"Low",IF(TRIM(LOWER($H10))="no","High","Moderate"))</f>
        <v>Moderate</v>
      </c>
      <c r="O10" s="9" t="str">
        <f t="shared" si="2"/>
        <v>Low</v>
      </c>
      <c r="P10" s="10" t="str">
        <f t="shared" si="3"/>
        <v>High</v>
      </c>
      <c r="Q10" s="9" t="str">
        <f t="shared" si="4"/>
        <v>Yes</v>
      </c>
      <c r="R10" s="9" t="str">
        <f t="shared" si="5"/>
        <v>High</v>
      </c>
      <c r="S10" s="9" t="str">
        <f t="shared" si="6"/>
        <v>Low</v>
      </c>
      <c r="T10" s="9" t="str">
        <f t="shared" si="7"/>
        <v>Low</v>
      </c>
      <c r="U10" s="9" t="str">
        <f t="shared" si="8"/>
        <v>High</v>
      </c>
      <c r="V10" s="10" t="str">
        <f t="shared" si="9"/>
        <v>High</v>
      </c>
      <c r="W10" s="9" t="str">
        <f>IF(SUMPRODUCT(--ISNUMBER(SEARCH({"IHC","proteom","qPCR","RT-PCR","serum","circulating","Histopathology"},$E10&amp;"|")))&gt;0,"Low concern (assay clinically deployable)","High concern (research-grade multi-omics)")</f>
        <v>High concern (research-grade multi-omics)</v>
      </c>
      <c r="X10" s="9" t="str">
        <f t="shared" si="10"/>
        <v>Participation, Attrition, PROBAST analysis</v>
      </c>
      <c r="Y10" s="11" t="str">
        <f t="shared" si="11"/>
        <v/>
      </c>
      <c r="Z10" s="11" t="str">
        <f>IF(SUMPRODUCT(--ISNUMBER(SEARCH({"no external","no ext"},$I10&amp;"|")))&gt;0,IF(ISNUMBER(SEARCH("partial",$I10)),"Internal/partial","None"),IF(TRIM(LOWER($I10))="no","None",IF(ISNUMBER(SEARCH("partial",$I10)),"Internal/partial",IF(SUMPRODUCT(--ISNUMBER(SEARCH({"external","GEO","GSE","ICGC","CPTAC","multi-cohort","multi-level","multicenter","trial","TCGA","clinical cohort"},$I10&amp;"|")))&gt;0,"External",IF(SUMPRODUCT(--ISNUMBER(SEARCH({"internal","limited","only"},$I10&amp;"|")))&gt;0,"Internal/partial","Unclear")))))</f>
        <v>External</v>
      </c>
      <c r="AA10" s="11">
        <f>IF(SUMPRODUCT(--ISNUMBER(SEARCH({"risk score","model","nomogram","signature","clustering","classifier","classification","LASSO","RSF"},$G10&amp;"|")))&gt;0,1,0)</f>
        <v>1</v>
      </c>
      <c r="AB10" s="11" t="str">
        <f t="shared" si="12"/>
        <v>170–180</v>
      </c>
      <c r="AC10" s="11" t="str">
        <f>IF(ISNUMBER(SEARCH("liquid biopsy",$D10)),"Liquid-biopsy markers",IF(SUMPRODUCT(--ISNUMBER(SEARCH({"multi-gene","multi-protein"},$D10&amp;"|")))&gt;0,"Multi-gene / multi-protein signatures",IF(SUMPRODUCT(--ISNUMBER(SEARCH({"single gene","single-gene","single protein","single biomarker"},$D10&amp;"|")))&gt;0,"Single-gene / single-protein markers",IF(LOWER(TRIM($D10))="protein","Single-gene / single-protein markers","Pathway, epigenetic, multi-modal &amp; histopathologic markers"))))</f>
        <v>Pathway, epigenetic, multi-modal &amp; histopathologic markers</v>
      </c>
    </row>
    <row r="11" spans="1:29" ht="27.6" x14ac:dyDescent="0.3">
      <c r="A11" s="7">
        <f>'[1]Data extraction'!A9</f>
        <v>8</v>
      </c>
      <c r="B11" s="7" t="str">
        <f>'[1]Data extraction'!B9</f>
        <v>Yang 2025</v>
      </c>
      <c r="C11" s="8" t="str">
        <f>'[1]Data extraction'!C9</f>
        <v>JUP / FOXM1–JUP axis</v>
      </c>
      <c r="D11" s="8" t="str">
        <f>'[1]Data extraction'!D9</f>
        <v>Transcriptional / EMT</v>
      </c>
      <c r="E11" s="8" t="str">
        <f>'[1]Data extraction'!E9</f>
        <v>Multi-omics + experimental</v>
      </c>
      <c r="F11" s="8" t="str">
        <f>'[1]Data extraction'!F9</f>
        <v>25 (IHC)</v>
      </c>
      <c r="G11" s="8" t="str">
        <f>'[1]Data extraction'!H9</f>
        <v>Cox + functional</v>
      </c>
      <c r="H11" s="8" t="str">
        <f>'[1]Data extraction'!I9</f>
        <v>yes</v>
      </c>
      <c r="I11" s="8" t="str">
        <f>'[1]Data extraction'!J9</f>
        <v>⚠ no external</v>
      </c>
      <c r="J11" s="9" t="str">
        <f t="shared" si="0"/>
        <v>High</v>
      </c>
      <c r="K11" s="9" t="str">
        <f t="shared" si="1"/>
        <v>Low</v>
      </c>
      <c r="L11" s="9" t="str">
        <f>IF(SUMPRODUCT(--ISNUMBER(SEARCH({"proteom","protein","IHC","qPCR","qRT-PCR","experimental","in vitro","RT-PCR","spatial"},$E11&amp;"|"&amp;$I11)))&gt;0,"Low","Moderate")</f>
        <v>Low</v>
      </c>
      <c r="M11" s="9" t="str">
        <f>IF(SUMPRODUCT(--ISNUMBER(SEARCH({"OS","CSS","PFS","DFS","DSS","survival","recurrence"},'[1]Data extraction'!$K9&amp;"|")))&gt;0,"Low","Moderate")</f>
        <v>Low</v>
      </c>
      <c r="N11" s="9" t="str">
        <f>IF(SUMPRODUCT(--ISNUMBER(SEARCH({"clinical covariates","includes stage"},$H11&amp;"|")))&gt;0,"Low",IF(TRIM(LOWER($H11))="no","High","Moderate"))</f>
        <v>Moderate</v>
      </c>
      <c r="O11" s="9" t="str">
        <f t="shared" si="2"/>
        <v>High</v>
      </c>
      <c r="P11" s="10" t="str">
        <f t="shared" si="3"/>
        <v>High</v>
      </c>
      <c r="Q11" s="9" t="str">
        <f t="shared" si="4"/>
        <v>No (prognostic factor only)</v>
      </c>
      <c r="R11" s="9" t="str">
        <f t="shared" si="5"/>
        <v>n/a</v>
      </c>
      <c r="S11" s="9" t="str">
        <f t="shared" si="6"/>
        <v>n/a</v>
      </c>
      <c r="T11" s="9" t="str">
        <f t="shared" si="7"/>
        <v>n/a</v>
      </c>
      <c r="U11" s="9" t="str">
        <f t="shared" si="8"/>
        <v>n/a</v>
      </c>
      <c r="V11" s="10" t="str">
        <f t="shared" si="9"/>
        <v>n/a</v>
      </c>
      <c r="W11" s="9" t="str">
        <f>IF(SUMPRODUCT(--ISNUMBER(SEARCH({"IHC","proteom","qPCR","RT-PCR","serum","circulating","Histopathology"},$E11&amp;"|")))&gt;0,"Low concern (assay clinically deployable)","High concern (research-grade multi-omics)")</f>
        <v>High concern (research-grade multi-omics)</v>
      </c>
      <c r="X11" s="9" t="str">
        <f t="shared" si="10"/>
        <v>Participation, Analysis/reporting</v>
      </c>
      <c r="Y11" s="11">
        <f t="shared" si="11"/>
        <v>25</v>
      </c>
      <c r="Z11" s="11" t="str">
        <f>IF(SUMPRODUCT(--ISNUMBER(SEARCH({"no external","no ext"},$I11&amp;"|")))&gt;0,IF(ISNUMBER(SEARCH("partial",$I11)),"Internal/partial","None"),IF(TRIM(LOWER($I11))="no","None",IF(ISNUMBER(SEARCH("partial",$I11)),"Internal/partial",IF(SUMPRODUCT(--ISNUMBER(SEARCH({"external","GEO","GSE","ICGC","CPTAC","multi-cohort","multi-level","multicenter","trial","TCGA","clinical cohort"},$I11&amp;"|")))&gt;0,"External",IF(SUMPRODUCT(--ISNUMBER(SEARCH({"internal","limited","only"},$I11&amp;"|")))&gt;0,"Internal/partial","Unclear")))))</f>
        <v>None</v>
      </c>
      <c r="AA11" s="11">
        <f>IF(SUMPRODUCT(--ISNUMBER(SEARCH({"risk score","model","nomogram","signature","clustering","classifier","classification","LASSO","RSF"},$G11&amp;"|")))&gt;0,1,0)</f>
        <v>0</v>
      </c>
      <c r="AB11" s="11" t="str">
        <f t="shared" si="12"/>
        <v>25 (IHC)</v>
      </c>
      <c r="AC11" s="11" t="str">
        <f>IF(ISNUMBER(SEARCH("liquid biopsy",$D11)),"Liquid-biopsy markers",IF(SUMPRODUCT(--ISNUMBER(SEARCH({"multi-gene","multi-protein"},$D11&amp;"|")))&gt;0,"Multi-gene / multi-protein signatures",IF(SUMPRODUCT(--ISNUMBER(SEARCH({"single gene","single-gene","single protein","single biomarker"},$D11&amp;"|")))&gt;0,"Single-gene / single-protein markers",IF(LOWER(TRIM($D11))="protein","Single-gene / single-protein markers","Pathway, epigenetic, multi-modal &amp; histopathologic markers"))))</f>
        <v>Pathway, epigenetic, multi-modal &amp; histopathologic markers</v>
      </c>
    </row>
    <row r="12" spans="1:29" ht="41.4" x14ac:dyDescent="0.3">
      <c r="A12" s="7">
        <f>'[1]Data extraction'!A10</f>
        <v>9</v>
      </c>
      <c r="B12" s="7" t="str">
        <f>'[1]Data extraction'!B10</f>
        <v>Xiong 2025</v>
      </c>
      <c r="C12" s="8" t="str">
        <f>'[1]Data extraction'!C10</f>
        <v>12-gene manganese metabolism signature (NPPA, KYNU, ITGB6, etc.)</v>
      </c>
      <c r="D12" s="8" t="str">
        <f>'[1]Data extraction'!D10</f>
        <v>Multi-gene (metabolism-related)</v>
      </c>
      <c r="E12" s="8" t="str">
        <f>'[1]Data extraction'!E10</f>
        <v>Transcriptomics (bulk RNA-seq + microarray)</v>
      </c>
      <c r="F12" s="8" t="str">
        <f>'[1]Data extraction'!F10</f>
        <v>176 (TCGA) + 107 (GEO)</v>
      </c>
      <c r="G12" s="8" t="str">
        <f>'[1]Data extraction'!H10</f>
        <v>Risk score model</v>
      </c>
      <c r="H12" s="8" t="str">
        <f>'[1]Data extraction'!I10</f>
        <v>yes (clinical covariates)</v>
      </c>
      <c r="I12" s="8" t="str">
        <f>'[1]Data extraction'!J10</f>
        <v>yes (external GEO)</v>
      </c>
      <c r="J12" s="9" t="str">
        <f t="shared" si="0"/>
        <v>Moderate</v>
      </c>
      <c r="K12" s="9" t="str">
        <f t="shared" si="1"/>
        <v>Low</v>
      </c>
      <c r="L12" s="9" t="str">
        <f>IF(SUMPRODUCT(--ISNUMBER(SEARCH({"proteom","protein","IHC","qPCR","qRT-PCR","experimental","in vitro","RT-PCR","spatial"},$E12&amp;"|"&amp;$I12)))&gt;0,"Low","Moderate")</f>
        <v>Moderate</v>
      </c>
      <c r="M12" s="9" t="str">
        <f>IF(SUMPRODUCT(--ISNUMBER(SEARCH({"OS","CSS","PFS","DFS","DSS","survival","recurrence"},'[1]Data extraction'!$K10&amp;"|")))&gt;0,"Low","Moderate")</f>
        <v>Low</v>
      </c>
      <c r="N12" s="9" t="str">
        <f>IF(SUMPRODUCT(--ISNUMBER(SEARCH({"clinical covariates","includes stage"},$H12&amp;"|")))&gt;0,"Low",IF(TRIM(LOWER($H12))="no","High","Moderate"))</f>
        <v>Low</v>
      </c>
      <c r="O12" s="9" t="str">
        <f t="shared" si="2"/>
        <v>Low</v>
      </c>
      <c r="P12" s="10" t="str">
        <f t="shared" si="3"/>
        <v>Moderate</v>
      </c>
      <c r="Q12" s="9" t="str">
        <f t="shared" si="4"/>
        <v>Yes</v>
      </c>
      <c r="R12" s="9" t="str">
        <f t="shared" si="5"/>
        <v>Unclear</v>
      </c>
      <c r="S12" s="9" t="str">
        <f t="shared" si="6"/>
        <v>Unclear</v>
      </c>
      <c r="T12" s="9" t="str">
        <f t="shared" si="7"/>
        <v>Low</v>
      </c>
      <c r="U12" s="9" t="str">
        <f t="shared" si="8"/>
        <v>Unclear</v>
      </c>
      <c r="V12" s="10" t="str">
        <f t="shared" si="9"/>
        <v>Unclear</v>
      </c>
      <c r="W12" s="9" t="str">
        <f>IF(SUMPRODUCT(--ISNUMBER(SEARCH({"IHC","proteom","qPCR","RT-PCR","serum","circulating","Histopathology"},$E12&amp;"|")))&gt;0,"Low concern (assay clinically deployable)","High concern (research-grade multi-omics)")</f>
        <v>High concern (research-grade multi-omics)</v>
      </c>
      <c r="X12" s="9" t="str">
        <f t="shared" si="10"/>
        <v/>
      </c>
      <c r="Y12" s="11">
        <f t="shared" si="11"/>
        <v>176</v>
      </c>
      <c r="Z12" s="11" t="str">
        <f>IF(SUMPRODUCT(--ISNUMBER(SEARCH({"no external","no ext"},$I12&amp;"|")))&gt;0,IF(ISNUMBER(SEARCH("partial",$I12)),"Internal/partial","None"),IF(TRIM(LOWER($I12))="no","None",IF(ISNUMBER(SEARCH("partial",$I12)),"Internal/partial",IF(SUMPRODUCT(--ISNUMBER(SEARCH({"external","GEO","GSE","ICGC","CPTAC","multi-cohort","multi-level","multicenter","trial","TCGA","clinical cohort"},$I12&amp;"|")))&gt;0,"External",IF(SUMPRODUCT(--ISNUMBER(SEARCH({"internal","limited","only"},$I12&amp;"|")))&gt;0,"Internal/partial","Unclear")))))</f>
        <v>External</v>
      </c>
      <c r="AA12" s="11">
        <f>IF(SUMPRODUCT(--ISNUMBER(SEARCH({"risk score","model","nomogram","signature","clustering","classifier","classification","LASSO","RSF"},$G12&amp;"|")))&gt;0,1,0)</f>
        <v>1</v>
      </c>
      <c r="AB12" s="11" t="str">
        <f t="shared" si="12"/>
        <v>176 (TCGA) + 107 (GEO)</v>
      </c>
      <c r="AC12" s="11" t="str">
        <f>IF(ISNUMBER(SEARCH("liquid biopsy",$D12)),"Liquid-biopsy markers",IF(SUMPRODUCT(--ISNUMBER(SEARCH({"multi-gene","multi-protein"},$D12&amp;"|")))&gt;0,"Multi-gene / multi-protein signatures",IF(SUMPRODUCT(--ISNUMBER(SEARCH({"single gene","single-gene","single protein","single biomarker"},$D12&amp;"|")))&gt;0,"Single-gene / single-protein markers",IF(LOWER(TRIM($D12))="protein","Single-gene / single-protein markers","Pathway, epigenetic, multi-modal &amp; histopathologic markers"))))</f>
        <v>Multi-gene / multi-protein signatures</v>
      </c>
    </row>
    <row r="13" spans="1:29" ht="27.6" x14ac:dyDescent="0.3">
      <c r="A13" s="7">
        <f>'[1]Data extraction'!A11</f>
        <v>10</v>
      </c>
      <c r="B13" s="7" t="str">
        <f>'[1]Data extraction'!B11</f>
        <v>Wu 2025</v>
      </c>
      <c r="C13" s="8" t="str">
        <f>'[1]Data extraction'!C11</f>
        <v>ALDH family (ALDH1L1, ALDH3A1, ALDH3B1, ALDH5A1)</v>
      </c>
      <c r="D13" s="8" t="str">
        <f>'[1]Data extraction'!D11</f>
        <v>Multi-gene (family-based biomarkers)</v>
      </c>
      <c r="E13" s="8" t="str">
        <f>'[1]Data extraction'!E11</f>
        <v>Transcriptomics (+ single-cell &amp; protein validation)</v>
      </c>
      <c r="F13" s="8">
        <f>'[1]Data extraction'!F11</f>
        <v>179</v>
      </c>
      <c r="G13" s="8" t="str">
        <f>'[1]Data extraction'!H11</f>
        <v>Multiple single biomarkers</v>
      </c>
      <c r="H13" s="8" t="str">
        <f>'[1]Data extraction'!I11</f>
        <v>yes (unclear covariates)</v>
      </c>
      <c r="I13" s="8" t="str">
        <f>'[1]Data extraction'!J11</f>
        <v>partial (internal + biological)</v>
      </c>
      <c r="J13" s="9" t="str">
        <f t="shared" si="0"/>
        <v>Moderate</v>
      </c>
      <c r="K13" s="9" t="str">
        <f t="shared" si="1"/>
        <v>Low</v>
      </c>
      <c r="L13" s="9" t="str">
        <f>IF(SUMPRODUCT(--ISNUMBER(SEARCH({"proteom","protein","IHC","qPCR","qRT-PCR","experimental","in vitro","RT-PCR","spatial"},$E13&amp;"|"&amp;$I13)))&gt;0,"Low","Moderate")</f>
        <v>Low</v>
      </c>
      <c r="M13" s="9" t="str">
        <f>IF(SUMPRODUCT(--ISNUMBER(SEARCH({"OS","CSS","PFS","DFS","DSS","survival","recurrence"},'[1]Data extraction'!$K11&amp;"|")))&gt;0,"Low","Moderate")</f>
        <v>Low</v>
      </c>
      <c r="N13" s="9" t="str">
        <f>IF(SUMPRODUCT(--ISNUMBER(SEARCH({"clinical covariates","includes stage"},$H13&amp;"|")))&gt;0,"Low",IF(TRIM(LOWER($H13))="no","High","Moderate"))</f>
        <v>Moderate</v>
      </c>
      <c r="O13" s="9" t="str">
        <f t="shared" si="2"/>
        <v>Moderate</v>
      </c>
      <c r="P13" s="10" t="str">
        <f t="shared" si="3"/>
        <v>Moderate</v>
      </c>
      <c r="Q13" s="9" t="str">
        <f t="shared" si="4"/>
        <v>No (prognostic factor only)</v>
      </c>
      <c r="R13" s="9" t="str">
        <f t="shared" si="5"/>
        <v>n/a</v>
      </c>
      <c r="S13" s="9" t="str">
        <f t="shared" si="6"/>
        <v>n/a</v>
      </c>
      <c r="T13" s="9" t="str">
        <f t="shared" si="7"/>
        <v>n/a</v>
      </c>
      <c r="U13" s="9" t="str">
        <f t="shared" si="8"/>
        <v>n/a</v>
      </c>
      <c r="V13" s="10" t="str">
        <f t="shared" si="9"/>
        <v>n/a</v>
      </c>
      <c r="W13" s="9" t="str">
        <f>IF(SUMPRODUCT(--ISNUMBER(SEARCH({"IHC","proteom","qPCR","RT-PCR","serum","circulating","Histopathology"},$E13&amp;"|")))&gt;0,"Low concern (assay clinically deployable)","High concern (research-grade multi-omics)")</f>
        <v>High concern (research-grade multi-omics)</v>
      </c>
      <c r="X13" s="9" t="str">
        <f t="shared" si="10"/>
        <v/>
      </c>
      <c r="Y13" s="11">
        <f t="shared" si="11"/>
        <v>179</v>
      </c>
      <c r="Z13" s="11" t="str">
        <f>IF(SUMPRODUCT(--ISNUMBER(SEARCH({"no external","no ext"},$I13&amp;"|")))&gt;0,IF(ISNUMBER(SEARCH("partial",$I13)),"Internal/partial","None"),IF(TRIM(LOWER($I13))="no","None",IF(ISNUMBER(SEARCH("partial",$I13)),"Internal/partial",IF(SUMPRODUCT(--ISNUMBER(SEARCH({"external","GEO","GSE","ICGC","CPTAC","multi-cohort","multi-level","multicenter","trial","TCGA","clinical cohort"},$I13&amp;"|")))&gt;0,"External",IF(SUMPRODUCT(--ISNUMBER(SEARCH({"internal","limited","only"},$I13&amp;"|")))&gt;0,"Internal/partial","Unclear")))))</f>
        <v>Internal/partial</v>
      </c>
      <c r="AA13" s="11">
        <f>IF(SUMPRODUCT(--ISNUMBER(SEARCH({"risk score","model","nomogram","signature","clustering","classifier","classification","LASSO","RSF"},$G13&amp;"|")))&gt;0,1,0)</f>
        <v>0</v>
      </c>
      <c r="AB13" s="11" t="str">
        <f t="shared" si="12"/>
        <v>179</v>
      </c>
      <c r="AC13" s="11" t="str">
        <f>IF(ISNUMBER(SEARCH("liquid biopsy",$D13)),"Liquid-biopsy markers",IF(SUMPRODUCT(--ISNUMBER(SEARCH({"multi-gene","multi-protein"},$D13&amp;"|")))&gt;0,"Multi-gene / multi-protein signatures",IF(SUMPRODUCT(--ISNUMBER(SEARCH({"single gene","single-gene","single protein","single biomarker"},$D13&amp;"|")))&gt;0,"Single-gene / single-protein markers",IF(LOWER(TRIM($D13))="protein","Single-gene / single-protein markers","Pathway, epigenetic, multi-modal &amp; histopathologic markers"))))</f>
        <v>Multi-gene / multi-protein signatures</v>
      </c>
    </row>
    <row r="14" spans="1:29" ht="41.4" x14ac:dyDescent="0.3">
      <c r="A14" s="7">
        <f>'[1]Data extraction'!A12</f>
        <v>11</v>
      </c>
      <c r="B14" s="7" t="str">
        <f>'[1]Data extraction'!B12</f>
        <v>Wang 2025</v>
      </c>
      <c r="C14" s="8" t="str">
        <f>'[1]Data extraction'!C12</f>
        <v>EFFscore (ADAM9, P2RY6, CD36); P2RY6</v>
      </c>
      <c r="D14" s="8" t="str">
        <f>'[1]Data extraction'!D12</f>
        <v>Multi-gene (immune/efferocytosis-related signature)</v>
      </c>
      <c r="E14" s="8" t="str">
        <f>'[1]Data extraction'!E12</f>
        <v>Multi-omics (bulk RNA-seq + scRNA-seq + protein validation)</v>
      </c>
      <c r="F14" s="8" t="str">
        <f>'[1]Data extraction'!F12</f>
        <v>178 (TCGA) + 199 (GEO) + 81 (tissue cohort)</v>
      </c>
      <c r="G14" s="8" t="str">
        <f>'[1]Data extraction'!H12</f>
        <v>Risk score model + single biomarker</v>
      </c>
      <c r="H14" s="8" t="str">
        <f>'[1]Data extraction'!I12</f>
        <v>yes (clinical covariates)</v>
      </c>
      <c r="I14" s="8" t="str">
        <f>'[1]Data extraction'!J12</f>
        <v>yes (external GEO + clinical cohort + experimental)</v>
      </c>
      <c r="J14" s="9" t="str">
        <f t="shared" si="0"/>
        <v>Moderate</v>
      </c>
      <c r="K14" s="9" t="str">
        <f t="shared" si="1"/>
        <v>Low</v>
      </c>
      <c r="L14" s="9" t="str">
        <f>IF(SUMPRODUCT(--ISNUMBER(SEARCH({"proteom","protein","IHC","qPCR","qRT-PCR","experimental","in vitro","RT-PCR","spatial"},$E14&amp;"|"&amp;$I14)))&gt;0,"Low","Moderate")</f>
        <v>Low</v>
      </c>
      <c r="M14" s="9" t="str">
        <f>IF(SUMPRODUCT(--ISNUMBER(SEARCH({"OS","CSS","PFS","DFS","DSS","survival","recurrence"},'[1]Data extraction'!$K12&amp;"|")))&gt;0,"Low","Moderate")</f>
        <v>Low</v>
      </c>
      <c r="N14" s="9" t="str">
        <f>IF(SUMPRODUCT(--ISNUMBER(SEARCH({"clinical covariates","includes stage"},$H14&amp;"|")))&gt;0,"Low",IF(TRIM(LOWER($H14))="no","High","Moderate"))</f>
        <v>Low</v>
      </c>
      <c r="O14" s="9" t="str">
        <f t="shared" si="2"/>
        <v>Low</v>
      </c>
      <c r="P14" s="10" t="str">
        <f t="shared" si="3"/>
        <v>Moderate</v>
      </c>
      <c r="Q14" s="9" t="str">
        <f t="shared" si="4"/>
        <v>Yes</v>
      </c>
      <c r="R14" s="9" t="str">
        <f t="shared" si="5"/>
        <v>Unclear</v>
      </c>
      <c r="S14" s="9" t="str">
        <f t="shared" si="6"/>
        <v>Low</v>
      </c>
      <c r="T14" s="9" t="str">
        <f t="shared" si="7"/>
        <v>Low</v>
      </c>
      <c r="U14" s="9" t="str">
        <f t="shared" si="8"/>
        <v>Unclear</v>
      </c>
      <c r="V14" s="10" t="str">
        <f t="shared" si="9"/>
        <v>Unclear</v>
      </c>
      <c r="W14" s="9" t="str">
        <f>IF(SUMPRODUCT(--ISNUMBER(SEARCH({"IHC","proteom","qPCR","RT-PCR","serum","circulating","Histopathology"},$E14&amp;"|")))&gt;0,"Low concern (assay clinically deployable)","High concern (research-grade multi-omics)")</f>
        <v>High concern (research-grade multi-omics)</v>
      </c>
      <c r="X14" s="9" t="str">
        <f t="shared" si="10"/>
        <v/>
      </c>
      <c r="Y14" s="11">
        <f t="shared" si="11"/>
        <v>178</v>
      </c>
      <c r="Z14" s="11" t="str">
        <f>IF(SUMPRODUCT(--ISNUMBER(SEARCH({"no external","no ext"},$I14&amp;"|")))&gt;0,IF(ISNUMBER(SEARCH("partial",$I14)),"Internal/partial","None"),IF(TRIM(LOWER($I14))="no","None",IF(ISNUMBER(SEARCH("partial",$I14)),"Internal/partial",IF(SUMPRODUCT(--ISNUMBER(SEARCH({"external","GEO","GSE","ICGC","CPTAC","multi-cohort","multi-level","multicenter","trial","TCGA","clinical cohort"},$I14&amp;"|")))&gt;0,"External",IF(SUMPRODUCT(--ISNUMBER(SEARCH({"internal","limited","only"},$I14&amp;"|")))&gt;0,"Internal/partial","Unclear")))))</f>
        <v>External</v>
      </c>
      <c r="AA14" s="11">
        <f>IF(SUMPRODUCT(--ISNUMBER(SEARCH({"risk score","model","nomogram","signature","clustering","classifier","classification","LASSO","RSF"},$G14&amp;"|")))&gt;0,1,0)</f>
        <v>1</v>
      </c>
      <c r="AB14" s="11" t="str">
        <f t="shared" si="12"/>
        <v>178 (TCGA) + 199 (GEO) + 81 (tissue cohort)</v>
      </c>
      <c r="AC14" s="11" t="str">
        <f>IF(ISNUMBER(SEARCH("liquid biopsy",$D14)),"Liquid-biopsy markers",IF(SUMPRODUCT(--ISNUMBER(SEARCH({"multi-gene","multi-protein"},$D14&amp;"|")))&gt;0,"Multi-gene / multi-protein signatures",IF(SUMPRODUCT(--ISNUMBER(SEARCH({"single gene","single-gene","single protein","single biomarker"},$D14&amp;"|")))&gt;0,"Single-gene / single-protein markers",IF(LOWER(TRIM($D14))="protein","Single-gene / single-protein markers","Pathway, epigenetic, multi-modal &amp; histopathologic markers"))))</f>
        <v>Multi-gene / multi-protein signatures</v>
      </c>
    </row>
    <row r="15" spans="1:29" ht="41.4" x14ac:dyDescent="0.3">
      <c r="A15" s="7">
        <f>'[1]Data extraction'!A13</f>
        <v>12</v>
      </c>
      <c r="B15" s="7" t="str">
        <f>'[1]Data extraction'!B13</f>
        <v>Wang 2025</v>
      </c>
      <c r="C15" s="8" t="str">
        <f>'[1]Data extraction'!C13</f>
        <v>7-gene mCAF-related signature (USP36, KLF5, MT2A, etc.); PHLDA1</v>
      </c>
      <c r="D15" s="8" t="str">
        <f>'[1]Data extraction'!D13</f>
        <v>Multi-gene (TME/CAF-related signature)</v>
      </c>
      <c r="E15" s="8" t="str">
        <f>'[1]Data extraction'!E13</f>
        <v>Multi-omics (bulk + scRNA-seq + spatial transcriptomics + protein validation)</v>
      </c>
      <c r="F15" s="8" t="str">
        <f>'[1]Data extraction'!F13</f>
        <v>176 (TCGA) + multi GEO cohorts + clinical samples</v>
      </c>
      <c r="G15" s="8" t="str">
        <f>'[1]Data extraction'!H13</f>
        <v>Risk score model + single biomarker</v>
      </c>
      <c r="H15" s="8" t="str">
        <f>'[1]Data extraction'!I13</f>
        <v>yes (unclear covariates)</v>
      </c>
      <c r="I15" s="8" t="str">
        <f>'[1]Data extraction'!J13</f>
        <v>yes (multi-cohort + immunotherapy cohorts + experimental)</v>
      </c>
      <c r="J15" s="9" t="str">
        <f t="shared" si="0"/>
        <v>Moderate</v>
      </c>
      <c r="K15" s="9" t="str">
        <f t="shared" si="1"/>
        <v>Low</v>
      </c>
      <c r="L15" s="9" t="str">
        <f>IF(SUMPRODUCT(--ISNUMBER(SEARCH({"proteom","protein","IHC","qPCR","qRT-PCR","experimental","in vitro","RT-PCR","spatial"},$E15&amp;"|"&amp;$I15)))&gt;0,"Low","Moderate")</f>
        <v>Low</v>
      </c>
      <c r="M15" s="9" t="str">
        <f>IF(SUMPRODUCT(--ISNUMBER(SEARCH({"OS","CSS","PFS","DFS","DSS","survival","recurrence"},'[1]Data extraction'!$K13&amp;"|")))&gt;0,"Low","Moderate")</f>
        <v>Low</v>
      </c>
      <c r="N15" s="9" t="str">
        <f>IF(SUMPRODUCT(--ISNUMBER(SEARCH({"clinical covariates","includes stage"},$H15&amp;"|")))&gt;0,"Low",IF(TRIM(LOWER($H15))="no","High","Moderate"))</f>
        <v>Moderate</v>
      </c>
      <c r="O15" s="9" t="str">
        <f t="shared" si="2"/>
        <v>Low</v>
      </c>
      <c r="P15" s="10" t="str">
        <f t="shared" si="3"/>
        <v>Moderate</v>
      </c>
      <c r="Q15" s="9" t="str">
        <f t="shared" si="4"/>
        <v>Yes</v>
      </c>
      <c r="R15" s="9" t="str">
        <f t="shared" si="5"/>
        <v>Unclear</v>
      </c>
      <c r="S15" s="9" t="str">
        <f t="shared" si="6"/>
        <v>Low</v>
      </c>
      <c r="T15" s="9" t="str">
        <f t="shared" si="7"/>
        <v>Low</v>
      </c>
      <c r="U15" s="9" t="str">
        <f t="shared" si="8"/>
        <v>Unclear</v>
      </c>
      <c r="V15" s="10" t="str">
        <f t="shared" si="9"/>
        <v>Unclear</v>
      </c>
      <c r="W15" s="9" t="str">
        <f>IF(SUMPRODUCT(--ISNUMBER(SEARCH({"IHC","proteom","qPCR","RT-PCR","serum","circulating","Histopathology"},$E15&amp;"|")))&gt;0,"Low concern (assay clinically deployable)","High concern (research-grade multi-omics)")</f>
        <v>High concern (research-grade multi-omics)</v>
      </c>
      <c r="X15" s="9" t="str">
        <f t="shared" si="10"/>
        <v/>
      </c>
      <c r="Y15" s="11">
        <f t="shared" si="11"/>
        <v>176</v>
      </c>
      <c r="Z15" s="11" t="str">
        <f>IF(SUMPRODUCT(--ISNUMBER(SEARCH({"no external","no ext"},$I15&amp;"|")))&gt;0,IF(ISNUMBER(SEARCH("partial",$I15)),"Internal/partial","None"),IF(TRIM(LOWER($I15))="no","None",IF(ISNUMBER(SEARCH("partial",$I15)),"Internal/partial",IF(SUMPRODUCT(--ISNUMBER(SEARCH({"external","GEO","GSE","ICGC","CPTAC","multi-cohort","multi-level","multicenter","trial","TCGA","clinical cohort"},$I15&amp;"|")))&gt;0,"External",IF(SUMPRODUCT(--ISNUMBER(SEARCH({"internal","limited","only"},$I15&amp;"|")))&gt;0,"Internal/partial","Unclear")))))</f>
        <v>External</v>
      </c>
      <c r="AA15" s="11">
        <f>IF(SUMPRODUCT(--ISNUMBER(SEARCH({"risk score","model","nomogram","signature","clustering","classifier","classification","LASSO","RSF"},$G15&amp;"|")))&gt;0,1,0)</f>
        <v>1</v>
      </c>
      <c r="AB15" s="11" t="str">
        <f t="shared" si="12"/>
        <v>176 (TCGA) + multi GEO cohorts + clinical samples</v>
      </c>
      <c r="AC15" s="11" t="str">
        <f>IF(ISNUMBER(SEARCH("liquid biopsy",$D15)),"Liquid-biopsy markers",IF(SUMPRODUCT(--ISNUMBER(SEARCH({"multi-gene","multi-protein"},$D15&amp;"|")))&gt;0,"Multi-gene / multi-protein signatures",IF(SUMPRODUCT(--ISNUMBER(SEARCH({"single gene","single-gene","single protein","single biomarker"},$D15&amp;"|")))&gt;0,"Single-gene / single-protein markers",IF(LOWER(TRIM($D15))="protein","Single-gene / single-protein markers","Pathway, epigenetic, multi-modal &amp; histopathologic markers"))))</f>
        <v>Multi-gene / multi-protein signatures</v>
      </c>
    </row>
    <row r="16" spans="1:29" ht="27.6" x14ac:dyDescent="0.3">
      <c r="A16" s="7">
        <f>'[1]Data extraction'!A14</f>
        <v>13</v>
      </c>
      <c r="B16" s="7" t="str">
        <f>'[1]Data extraction'!B14</f>
        <v>Wang 2025</v>
      </c>
      <c r="C16" s="8" t="str">
        <f>'[1]Data extraction'!C14</f>
        <v>18-gene immune-related signature; IL6R</v>
      </c>
      <c r="D16" s="8" t="str">
        <f>'[1]Data extraction'!D14</f>
        <v>Multi-gene (immune-related signature + nomogram)</v>
      </c>
      <c r="E16" s="8" t="str">
        <f>'[1]Data extraction'!E14</f>
        <v>Transcriptomics (bulk RNA-seq)</v>
      </c>
      <c r="F16" s="8" t="str">
        <f>'[1]Data extraction'!F14</f>
        <v>172 (TCGA) + 113 (ICGC)</v>
      </c>
      <c r="G16" s="8" t="str">
        <f>'[1]Data extraction'!H14</f>
        <v>Risk score model + nomogram</v>
      </c>
      <c r="H16" s="8" t="str">
        <f>'[1]Data extraction'!I14</f>
        <v>yes (clinical covariates)</v>
      </c>
      <c r="I16" s="8" t="str">
        <f>'[1]Data extraction'!J14</f>
        <v>yes (external ICGC + local cohort)</v>
      </c>
      <c r="J16" s="9" t="str">
        <f t="shared" si="0"/>
        <v>Moderate</v>
      </c>
      <c r="K16" s="9" t="str">
        <f t="shared" si="1"/>
        <v>Low</v>
      </c>
      <c r="L16" s="9" t="str">
        <f>IF(SUMPRODUCT(--ISNUMBER(SEARCH({"proteom","protein","IHC","qPCR","qRT-PCR","experimental","in vitro","RT-PCR","spatial"},$E16&amp;"|"&amp;$I16)))&gt;0,"Low","Moderate")</f>
        <v>Moderate</v>
      </c>
      <c r="M16" s="9" t="str">
        <f>IF(SUMPRODUCT(--ISNUMBER(SEARCH({"OS","CSS","PFS","DFS","DSS","survival","recurrence"},'[1]Data extraction'!$K14&amp;"|")))&gt;0,"Low","Moderate")</f>
        <v>Low</v>
      </c>
      <c r="N16" s="9" t="str">
        <f>IF(SUMPRODUCT(--ISNUMBER(SEARCH({"clinical covariates","includes stage"},$H16&amp;"|")))&gt;0,"Low",IF(TRIM(LOWER($H16))="no","High","Moderate"))</f>
        <v>Low</v>
      </c>
      <c r="O16" s="9" t="str">
        <f t="shared" si="2"/>
        <v>Low</v>
      </c>
      <c r="P16" s="10" t="str">
        <f t="shared" si="3"/>
        <v>Moderate</v>
      </c>
      <c r="Q16" s="9" t="str">
        <f t="shared" si="4"/>
        <v>Yes</v>
      </c>
      <c r="R16" s="9" t="str">
        <f t="shared" si="5"/>
        <v>Unclear</v>
      </c>
      <c r="S16" s="9" t="str">
        <f t="shared" si="6"/>
        <v>Unclear</v>
      </c>
      <c r="T16" s="9" t="str">
        <f t="shared" si="7"/>
        <v>Low</v>
      </c>
      <c r="U16" s="9" t="str">
        <f t="shared" si="8"/>
        <v>Unclear</v>
      </c>
      <c r="V16" s="10" t="str">
        <f t="shared" si="9"/>
        <v>Unclear</v>
      </c>
      <c r="W16" s="9" t="str">
        <f>IF(SUMPRODUCT(--ISNUMBER(SEARCH({"IHC","proteom","qPCR","RT-PCR","serum","circulating","Histopathology"},$E16&amp;"|")))&gt;0,"Low concern (assay clinically deployable)","High concern (research-grade multi-omics)")</f>
        <v>High concern (research-grade multi-omics)</v>
      </c>
      <c r="X16" s="9" t="str">
        <f t="shared" si="10"/>
        <v/>
      </c>
      <c r="Y16" s="11">
        <f t="shared" si="11"/>
        <v>172</v>
      </c>
      <c r="Z16" s="11" t="str">
        <f>IF(SUMPRODUCT(--ISNUMBER(SEARCH({"no external","no ext"},$I16&amp;"|")))&gt;0,IF(ISNUMBER(SEARCH("partial",$I16)),"Internal/partial","None"),IF(TRIM(LOWER($I16))="no","None",IF(ISNUMBER(SEARCH("partial",$I16)),"Internal/partial",IF(SUMPRODUCT(--ISNUMBER(SEARCH({"external","GEO","GSE","ICGC","CPTAC","multi-cohort","multi-level","multicenter","trial","TCGA","clinical cohort"},$I16&amp;"|")))&gt;0,"External",IF(SUMPRODUCT(--ISNUMBER(SEARCH({"internal","limited","only"},$I16&amp;"|")))&gt;0,"Internal/partial","Unclear")))))</f>
        <v>External</v>
      </c>
      <c r="AA16" s="11">
        <f>IF(SUMPRODUCT(--ISNUMBER(SEARCH({"risk score","model","nomogram","signature","clustering","classifier","classification","LASSO","RSF"},$G16&amp;"|")))&gt;0,1,0)</f>
        <v>1</v>
      </c>
      <c r="AB16" s="11" t="str">
        <f t="shared" si="12"/>
        <v>172 (TCGA) + 113 (ICGC)</v>
      </c>
      <c r="AC16" s="11" t="str">
        <f>IF(ISNUMBER(SEARCH("liquid biopsy",$D16)),"Liquid-biopsy markers",IF(SUMPRODUCT(--ISNUMBER(SEARCH({"multi-gene","multi-protein"},$D16&amp;"|")))&gt;0,"Multi-gene / multi-protein signatures",IF(SUMPRODUCT(--ISNUMBER(SEARCH({"single gene","single-gene","single protein","single biomarker"},$D16&amp;"|")))&gt;0,"Single-gene / single-protein markers",IF(LOWER(TRIM($D16))="protein","Single-gene / single-protein markers","Pathway, epigenetic, multi-modal &amp; histopathologic markers"))))</f>
        <v>Multi-gene / multi-protein signatures</v>
      </c>
    </row>
    <row r="17" spans="1:29" ht="41.4" x14ac:dyDescent="0.3">
      <c r="A17" s="7">
        <f>'[1]Data extraction'!A15</f>
        <v>14</v>
      </c>
      <c r="B17" s="7" t="str">
        <f>'[1]Data extraction'!B15</f>
        <v>Wang 2025</v>
      </c>
      <c r="C17" s="8" t="str">
        <f>'[1]Data extraction'!C15</f>
        <v>6-gene programmed cell death (PCD) signature (ITGA3, CDCP1, IL1RAP, etc.)</v>
      </c>
      <c r="D17" s="8" t="str">
        <f>'[1]Data extraction'!D15</f>
        <v>Multi-gene (PCD-related signature; ML-based)</v>
      </c>
      <c r="E17" s="8" t="str">
        <f>'[1]Data extraction'!E15</f>
        <v>Transcriptomics (bulk RNA-seq + microarray)</v>
      </c>
      <c r="F17" s="8" t="str">
        <f>'[1]Data extraction'!F15</f>
        <v>183 (TCGA) + ~828 (GEO/ICGC)</v>
      </c>
      <c r="G17" s="8" t="str">
        <f>'[1]Data extraction'!H15</f>
        <v>Risk score model (ML-based)</v>
      </c>
      <c r="H17" s="8" t="str">
        <f>'[1]Data extraction'!I15</f>
        <v>yes (clinical covariates)</v>
      </c>
      <c r="I17" s="8" t="str">
        <f>'[1]Data extraction'!J15</f>
        <v>yes (multi-cohort external + qRT-PCR)</v>
      </c>
      <c r="J17" s="9" t="str">
        <f t="shared" si="0"/>
        <v>Moderate</v>
      </c>
      <c r="K17" s="9" t="str">
        <f t="shared" si="1"/>
        <v>Low</v>
      </c>
      <c r="L17" s="9" t="str">
        <f>IF(SUMPRODUCT(--ISNUMBER(SEARCH({"proteom","protein","IHC","qPCR","qRT-PCR","experimental","in vitro","RT-PCR","spatial"},$E17&amp;"|"&amp;$I17)))&gt;0,"Low","Moderate")</f>
        <v>Low</v>
      </c>
      <c r="M17" s="9" t="str">
        <f>IF(SUMPRODUCT(--ISNUMBER(SEARCH({"OS","CSS","PFS","DFS","DSS","survival","recurrence"},'[1]Data extraction'!$K15&amp;"|")))&gt;0,"Low","Moderate")</f>
        <v>Low</v>
      </c>
      <c r="N17" s="9" t="str">
        <f>IF(SUMPRODUCT(--ISNUMBER(SEARCH({"clinical covariates","includes stage"},$H17&amp;"|")))&gt;0,"Low",IF(TRIM(LOWER($H17))="no","High","Moderate"))</f>
        <v>Low</v>
      </c>
      <c r="O17" s="9" t="str">
        <f t="shared" si="2"/>
        <v>Low</v>
      </c>
      <c r="P17" s="10" t="str">
        <f t="shared" si="3"/>
        <v>Moderate</v>
      </c>
      <c r="Q17" s="9" t="str">
        <f t="shared" si="4"/>
        <v>Yes</v>
      </c>
      <c r="R17" s="9" t="str">
        <f t="shared" si="5"/>
        <v>Unclear</v>
      </c>
      <c r="S17" s="9" t="str">
        <f t="shared" si="6"/>
        <v>Low</v>
      </c>
      <c r="T17" s="9" t="str">
        <f t="shared" si="7"/>
        <v>Low</v>
      </c>
      <c r="U17" s="9" t="str">
        <f t="shared" si="8"/>
        <v>Unclear</v>
      </c>
      <c r="V17" s="10" t="str">
        <f t="shared" si="9"/>
        <v>Unclear</v>
      </c>
      <c r="W17" s="9" t="str">
        <f>IF(SUMPRODUCT(--ISNUMBER(SEARCH({"IHC","proteom","qPCR","RT-PCR","serum","circulating","Histopathology"},$E17&amp;"|")))&gt;0,"Low concern (assay clinically deployable)","High concern (research-grade multi-omics)")</f>
        <v>High concern (research-grade multi-omics)</v>
      </c>
      <c r="X17" s="9" t="str">
        <f t="shared" si="10"/>
        <v/>
      </c>
      <c r="Y17" s="11">
        <f t="shared" si="11"/>
        <v>183</v>
      </c>
      <c r="Z17" s="11" t="str">
        <f>IF(SUMPRODUCT(--ISNUMBER(SEARCH({"no external","no ext"},$I17&amp;"|")))&gt;0,IF(ISNUMBER(SEARCH("partial",$I17)),"Internal/partial","None"),IF(TRIM(LOWER($I17))="no","None",IF(ISNUMBER(SEARCH("partial",$I17)),"Internal/partial",IF(SUMPRODUCT(--ISNUMBER(SEARCH({"external","GEO","GSE","ICGC","CPTAC","multi-cohort","multi-level","multicenter","trial","TCGA","clinical cohort"},$I17&amp;"|")))&gt;0,"External",IF(SUMPRODUCT(--ISNUMBER(SEARCH({"internal","limited","only"},$I17&amp;"|")))&gt;0,"Internal/partial","Unclear")))))</f>
        <v>External</v>
      </c>
      <c r="AA17" s="11">
        <f>IF(SUMPRODUCT(--ISNUMBER(SEARCH({"risk score","model","nomogram","signature","clustering","classifier","classification","LASSO","RSF"},$G17&amp;"|")))&gt;0,1,0)</f>
        <v>1</v>
      </c>
      <c r="AB17" s="11" t="str">
        <f t="shared" si="12"/>
        <v>183 (TCGA) + 828 (GEO/ICGC)</v>
      </c>
      <c r="AC17" s="11" t="str">
        <f>IF(ISNUMBER(SEARCH("liquid biopsy",$D17)),"Liquid-biopsy markers",IF(SUMPRODUCT(--ISNUMBER(SEARCH({"multi-gene","multi-protein"},$D17&amp;"|")))&gt;0,"Multi-gene / multi-protein signatures",IF(SUMPRODUCT(--ISNUMBER(SEARCH({"single gene","single-gene","single protein","single biomarker"},$D17&amp;"|")))&gt;0,"Single-gene / single-protein markers",IF(LOWER(TRIM($D17))="protein","Single-gene / single-protein markers","Pathway, epigenetic, multi-modal &amp; histopathologic markers"))))</f>
        <v>Multi-gene / multi-protein signatures</v>
      </c>
    </row>
    <row r="18" spans="1:29" ht="27.6" x14ac:dyDescent="0.3">
      <c r="A18" s="7">
        <f>'[1]Data extraction'!A16</f>
        <v>15</v>
      </c>
      <c r="B18" s="7" t="str">
        <f>'[1]Data extraction'!B16</f>
        <v>Ma 2025</v>
      </c>
      <c r="C18" s="8" t="str">
        <f>'[1]Data extraction'!C16</f>
        <v>11-gene ICD-related signature; AJM1</v>
      </c>
      <c r="D18" s="8" t="str">
        <f>'[1]Data extraction'!D16</f>
        <v>Multi-gene (immune/ICD-related signature)</v>
      </c>
      <c r="E18" s="8" t="str">
        <f>'[1]Data extraction'!E16</f>
        <v>Transcriptomics (bulk RNA-seq)</v>
      </c>
      <c r="F18" s="8" t="str">
        <f>'[1]Data extraction'!F16</f>
        <v>176 (TCGA) + 63 (GEO) + 33 (internal)</v>
      </c>
      <c r="G18" s="8" t="str">
        <f>'[1]Data extraction'!H16</f>
        <v>Risk score model (WGCNA + LASSO)</v>
      </c>
      <c r="H18" s="8" t="str">
        <f>'[1]Data extraction'!I16</f>
        <v>yes (clinical covariates)</v>
      </c>
      <c r="I18" s="8" t="str">
        <f>'[1]Data extraction'!J16</f>
        <v>yes (external GEO + internal + HPA + in vitro)</v>
      </c>
      <c r="J18" s="9" t="str">
        <f t="shared" si="0"/>
        <v>Moderate</v>
      </c>
      <c r="K18" s="9" t="str">
        <f t="shared" si="1"/>
        <v>Low</v>
      </c>
      <c r="L18" s="9" t="str">
        <f>IF(SUMPRODUCT(--ISNUMBER(SEARCH({"proteom","protein","IHC","qPCR","qRT-PCR","experimental","in vitro","RT-PCR","spatial"},$E18&amp;"|"&amp;$I18)))&gt;0,"Low","Moderate")</f>
        <v>Low</v>
      </c>
      <c r="M18" s="9" t="str">
        <f>IF(SUMPRODUCT(--ISNUMBER(SEARCH({"OS","CSS","PFS","DFS","DSS","survival","recurrence"},'[1]Data extraction'!$K16&amp;"|")))&gt;0,"Low","Moderate")</f>
        <v>Low</v>
      </c>
      <c r="N18" s="9" t="str">
        <f>IF(SUMPRODUCT(--ISNUMBER(SEARCH({"clinical covariates","includes stage"},$H18&amp;"|")))&gt;0,"Low",IF(TRIM(LOWER($H18))="no","High","Moderate"))</f>
        <v>Low</v>
      </c>
      <c r="O18" s="9" t="str">
        <f t="shared" si="2"/>
        <v>Low</v>
      </c>
      <c r="P18" s="10" t="str">
        <f t="shared" si="3"/>
        <v>Moderate</v>
      </c>
      <c r="Q18" s="9" t="str">
        <f t="shared" si="4"/>
        <v>Yes</v>
      </c>
      <c r="R18" s="9" t="str">
        <f t="shared" si="5"/>
        <v>Unclear</v>
      </c>
      <c r="S18" s="9" t="str">
        <f t="shared" si="6"/>
        <v>Low</v>
      </c>
      <c r="T18" s="9" t="str">
        <f t="shared" si="7"/>
        <v>Low</v>
      </c>
      <c r="U18" s="9" t="str">
        <f t="shared" si="8"/>
        <v>Unclear</v>
      </c>
      <c r="V18" s="10" t="str">
        <f t="shared" si="9"/>
        <v>Unclear</v>
      </c>
      <c r="W18" s="9" t="str">
        <f>IF(SUMPRODUCT(--ISNUMBER(SEARCH({"IHC","proteom","qPCR","RT-PCR","serum","circulating","Histopathology"},$E18&amp;"|")))&gt;0,"Low concern (assay clinically deployable)","High concern (research-grade multi-omics)")</f>
        <v>High concern (research-grade multi-omics)</v>
      </c>
      <c r="X18" s="9" t="str">
        <f t="shared" si="10"/>
        <v/>
      </c>
      <c r="Y18" s="11">
        <f t="shared" si="11"/>
        <v>176</v>
      </c>
      <c r="Z18" s="11" t="str">
        <f>IF(SUMPRODUCT(--ISNUMBER(SEARCH({"no external","no ext"},$I18&amp;"|")))&gt;0,IF(ISNUMBER(SEARCH("partial",$I18)),"Internal/partial","None"),IF(TRIM(LOWER($I18))="no","None",IF(ISNUMBER(SEARCH("partial",$I18)),"Internal/partial",IF(SUMPRODUCT(--ISNUMBER(SEARCH({"external","GEO","GSE","ICGC","CPTAC","multi-cohort","multi-level","multicenter","trial","TCGA","clinical cohort"},$I18&amp;"|")))&gt;0,"External",IF(SUMPRODUCT(--ISNUMBER(SEARCH({"internal","limited","only"},$I18&amp;"|")))&gt;0,"Internal/partial","Unclear")))))</f>
        <v>External</v>
      </c>
      <c r="AA18" s="11">
        <f>IF(SUMPRODUCT(--ISNUMBER(SEARCH({"risk score","model","nomogram","signature","clustering","classifier","classification","LASSO","RSF"},$G18&amp;"|")))&gt;0,1,0)</f>
        <v>1</v>
      </c>
      <c r="AB18" s="11" t="str">
        <f t="shared" si="12"/>
        <v>176 (TCGA) + 63 (GEO) + 33 (internal)</v>
      </c>
      <c r="AC18" s="11" t="str">
        <f>IF(ISNUMBER(SEARCH("liquid biopsy",$D18)),"Liquid-biopsy markers",IF(SUMPRODUCT(--ISNUMBER(SEARCH({"multi-gene","multi-protein"},$D18&amp;"|")))&gt;0,"Multi-gene / multi-protein signatures",IF(SUMPRODUCT(--ISNUMBER(SEARCH({"single gene","single-gene","single protein","single biomarker"},$D18&amp;"|")))&gt;0,"Single-gene / single-protein markers",IF(LOWER(TRIM($D18))="protein","Single-gene / single-protein markers","Pathway, epigenetic, multi-modal &amp; histopathologic markers"))))</f>
        <v>Multi-gene / multi-protein signatures</v>
      </c>
    </row>
    <row r="19" spans="1:29" ht="27.6" x14ac:dyDescent="0.3">
      <c r="A19" s="7">
        <f>'[1]Data extraction'!A17</f>
        <v>16</v>
      </c>
      <c r="B19" s="7" t="str">
        <f>'[1]Data extraction'!B17</f>
        <v>Liu 2025</v>
      </c>
      <c r="C19" s="8" t="str">
        <f>'[1]Data extraction'!C17</f>
        <v>MDRG signature (incl. CITED4, CIRBP); CITED4</v>
      </c>
      <c r="D19" s="8" t="str">
        <f>'[1]Data extraction'!D17</f>
        <v>Multi-gene (metastasis/TME-related signature)</v>
      </c>
      <c r="E19" s="8" t="str">
        <f>'[1]Data extraction'!E17</f>
        <v>Multi-omics (snRNA-seq + spatial transcriptomics + bulk RNA-seq)</v>
      </c>
      <c r="F19" s="8" t="str">
        <f>'[1]Data extraction'!F17</f>
        <v>TCGA + snRNA/ST cohorts (small)</v>
      </c>
      <c r="G19" s="8" t="str">
        <f>'[1]Data extraction'!H17</f>
        <v>Risk score model + single biomarker</v>
      </c>
      <c r="H19" s="8" t="str">
        <f>'[1]Data extraction'!I17</f>
        <v>yes (unclear covariates)</v>
      </c>
      <c r="I19" s="8" t="str">
        <f>'[1]Data extraction'!J17</f>
        <v>partial (TCGA + experimental)</v>
      </c>
      <c r="J19" s="9" t="str">
        <f t="shared" si="0"/>
        <v>High</v>
      </c>
      <c r="K19" s="9" t="str">
        <f t="shared" si="1"/>
        <v>High</v>
      </c>
      <c r="L19" s="9" t="str">
        <f>IF(SUMPRODUCT(--ISNUMBER(SEARCH({"proteom","protein","IHC","qPCR","qRT-PCR","experimental","in vitro","RT-PCR","spatial"},$E19&amp;"|"&amp;$I19)))&gt;0,"Low","Moderate")</f>
        <v>Low</v>
      </c>
      <c r="M19" s="9" t="str">
        <f>IF(SUMPRODUCT(--ISNUMBER(SEARCH({"OS","CSS","PFS","DFS","DSS","survival","recurrence"},'[1]Data extraction'!$K17&amp;"|")))&gt;0,"Low","Moderate")</f>
        <v>Low</v>
      </c>
      <c r="N19" s="9" t="str">
        <f>IF(SUMPRODUCT(--ISNUMBER(SEARCH({"clinical covariates","includes stage"},$H19&amp;"|")))&gt;0,"Low",IF(TRIM(LOWER($H19))="no","High","Moderate"))</f>
        <v>Moderate</v>
      </c>
      <c r="O19" s="9" t="str">
        <f t="shared" si="2"/>
        <v>Moderate</v>
      </c>
      <c r="P19" s="10" t="str">
        <f t="shared" si="3"/>
        <v>High</v>
      </c>
      <c r="Q19" s="9" t="str">
        <f t="shared" si="4"/>
        <v>Yes</v>
      </c>
      <c r="R19" s="9" t="str">
        <f t="shared" si="5"/>
        <v>High</v>
      </c>
      <c r="S19" s="9" t="str">
        <f t="shared" si="6"/>
        <v>Low</v>
      </c>
      <c r="T19" s="9" t="str">
        <f t="shared" si="7"/>
        <v>Low</v>
      </c>
      <c r="U19" s="9" t="str">
        <f t="shared" si="8"/>
        <v>High</v>
      </c>
      <c r="V19" s="10" t="str">
        <f t="shared" si="9"/>
        <v>High</v>
      </c>
      <c r="W19" s="9" t="str">
        <f>IF(SUMPRODUCT(--ISNUMBER(SEARCH({"IHC","proteom","qPCR","RT-PCR","serum","circulating","Histopathology"},$E19&amp;"|")))&gt;0,"Low concern (assay clinically deployable)","High concern (research-grade multi-omics)")</f>
        <v>High concern (research-grade multi-omics)</v>
      </c>
      <c r="X19" s="9" t="str">
        <f t="shared" si="10"/>
        <v>Participation, Attrition, PROBAST analysis</v>
      </c>
      <c r="Y19" s="11" t="str">
        <f t="shared" si="11"/>
        <v/>
      </c>
      <c r="Z19" s="11" t="str">
        <f>IF(SUMPRODUCT(--ISNUMBER(SEARCH({"no external","no ext"},$I19&amp;"|")))&gt;0,IF(ISNUMBER(SEARCH("partial",$I19)),"Internal/partial","None"),IF(TRIM(LOWER($I19))="no","None",IF(ISNUMBER(SEARCH("partial",$I19)),"Internal/partial",IF(SUMPRODUCT(--ISNUMBER(SEARCH({"external","GEO","GSE","ICGC","CPTAC","multi-cohort","multi-level","multicenter","trial","TCGA","clinical cohort"},$I19&amp;"|")))&gt;0,"External",IF(SUMPRODUCT(--ISNUMBER(SEARCH({"internal","limited","only"},$I19&amp;"|")))&gt;0,"Internal/partial","Unclear")))))</f>
        <v>Internal/partial</v>
      </c>
      <c r="AA19" s="11">
        <f>IF(SUMPRODUCT(--ISNUMBER(SEARCH({"risk score","model","nomogram","signature","clustering","classifier","classification","LASSO","RSF"},$G19&amp;"|")))&gt;0,1,0)</f>
        <v>1</v>
      </c>
      <c r="AB19" s="11" t="str">
        <f t="shared" si="12"/>
        <v>TCGA + snRNA/ST cohorts (small)</v>
      </c>
      <c r="AC19" s="11" t="str">
        <f>IF(ISNUMBER(SEARCH("liquid biopsy",$D19)),"Liquid-biopsy markers",IF(SUMPRODUCT(--ISNUMBER(SEARCH({"multi-gene","multi-protein"},$D19&amp;"|")))&gt;0,"Multi-gene / multi-protein signatures",IF(SUMPRODUCT(--ISNUMBER(SEARCH({"single gene","single-gene","single protein","single biomarker"},$D19&amp;"|")))&gt;0,"Single-gene / single-protein markers",IF(LOWER(TRIM($D19))="protein","Single-gene / single-protein markers","Pathway, epigenetic, multi-modal &amp; histopathologic markers"))))</f>
        <v>Multi-gene / multi-protein signatures</v>
      </c>
    </row>
    <row r="20" spans="1:29" ht="27.6" x14ac:dyDescent="0.3">
      <c r="A20" s="7">
        <f>'[1]Data extraction'!A18</f>
        <v>17</v>
      </c>
      <c r="B20" s="7" t="str">
        <f>'[1]Data extraction'!B18</f>
        <v>Guan 2025</v>
      </c>
      <c r="C20" s="8" t="str">
        <f>'[1]Data extraction'!C18</f>
        <v>IGFBP-based 8-gene signature (IGFBP1–7 axis; key gene IGFBP3)</v>
      </c>
      <c r="D20" s="8" t="str">
        <f>'[1]Data extraction'!D18</f>
        <v>Multi-gene (immune–metabolic signature / subtype model)</v>
      </c>
      <c r="E20" s="8" t="str">
        <f>'[1]Data extraction'!E18</f>
        <v>Multi-omics (bulk RNA-seq + scRNA + spatial + in vitro)</v>
      </c>
      <c r="F20" s="8">
        <f>'[1]Data extraction'!F18</f>
        <v>309</v>
      </c>
      <c r="G20" s="8" t="str">
        <f>'[1]Data extraction'!H18</f>
        <v>Risk score + subtype model</v>
      </c>
      <c r="H20" s="8" t="str">
        <f>'[1]Data extraction'!I18</f>
        <v>yes</v>
      </c>
      <c r="I20" s="8" t="str">
        <f>'[1]Data extraction'!J18</f>
        <v>yes (GSE62452)</v>
      </c>
      <c r="J20" s="9" t="str">
        <f t="shared" si="0"/>
        <v>Moderate</v>
      </c>
      <c r="K20" s="9" t="str">
        <f t="shared" si="1"/>
        <v>Low</v>
      </c>
      <c r="L20" s="9" t="str">
        <f>IF(SUMPRODUCT(--ISNUMBER(SEARCH({"proteom","protein","IHC","qPCR","qRT-PCR","experimental","in vitro","RT-PCR","spatial"},$E20&amp;"|"&amp;$I20)))&gt;0,"Low","Moderate")</f>
        <v>Low</v>
      </c>
      <c r="M20" s="9" t="str">
        <f>IF(SUMPRODUCT(--ISNUMBER(SEARCH({"OS","CSS","PFS","DFS","DSS","survival","recurrence"},'[1]Data extraction'!$K18&amp;"|")))&gt;0,"Low","Moderate")</f>
        <v>Low</v>
      </c>
      <c r="N20" s="9" t="str">
        <f>IF(SUMPRODUCT(--ISNUMBER(SEARCH({"clinical covariates","includes stage"},$H20&amp;"|")))&gt;0,"Low",IF(TRIM(LOWER($H20))="no","High","Moderate"))</f>
        <v>Moderate</v>
      </c>
      <c r="O20" s="9" t="str">
        <f t="shared" si="2"/>
        <v>Low</v>
      </c>
      <c r="P20" s="10" t="str">
        <f t="shared" si="3"/>
        <v>Moderate</v>
      </c>
      <c r="Q20" s="9" t="str">
        <f t="shared" si="4"/>
        <v>Yes</v>
      </c>
      <c r="R20" s="9" t="str">
        <f t="shared" si="5"/>
        <v>Unclear</v>
      </c>
      <c r="S20" s="9" t="str">
        <f t="shared" si="6"/>
        <v>Low</v>
      </c>
      <c r="T20" s="9" t="str">
        <f t="shared" si="7"/>
        <v>Low</v>
      </c>
      <c r="U20" s="9" t="str">
        <f t="shared" si="8"/>
        <v>Unclear</v>
      </c>
      <c r="V20" s="10" t="str">
        <f t="shared" si="9"/>
        <v>Unclear</v>
      </c>
      <c r="W20" s="9" t="str">
        <f>IF(SUMPRODUCT(--ISNUMBER(SEARCH({"IHC","proteom","qPCR","RT-PCR","serum","circulating","Histopathology"},$E20&amp;"|")))&gt;0,"Low concern (assay clinically deployable)","High concern (research-grade multi-omics)")</f>
        <v>High concern (research-grade multi-omics)</v>
      </c>
      <c r="X20" s="9" t="str">
        <f t="shared" si="10"/>
        <v/>
      </c>
      <c r="Y20" s="11">
        <f t="shared" si="11"/>
        <v>309</v>
      </c>
      <c r="Z20" s="11" t="str">
        <f>IF(SUMPRODUCT(--ISNUMBER(SEARCH({"no external","no ext"},$I20&amp;"|")))&gt;0,IF(ISNUMBER(SEARCH("partial",$I20)),"Internal/partial","None"),IF(TRIM(LOWER($I20))="no","None",IF(ISNUMBER(SEARCH("partial",$I20)),"Internal/partial",IF(SUMPRODUCT(--ISNUMBER(SEARCH({"external","GEO","GSE","ICGC","CPTAC","multi-cohort","multi-level","multicenter","trial","TCGA","clinical cohort"},$I20&amp;"|")))&gt;0,"External",IF(SUMPRODUCT(--ISNUMBER(SEARCH({"internal","limited","only"},$I20&amp;"|")))&gt;0,"Internal/partial","Unclear")))))</f>
        <v>External</v>
      </c>
      <c r="AA20" s="11">
        <f>IF(SUMPRODUCT(--ISNUMBER(SEARCH({"risk score","model","nomogram","signature","clustering","classifier","classification","LASSO","RSF"},$G20&amp;"|")))&gt;0,1,0)</f>
        <v>1</v>
      </c>
      <c r="AB20" s="11" t="str">
        <f t="shared" si="12"/>
        <v>309</v>
      </c>
      <c r="AC20" s="11" t="str">
        <f>IF(ISNUMBER(SEARCH("liquid biopsy",$D20)),"Liquid-biopsy markers",IF(SUMPRODUCT(--ISNUMBER(SEARCH({"multi-gene","multi-protein"},$D20&amp;"|")))&gt;0,"Multi-gene / multi-protein signatures",IF(SUMPRODUCT(--ISNUMBER(SEARCH({"single gene","single-gene","single protein","single biomarker"},$D20&amp;"|")))&gt;0,"Single-gene / single-protein markers",IF(LOWER(TRIM($D20))="protein","Single-gene / single-protein markers","Pathway, epigenetic, multi-modal &amp; histopathologic markers"))))</f>
        <v>Multi-gene / multi-protein signatures</v>
      </c>
    </row>
    <row r="21" spans="1:29" ht="41.4" x14ac:dyDescent="0.3">
      <c r="A21" s="7">
        <f>'[1]Data extraction'!A19</f>
        <v>18</v>
      </c>
      <c r="B21" s="7" t="str">
        <f>'[1]Data extraction'!B19</f>
        <v>Ge 2025</v>
      </c>
      <c r="C21" s="8" t="str">
        <f>'[1]Data extraction'!C19</f>
        <v>A2ML1 + 23-gene signature (basal-like subtype model)</v>
      </c>
      <c r="D21" s="8" t="str">
        <f>'[1]Data extraction'!D19</f>
        <v>Multi-gene (subtype + ML prognostic model)</v>
      </c>
      <c r="E21" s="8" t="str">
        <f>'[1]Data extraction'!E19</f>
        <v>Multi-omics (mRNA + miRNA + lncRNA + methylation + scRNA + spatial)</v>
      </c>
      <c r="F21" s="8" t="str">
        <f>'[1]Data extraction'!F19</f>
        <v>168 + multi-cohort</v>
      </c>
      <c r="G21" s="8" t="str">
        <f>'[1]Data extraction'!H19</f>
        <v>ML risk model + subtype classification</v>
      </c>
      <c r="H21" s="8" t="str">
        <f>'[1]Data extraction'!I19</f>
        <v>yes</v>
      </c>
      <c r="I21" s="8" t="str">
        <f>'[1]Data extraction'!J19</f>
        <v>yes (12 external cohorts)</v>
      </c>
      <c r="J21" s="9" t="str">
        <f t="shared" si="0"/>
        <v>Moderate</v>
      </c>
      <c r="K21" s="9" t="str">
        <f t="shared" si="1"/>
        <v>Low</v>
      </c>
      <c r="L21" s="9" t="str">
        <f>IF(SUMPRODUCT(--ISNUMBER(SEARCH({"proteom","protein","IHC","qPCR","qRT-PCR","experimental","in vitro","RT-PCR","spatial"},$E21&amp;"|"&amp;$I21)))&gt;0,"Low","Moderate")</f>
        <v>Low</v>
      </c>
      <c r="M21" s="9" t="str">
        <f>IF(SUMPRODUCT(--ISNUMBER(SEARCH({"OS","CSS","PFS","DFS","DSS","survival","recurrence"},'[1]Data extraction'!$K19&amp;"|")))&gt;0,"Low","Moderate")</f>
        <v>Low</v>
      </c>
      <c r="N21" s="9" t="str">
        <f>IF(SUMPRODUCT(--ISNUMBER(SEARCH({"clinical covariates","includes stage"},$H21&amp;"|")))&gt;0,"Low",IF(TRIM(LOWER($H21))="no","High","Moderate"))</f>
        <v>Moderate</v>
      </c>
      <c r="O21" s="9" t="str">
        <f t="shared" si="2"/>
        <v>Low</v>
      </c>
      <c r="P21" s="10" t="str">
        <f t="shared" si="3"/>
        <v>Moderate</v>
      </c>
      <c r="Q21" s="9" t="str">
        <f t="shared" si="4"/>
        <v>Yes</v>
      </c>
      <c r="R21" s="9" t="str">
        <f t="shared" si="5"/>
        <v>Unclear</v>
      </c>
      <c r="S21" s="9" t="str">
        <f t="shared" si="6"/>
        <v>Low</v>
      </c>
      <c r="T21" s="9" t="str">
        <f t="shared" si="7"/>
        <v>Low</v>
      </c>
      <c r="U21" s="9" t="str">
        <f t="shared" si="8"/>
        <v>Unclear</v>
      </c>
      <c r="V21" s="10" t="str">
        <f t="shared" si="9"/>
        <v>Unclear</v>
      </c>
      <c r="W21" s="9" t="str">
        <f>IF(SUMPRODUCT(--ISNUMBER(SEARCH({"IHC","proteom","qPCR","RT-PCR","serum","circulating","Histopathology"},$E21&amp;"|")))&gt;0,"Low concern (assay clinically deployable)","High concern (research-grade multi-omics)")</f>
        <v>High concern (research-grade multi-omics)</v>
      </c>
      <c r="X21" s="9" t="str">
        <f t="shared" si="10"/>
        <v/>
      </c>
      <c r="Y21" s="11">
        <f t="shared" si="11"/>
        <v>168</v>
      </c>
      <c r="Z21" s="11" t="str">
        <f>IF(SUMPRODUCT(--ISNUMBER(SEARCH({"no external","no ext"},$I21&amp;"|")))&gt;0,IF(ISNUMBER(SEARCH("partial",$I21)),"Internal/partial","None"),IF(TRIM(LOWER($I21))="no","None",IF(ISNUMBER(SEARCH("partial",$I21)),"Internal/partial",IF(SUMPRODUCT(--ISNUMBER(SEARCH({"external","GEO","GSE","ICGC","CPTAC","multi-cohort","multi-level","multicenter","trial","TCGA","clinical cohort"},$I21&amp;"|")))&gt;0,"External",IF(SUMPRODUCT(--ISNUMBER(SEARCH({"internal","limited","only"},$I21&amp;"|")))&gt;0,"Internal/partial","Unclear")))))</f>
        <v>External</v>
      </c>
      <c r="AA21" s="11">
        <f>IF(SUMPRODUCT(--ISNUMBER(SEARCH({"risk score","model","nomogram","signature","clustering","classifier","classification","LASSO","RSF"},$G21&amp;"|")))&gt;0,1,0)</f>
        <v>1</v>
      </c>
      <c r="AB21" s="11" t="str">
        <f t="shared" si="12"/>
        <v>168 + multi-cohort</v>
      </c>
      <c r="AC21" s="11" t="str">
        <f>IF(ISNUMBER(SEARCH("liquid biopsy",$D21)),"Liquid-biopsy markers",IF(SUMPRODUCT(--ISNUMBER(SEARCH({"multi-gene","multi-protein"},$D21&amp;"|")))&gt;0,"Multi-gene / multi-protein signatures",IF(SUMPRODUCT(--ISNUMBER(SEARCH({"single gene","single-gene","single protein","single biomarker"},$D21&amp;"|")))&gt;0,"Single-gene / single-protein markers",IF(LOWER(TRIM($D21))="protein","Single-gene / single-protein markers","Pathway, epigenetic, multi-modal &amp; histopathologic markers"))))</f>
        <v>Multi-gene / multi-protein signatures</v>
      </c>
    </row>
    <row r="22" spans="1:29" ht="41.4" x14ac:dyDescent="0.3">
      <c r="A22" s="7">
        <f>'[1]Data extraction'!A20</f>
        <v>19</v>
      </c>
      <c r="B22" s="7" t="str">
        <f>'[1]Data extraction'!B20</f>
        <v>Ge 2025</v>
      </c>
      <c r="C22" s="8" t="str">
        <f>'[1]Data extraction'!C20</f>
        <v>BM-related gene signature (LAMA3, ITGA3, ITGB6); SPP1+ TAMs</v>
      </c>
      <c r="D22" s="8" t="str">
        <f>'[1]Data extraction'!D20</f>
        <v>Multi-gene (basement membrane-related signature; SPP1+ TAM / ITGB6 axis)</v>
      </c>
      <c r="E22" s="8" t="str">
        <f>'[1]Data extraction'!E20</f>
        <v>Transcriptomics + scRNA-seq + experimental validation</v>
      </c>
      <c r="F22" s="8" t="str">
        <f>'[1]Data extraction'!F20</f>
        <v>Not clearly reported</v>
      </c>
      <c r="G22" s="8" t="str">
        <f>'[1]Data extraction'!H20</f>
        <v>Risk score model (LASSO + survival-SVM)</v>
      </c>
      <c r="H22" s="8" t="str">
        <f>'[1]Data extraction'!I20</f>
        <v>yes (adjusted covariates not clearly reported)</v>
      </c>
      <c r="I22" s="8" t="str">
        <f>'[1]Data extraction'!J20</f>
        <v>yes (multi-cohort TCGA + GEO + experimental validation of ITGB6)</v>
      </c>
      <c r="J22" s="9" t="str">
        <f t="shared" si="0"/>
        <v>High</v>
      </c>
      <c r="K22" s="9" t="str">
        <f t="shared" si="1"/>
        <v>High</v>
      </c>
      <c r="L22" s="9" t="str">
        <f>IF(SUMPRODUCT(--ISNUMBER(SEARCH({"proteom","protein","IHC","qPCR","qRT-PCR","experimental","in vitro","RT-PCR","spatial"},$E22&amp;"|"&amp;$I22)))&gt;0,"Low","Moderate")</f>
        <v>Low</v>
      </c>
      <c r="M22" s="9" t="str">
        <f>IF(SUMPRODUCT(--ISNUMBER(SEARCH({"OS","CSS","PFS","DFS","DSS","survival","recurrence"},'[1]Data extraction'!$K20&amp;"|")))&gt;0,"Low","Moderate")</f>
        <v>Low</v>
      </c>
      <c r="N22" s="9" t="str">
        <f>IF(SUMPRODUCT(--ISNUMBER(SEARCH({"clinical covariates","includes stage"},$H22&amp;"|")))&gt;0,"Low",IF(TRIM(LOWER($H22))="no","High","Moderate"))</f>
        <v>Moderate</v>
      </c>
      <c r="O22" s="9" t="str">
        <f t="shared" si="2"/>
        <v>Low</v>
      </c>
      <c r="P22" s="10" t="str">
        <f t="shared" si="3"/>
        <v>High</v>
      </c>
      <c r="Q22" s="9" t="str">
        <f t="shared" si="4"/>
        <v>Yes</v>
      </c>
      <c r="R22" s="9" t="str">
        <f t="shared" si="5"/>
        <v>High</v>
      </c>
      <c r="S22" s="9" t="str">
        <f t="shared" si="6"/>
        <v>Low</v>
      </c>
      <c r="T22" s="9" t="str">
        <f t="shared" si="7"/>
        <v>Low</v>
      </c>
      <c r="U22" s="9" t="str">
        <f t="shared" si="8"/>
        <v>High</v>
      </c>
      <c r="V22" s="10" t="str">
        <f t="shared" si="9"/>
        <v>High</v>
      </c>
      <c r="W22" s="9" t="str">
        <f>IF(SUMPRODUCT(--ISNUMBER(SEARCH({"IHC","proteom","qPCR","RT-PCR","serum","circulating","Histopathology"},$E22&amp;"|")))&gt;0,"Low concern (assay clinically deployable)","High concern (research-grade multi-omics)")</f>
        <v>High concern (research-grade multi-omics)</v>
      </c>
      <c r="X22" s="9" t="str">
        <f t="shared" si="10"/>
        <v>Participation, Attrition, PROBAST analysis</v>
      </c>
      <c r="Y22" s="11" t="str">
        <f t="shared" si="11"/>
        <v/>
      </c>
      <c r="Z22" s="11" t="str">
        <f>IF(SUMPRODUCT(--ISNUMBER(SEARCH({"no external","no ext"},$I22&amp;"|")))&gt;0,IF(ISNUMBER(SEARCH("partial",$I22)),"Internal/partial","None"),IF(TRIM(LOWER($I22))="no","None",IF(ISNUMBER(SEARCH("partial",$I22)),"Internal/partial",IF(SUMPRODUCT(--ISNUMBER(SEARCH({"external","GEO","GSE","ICGC","CPTAC","multi-cohort","multi-level","multicenter","trial","TCGA","clinical cohort"},$I22&amp;"|")))&gt;0,"External",IF(SUMPRODUCT(--ISNUMBER(SEARCH({"internal","limited","only"},$I22&amp;"|")))&gt;0,"Internal/partial","Unclear")))))</f>
        <v>External</v>
      </c>
      <c r="AA22" s="11">
        <f>IF(SUMPRODUCT(--ISNUMBER(SEARCH({"risk score","model","nomogram","signature","clustering","classifier","classification","LASSO","RSF"},$G22&amp;"|")))&gt;0,1,0)</f>
        <v>1</v>
      </c>
      <c r="AB22" s="11" t="str">
        <f t="shared" si="12"/>
        <v>Not clearly reported</v>
      </c>
      <c r="AC22" s="11" t="str">
        <f>IF(ISNUMBER(SEARCH("liquid biopsy",$D22)),"Liquid-biopsy markers",IF(SUMPRODUCT(--ISNUMBER(SEARCH({"multi-gene","multi-protein"},$D22&amp;"|")))&gt;0,"Multi-gene / multi-protein signatures",IF(SUMPRODUCT(--ISNUMBER(SEARCH({"single gene","single-gene","single protein","single biomarker"},$D22&amp;"|")))&gt;0,"Single-gene / single-protein markers",IF(LOWER(TRIM($D22))="protein","Single-gene / single-protein markers","Pathway, epigenetic, multi-modal &amp; histopathologic markers"))))</f>
        <v>Multi-gene / multi-protein signatures</v>
      </c>
    </row>
    <row r="23" spans="1:29" ht="27.6" x14ac:dyDescent="0.3">
      <c r="A23" s="7">
        <f>'[1]Data extraction'!A21</f>
        <v>20</v>
      </c>
      <c r="B23" s="7" t="str">
        <f>'[1]Data extraction'!B21</f>
        <v>Gao 2025</v>
      </c>
      <c r="C23" s="8" t="str">
        <f>'[1]Data extraction'!C21</f>
        <v>4-TF ER-stress signature (STAT1, IRF6, NRF1, RXRA)</v>
      </c>
      <c r="D23" s="8" t="str">
        <f>'[1]Data extraction'!D21</f>
        <v>Multi-gene (transcription factor / pathway signature)</v>
      </c>
      <c r="E23" s="8" t="str">
        <f>'[1]Data extraction'!E21</f>
        <v>Transcriptomics + experimental validation</v>
      </c>
      <c r="F23" s="8" t="str">
        <f>'[1]Data extraction'!F21</f>
        <v>NR</v>
      </c>
      <c r="G23" s="8" t="str">
        <f>'[1]Data extraction'!H21</f>
        <v>Risk score model</v>
      </c>
      <c r="H23" s="8" t="str">
        <f>'[1]Data extraction'!I21</f>
        <v>yes</v>
      </c>
      <c r="I23" s="8" t="str">
        <f>'[1]Data extraction'!J21</f>
        <v>yes (GEO + experimental)</v>
      </c>
      <c r="J23" s="9" t="str">
        <f t="shared" si="0"/>
        <v>High</v>
      </c>
      <c r="K23" s="9" t="str">
        <f t="shared" si="1"/>
        <v>High</v>
      </c>
      <c r="L23" s="9" t="str">
        <f>IF(SUMPRODUCT(--ISNUMBER(SEARCH({"proteom","protein","IHC","qPCR","qRT-PCR","experimental","in vitro","RT-PCR","spatial"},$E23&amp;"|"&amp;$I23)))&gt;0,"Low","Moderate")</f>
        <v>Low</v>
      </c>
      <c r="M23" s="9" t="str">
        <f>IF(SUMPRODUCT(--ISNUMBER(SEARCH({"OS","CSS","PFS","DFS","DSS","survival","recurrence"},'[1]Data extraction'!$K21&amp;"|")))&gt;0,"Low","Moderate")</f>
        <v>Low</v>
      </c>
      <c r="N23" s="9" t="str">
        <f>IF(SUMPRODUCT(--ISNUMBER(SEARCH({"clinical covariates","includes stage"},$H23&amp;"|")))&gt;0,"Low",IF(TRIM(LOWER($H23))="no","High","Moderate"))</f>
        <v>Moderate</v>
      </c>
      <c r="O23" s="9" t="str">
        <f t="shared" si="2"/>
        <v>Low</v>
      </c>
      <c r="P23" s="10" t="str">
        <f t="shared" si="3"/>
        <v>High</v>
      </c>
      <c r="Q23" s="9" t="str">
        <f t="shared" si="4"/>
        <v>Yes</v>
      </c>
      <c r="R23" s="9" t="str">
        <f t="shared" si="5"/>
        <v>High</v>
      </c>
      <c r="S23" s="9" t="str">
        <f t="shared" si="6"/>
        <v>Low</v>
      </c>
      <c r="T23" s="9" t="str">
        <f t="shared" si="7"/>
        <v>Low</v>
      </c>
      <c r="U23" s="9" t="str">
        <f t="shared" si="8"/>
        <v>High</v>
      </c>
      <c r="V23" s="10" t="str">
        <f t="shared" si="9"/>
        <v>High</v>
      </c>
      <c r="W23" s="9" t="str">
        <f>IF(SUMPRODUCT(--ISNUMBER(SEARCH({"IHC","proteom","qPCR","RT-PCR","serum","circulating","Histopathology"},$E23&amp;"|")))&gt;0,"Low concern (assay clinically deployable)","High concern (research-grade multi-omics)")</f>
        <v>High concern (research-grade multi-omics)</v>
      </c>
      <c r="X23" s="9" t="str">
        <f t="shared" si="10"/>
        <v>Participation, Attrition, PROBAST analysis</v>
      </c>
      <c r="Y23" s="11" t="str">
        <f t="shared" si="11"/>
        <v/>
      </c>
      <c r="Z23" s="11" t="str">
        <f>IF(SUMPRODUCT(--ISNUMBER(SEARCH({"no external","no ext"},$I23&amp;"|")))&gt;0,IF(ISNUMBER(SEARCH("partial",$I23)),"Internal/partial","None"),IF(TRIM(LOWER($I23))="no","None",IF(ISNUMBER(SEARCH("partial",$I23)),"Internal/partial",IF(SUMPRODUCT(--ISNUMBER(SEARCH({"external","GEO","GSE","ICGC","CPTAC","multi-cohort","multi-level","multicenter","trial","TCGA","clinical cohort"},$I23&amp;"|")))&gt;0,"External",IF(SUMPRODUCT(--ISNUMBER(SEARCH({"internal","limited","only"},$I23&amp;"|")))&gt;0,"Internal/partial","Unclear")))))</f>
        <v>External</v>
      </c>
      <c r="AA23" s="11">
        <f>IF(SUMPRODUCT(--ISNUMBER(SEARCH({"risk score","model","nomogram","signature","clustering","classifier","classification","LASSO","RSF"},$G23&amp;"|")))&gt;0,1,0)</f>
        <v>1</v>
      </c>
      <c r="AB23" s="11" t="str">
        <f t="shared" si="12"/>
        <v>NR</v>
      </c>
      <c r="AC23" s="11" t="str">
        <f>IF(ISNUMBER(SEARCH("liquid biopsy",$D23)),"Liquid-biopsy markers",IF(SUMPRODUCT(--ISNUMBER(SEARCH({"multi-gene","multi-protein"},$D23&amp;"|")))&gt;0,"Multi-gene / multi-protein signatures",IF(SUMPRODUCT(--ISNUMBER(SEARCH({"single gene","single-gene","single protein","single biomarker"},$D23&amp;"|")))&gt;0,"Single-gene / single-protein markers",IF(LOWER(TRIM($D23))="protein","Single-gene / single-protein markers","Pathway, epigenetic, multi-modal &amp; histopathologic markers"))))</f>
        <v>Multi-gene / multi-protein signatures</v>
      </c>
    </row>
    <row r="24" spans="1:29" ht="27.6" x14ac:dyDescent="0.3">
      <c r="A24" s="7">
        <f>'[1]Data extraction'!A22</f>
        <v>21</v>
      </c>
      <c r="B24" s="7" t="str">
        <f>'[1]Data extraction'!B22</f>
        <v>Chen 2025</v>
      </c>
      <c r="C24" s="8" t="str">
        <f>'[1]Data extraction'!C22</f>
        <v>PLAAT2</v>
      </c>
      <c r="D24" s="8" t="str">
        <f>'[1]Data extraction'!D22</f>
        <v>Single gene (metabolic / therapeutic biomarker)</v>
      </c>
      <c r="E24" s="8" t="str">
        <f>'[1]Data extraction'!E22</f>
        <v>Transcriptomics + experimental</v>
      </c>
      <c r="F24" s="8" t="str">
        <f>'[1]Data extraction'!F22</f>
        <v>TCGA + GEO + small cohort</v>
      </c>
      <c r="G24" s="8" t="str">
        <f>'[1]Data extraction'!H22</f>
        <v>Single biomarker (+ signature secondary)</v>
      </c>
      <c r="H24" s="8" t="str">
        <f>'[1]Data extraction'!I22</f>
        <v>yes</v>
      </c>
      <c r="I24" s="8" t="str">
        <f>'[1]Data extraction'!J22</f>
        <v>yes (GEO + in vitro)</v>
      </c>
      <c r="J24" s="9" t="str">
        <f t="shared" si="0"/>
        <v>High</v>
      </c>
      <c r="K24" s="9" t="str">
        <f t="shared" si="1"/>
        <v>High</v>
      </c>
      <c r="L24" s="9" t="str">
        <f>IF(SUMPRODUCT(--ISNUMBER(SEARCH({"proteom","protein","IHC","qPCR","qRT-PCR","experimental","in vitro","RT-PCR","spatial"},$E24&amp;"|"&amp;$I24)))&gt;0,"Low","Moderate")</f>
        <v>Low</v>
      </c>
      <c r="M24" s="9" t="str">
        <f>IF(SUMPRODUCT(--ISNUMBER(SEARCH({"OS","CSS","PFS","DFS","DSS","survival","recurrence"},'[1]Data extraction'!$K22&amp;"|")))&gt;0,"Low","Moderate")</f>
        <v>Low</v>
      </c>
      <c r="N24" s="9" t="str">
        <f>IF(SUMPRODUCT(--ISNUMBER(SEARCH({"clinical covariates","includes stage"},$H24&amp;"|")))&gt;0,"Low",IF(TRIM(LOWER($H24))="no","High","Moderate"))</f>
        <v>Moderate</v>
      </c>
      <c r="O24" s="9" t="str">
        <f t="shared" si="2"/>
        <v>Low</v>
      </c>
      <c r="P24" s="10" t="str">
        <f t="shared" si="3"/>
        <v>High</v>
      </c>
      <c r="Q24" s="9" t="str">
        <f t="shared" si="4"/>
        <v>Yes</v>
      </c>
      <c r="R24" s="9" t="str">
        <f t="shared" si="5"/>
        <v>High</v>
      </c>
      <c r="S24" s="9" t="str">
        <f t="shared" si="6"/>
        <v>Low</v>
      </c>
      <c r="T24" s="9" t="str">
        <f t="shared" si="7"/>
        <v>Low</v>
      </c>
      <c r="U24" s="9" t="str">
        <f t="shared" si="8"/>
        <v>High</v>
      </c>
      <c r="V24" s="10" t="str">
        <f t="shared" si="9"/>
        <v>High</v>
      </c>
      <c r="W24" s="9" t="str">
        <f>IF(SUMPRODUCT(--ISNUMBER(SEARCH({"IHC","proteom","qPCR","RT-PCR","serum","circulating","Histopathology"},$E24&amp;"|")))&gt;0,"Low concern (assay clinically deployable)","High concern (research-grade multi-omics)")</f>
        <v>High concern (research-grade multi-omics)</v>
      </c>
      <c r="X24" s="9" t="str">
        <f t="shared" si="10"/>
        <v>Participation, Attrition, PROBAST analysis</v>
      </c>
      <c r="Y24" s="11" t="str">
        <f t="shared" si="11"/>
        <v/>
      </c>
      <c r="Z24" s="11" t="str">
        <f>IF(SUMPRODUCT(--ISNUMBER(SEARCH({"no external","no ext"},$I24&amp;"|")))&gt;0,IF(ISNUMBER(SEARCH("partial",$I24)),"Internal/partial","None"),IF(TRIM(LOWER($I24))="no","None",IF(ISNUMBER(SEARCH("partial",$I24)),"Internal/partial",IF(SUMPRODUCT(--ISNUMBER(SEARCH({"external","GEO","GSE","ICGC","CPTAC","multi-cohort","multi-level","multicenter","trial","TCGA","clinical cohort"},$I24&amp;"|")))&gt;0,"External",IF(SUMPRODUCT(--ISNUMBER(SEARCH({"internal","limited","only"},$I24&amp;"|")))&gt;0,"Internal/partial","Unclear")))))</f>
        <v>External</v>
      </c>
      <c r="AA24" s="11">
        <f>IF(SUMPRODUCT(--ISNUMBER(SEARCH({"risk score","model","nomogram","signature","clustering","classifier","classification","LASSO","RSF"},$G24&amp;"|")))&gt;0,1,0)</f>
        <v>1</v>
      </c>
      <c r="AB24" s="11" t="str">
        <f t="shared" si="12"/>
        <v>TCGA + GEO + small cohort</v>
      </c>
      <c r="AC24" s="11" t="str">
        <f>IF(ISNUMBER(SEARCH("liquid biopsy",$D24)),"Liquid-biopsy markers",IF(SUMPRODUCT(--ISNUMBER(SEARCH({"multi-gene","multi-protein"},$D24&amp;"|")))&gt;0,"Multi-gene / multi-protein signatures",IF(SUMPRODUCT(--ISNUMBER(SEARCH({"single gene","single-gene","single protein","single biomarker"},$D24&amp;"|")))&gt;0,"Single-gene / single-protein markers",IF(LOWER(TRIM($D24))="protein","Single-gene / single-protein markers","Pathway, epigenetic, multi-modal &amp; histopathologic markers"))))</f>
        <v>Single-gene / single-protein markers</v>
      </c>
    </row>
    <row r="25" spans="1:29" ht="82.8" x14ac:dyDescent="0.3">
      <c r="A25" s="7">
        <f>'[1]Data extraction'!A23</f>
        <v>22</v>
      </c>
      <c r="B25" s="7" t="str">
        <f>'[1]Data extraction'!B23</f>
        <v>Shi 2026</v>
      </c>
      <c r="C25" s="8" t="str">
        <f>'[1]Data extraction'!C23</f>
        <v>LY6D (stem-like gastric-like cell state marker)</v>
      </c>
      <c r="D25" s="8" t="str">
        <f>'[1]Data extraction'!D23</f>
        <v>Single gene</v>
      </c>
      <c r="E25" s="8" t="str">
        <f>'[1]Data extraction'!E23</f>
        <v>Single-cell transcriptomics + bulk RNA-seq + epigenomics (ATAC-seq) + proteomics + metabolic profiling + functional genomics</v>
      </c>
      <c r="F25" s="8" t="str">
        <f>'[1]Data extraction'!F23</f>
        <v>Not explicitly stated; includes multiple scRNA-seq datasets, mouse models, and human validation cohorts</v>
      </c>
      <c r="G25" s="8" t="str">
        <f>'[1]Data extraction'!H23</f>
        <v>Single biomarker</v>
      </c>
      <c r="H25" s="8" t="str">
        <f>'[1]Data extraction'!I23</f>
        <v>yes (Not explicitly detailed (likely adjusted for clinical variables in Cox model, but not specified))</v>
      </c>
      <c r="I25" s="8" t="str">
        <f>'[1]Data extraction'!J23</f>
        <v>Yes (strong multi-level validation); Human PDAC cohorts + in vivo mouse models + multi-omics data</v>
      </c>
      <c r="J25" s="9" t="str">
        <f t="shared" si="0"/>
        <v>High</v>
      </c>
      <c r="K25" s="9" t="str">
        <f t="shared" si="1"/>
        <v>High</v>
      </c>
      <c r="L25" s="9" t="str">
        <f>IF(SUMPRODUCT(--ISNUMBER(SEARCH({"proteom","protein","IHC","qPCR","qRT-PCR","experimental","in vitro","RT-PCR","spatial"},$E25&amp;"|"&amp;$I25)))&gt;0,"Low","Moderate")</f>
        <v>Low</v>
      </c>
      <c r="M25" s="9" t="str">
        <f>IF(SUMPRODUCT(--ISNUMBER(SEARCH({"OS","CSS","PFS","DFS","DSS","survival","recurrence"},'[1]Data extraction'!$K23&amp;"|")))&gt;0,"Low","Moderate")</f>
        <v>Low</v>
      </c>
      <c r="N25" s="9" t="str">
        <f>IF(SUMPRODUCT(--ISNUMBER(SEARCH({"clinical covariates","includes stage"},$H25&amp;"|")))&gt;0,"Low",IF(TRIM(LOWER($H25))="no","High","Moderate"))</f>
        <v>Moderate</v>
      </c>
      <c r="O25" s="9" t="str">
        <f t="shared" si="2"/>
        <v>Low</v>
      </c>
      <c r="P25" s="10" t="str">
        <f t="shared" si="3"/>
        <v>High</v>
      </c>
      <c r="Q25" s="9" t="str">
        <f t="shared" si="4"/>
        <v>No (prognostic factor only)</v>
      </c>
      <c r="R25" s="9" t="str">
        <f t="shared" si="5"/>
        <v>n/a</v>
      </c>
      <c r="S25" s="9" t="str">
        <f t="shared" si="6"/>
        <v>n/a</v>
      </c>
      <c r="T25" s="9" t="str">
        <f t="shared" si="7"/>
        <v>n/a</v>
      </c>
      <c r="U25" s="9" t="str">
        <f t="shared" si="8"/>
        <v>n/a</v>
      </c>
      <c r="V25" s="10" t="str">
        <f t="shared" si="9"/>
        <v>n/a</v>
      </c>
      <c r="W25" s="9" t="str">
        <f>IF(SUMPRODUCT(--ISNUMBER(SEARCH({"IHC","proteom","qPCR","RT-PCR","serum","circulating","Histopathology"},$E25&amp;"|")))&gt;0,"Low concern (assay clinically deployable)","High concern (research-grade multi-omics)")</f>
        <v>Low concern (assay clinically deployable)</v>
      </c>
      <c r="X25" s="9" t="str">
        <f t="shared" si="10"/>
        <v>Participation, Attrition</v>
      </c>
      <c r="Y25" s="11" t="str">
        <f t="shared" si="11"/>
        <v/>
      </c>
      <c r="Z25" s="11" t="str">
        <f>IF(SUMPRODUCT(--ISNUMBER(SEARCH({"no external","no ext"},$I25&amp;"|")))&gt;0,IF(ISNUMBER(SEARCH("partial",$I25)),"Internal/partial","None"),IF(TRIM(LOWER($I25))="no","None",IF(ISNUMBER(SEARCH("partial",$I25)),"Internal/partial",IF(SUMPRODUCT(--ISNUMBER(SEARCH({"external","GEO","GSE","ICGC","CPTAC","multi-cohort","multi-level","multicenter","trial","TCGA","clinical cohort"},$I25&amp;"|")))&gt;0,"External",IF(SUMPRODUCT(--ISNUMBER(SEARCH({"internal","limited","only"},$I25&amp;"|")))&gt;0,"Internal/partial","Unclear")))))</f>
        <v>External</v>
      </c>
      <c r="AA25" s="11">
        <f>IF(SUMPRODUCT(--ISNUMBER(SEARCH({"risk score","model","nomogram","signature","clustering","classifier","classification","LASSO","RSF"},$G25&amp;"|")))&gt;0,1,0)</f>
        <v>0</v>
      </c>
      <c r="AB25" s="11" t="str">
        <f t="shared" si="12"/>
        <v>Not explicitly stated; includes multiple scRNA-seq datasets, mouse models, and human validation cohorts</v>
      </c>
      <c r="AC25" s="11" t="str">
        <f>IF(ISNUMBER(SEARCH("liquid biopsy",$D25)),"Liquid-biopsy markers",IF(SUMPRODUCT(--ISNUMBER(SEARCH({"multi-gene","multi-protein"},$D25&amp;"|")))&gt;0,"Multi-gene / multi-protein signatures",IF(SUMPRODUCT(--ISNUMBER(SEARCH({"single gene","single-gene","single protein","single biomarker"},$D25&amp;"|")))&gt;0,"Single-gene / single-protein markers",IF(LOWER(TRIM($D25))="protein","Single-gene / single-protein markers","Pathway, epigenetic, multi-modal &amp; histopathologic markers"))))</f>
        <v>Single-gene / single-protein markers</v>
      </c>
    </row>
    <row r="26" spans="1:29" ht="69" x14ac:dyDescent="0.3">
      <c r="A26" s="7">
        <f>'[1]Data extraction'!A24</f>
        <v>23</v>
      </c>
      <c r="B26" s="7" t="str">
        <f>'[1]Data extraction'!B24</f>
        <v>Pei 2026</v>
      </c>
      <c r="C26" s="8" t="str">
        <f>'[1]Data extraction'!C24</f>
        <v>Disulfidptosis-related gene (DRG) signature; key genes: RPN1, PML; model genes: NDUFA11, MYH14, TRIP6, ACTN1, ANP32E, PML, CD2AP, RPN1</v>
      </c>
      <c r="D26" s="8" t="str">
        <f>'[1]Data extraction'!D24</f>
        <v>Multi-gene signature</v>
      </c>
      <c r="E26" s="8" t="str">
        <f>'[1]Data extraction'!E24</f>
        <v>Transcriptomics (bulk RNA-seq) and single-cell transcriptomics (scRNA-seq)</v>
      </c>
      <c r="F26" s="8" t="str">
        <f>'[1]Data extraction'!F24</f>
        <v>178 in training (TCGA-PAAD)</v>
      </c>
      <c r="G26" s="8" t="str">
        <f>'[1]Data extraction'!H24</f>
        <v>Signature / risk model</v>
      </c>
      <c r="H26" s="8" t="str">
        <f>'[1]Data extraction'!I24</f>
        <v>yes (Age, sex, tumor grade, clinical stage, T stage, N stage, M stage)</v>
      </c>
      <c r="I26" s="8" t="str">
        <f>'[1]Data extraction'!J24</f>
        <v>yes; External validation using GEO dataset GSE28735</v>
      </c>
      <c r="J26" s="9" t="str">
        <f t="shared" si="0"/>
        <v>Moderate</v>
      </c>
      <c r="K26" s="9" t="str">
        <f t="shared" si="1"/>
        <v>Low</v>
      </c>
      <c r="L26" s="9" t="str">
        <f>IF(SUMPRODUCT(--ISNUMBER(SEARCH({"proteom","protein","IHC","qPCR","qRT-PCR","experimental","in vitro","RT-PCR","spatial"},$E26&amp;"|"&amp;$I26)))&gt;0,"Low","Moderate")</f>
        <v>Moderate</v>
      </c>
      <c r="M26" s="9" t="str">
        <f>IF(SUMPRODUCT(--ISNUMBER(SEARCH({"OS","CSS","PFS","DFS","DSS","survival","recurrence"},'[1]Data extraction'!$K24&amp;"|")))&gt;0,"Low","Moderate")</f>
        <v>Low</v>
      </c>
      <c r="N26" s="9" t="str">
        <f>IF(SUMPRODUCT(--ISNUMBER(SEARCH({"clinical covariates","includes stage"},$H26&amp;"|")))&gt;0,"Low",IF(TRIM(LOWER($H26))="no","High","Moderate"))</f>
        <v>Moderate</v>
      </c>
      <c r="O26" s="9" t="str">
        <f t="shared" si="2"/>
        <v>Low</v>
      </c>
      <c r="P26" s="10" t="str">
        <f t="shared" si="3"/>
        <v>Moderate</v>
      </c>
      <c r="Q26" s="9" t="str">
        <f t="shared" si="4"/>
        <v>Yes</v>
      </c>
      <c r="R26" s="9" t="str">
        <f t="shared" si="5"/>
        <v>Unclear</v>
      </c>
      <c r="S26" s="9" t="str">
        <f t="shared" si="6"/>
        <v>Unclear</v>
      </c>
      <c r="T26" s="9" t="str">
        <f t="shared" si="7"/>
        <v>Low</v>
      </c>
      <c r="U26" s="9" t="str">
        <f t="shared" si="8"/>
        <v>Unclear</v>
      </c>
      <c r="V26" s="10" t="str">
        <f t="shared" si="9"/>
        <v>Unclear</v>
      </c>
      <c r="W26" s="9" t="str">
        <f>IF(SUMPRODUCT(--ISNUMBER(SEARCH({"IHC","proteom","qPCR","RT-PCR","serum","circulating","Histopathology"},$E26&amp;"|")))&gt;0,"Low concern (assay clinically deployable)","High concern (research-grade multi-omics)")</f>
        <v>High concern (research-grade multi-omics)</v>
      </c>
      <c r="X26" s="9" t="str">
        <f t="shared" si="10"/>
        <v/>
      </c>
      <c r="Y26" s="11">
        <f t="shared" si="11"/>
        <v>178</v>
      </c>
      <c r="Z26" s="11" t="str">
        <f>IF(SUMPRODUCT(--ISNUMBER(SEARCH({"no external","no ext"},$I26&amp;"|")))&gt;0,IF(ISNUMBER(SEARCH("partial",$I26)),"Internal/partial","None"),IF(TRIM(LOWER($I26))="no","None",IF(ISNUMBER(SEARCH("partial",$I26)),"Internal/partial",IF(SUMPRODUCT(--ISNUMBER(SEARCH({"external","GEO","GSE","ICGC","CPTAC","multi-cohort","multi-level","multicenter","trial","TCGA","clinical cohort"},$I26&amp;"|")))&gt;0,"External",IF(SUMPRODUCT(--ISNUMBER(SEARCH({"internal","limited","only"},$I26&amp;"|")))&gt;0,"Internal/partial","Unclear")))))</f>
        <v>External</v>
      </c>
      <c r="AA26" s="11">
        <f>IF(SUMPRODUCT(--ISNUMBER(SEARCH({"risk score","model","nomogram","signature","clustering","classifier","classification","LASSO","RSF"},$G26&amp;"|")))&gt;0,1,0)</f>
        <v>1</v>
      </c>
      <c r="AB26" s="11" t="str">
        <f t="shared" si="12"/>
        <v>178 in training (TCGA-PAAD)</v>
      </c>
      <c r="AC26" s="11" t="str">
        <f>IF(ISNUMBER(SEARCH("liquid biopsy",$D26)),"Liquid-biopsy markers",IF(SUMPRODUCT(--ISNUMBER(SEARCH({"multi-gene","multi-protein"},$D26&amp;"|")))&gt;0,"Multi-gene / multi-protein signatures",IF(SUMPRODUCT(--ISNUMBER(SEARCH({"single gene","single-gene","single protein","single biomarker"},$D26&amp;"|")))&gt;0,"Single-gene / single-protein markers",IF(LOWER(TRIM($D26))="protein","Single-gene / single-protein markers","Pathway, epigenetic, multi-modal &amp; histopathologic markers"))))</f>
        <v>Multi-gene / multi-protein signatures</v>
      </c>
    </row>
    <row r="27" spans="1:29" ht="82.8" x14ac:dyDescent="0.3">
      <c r="A27" s="7">
        <f>'[1]Data extraction'!A25</f>
        <v>24</v>
      </c>
      <c r="B27" s="7" t="str">
        <f>'[1]Data extraction'!B25</f>
        <v>Lu 2026</v>
      </c>
      <c r="C27" s="8" t="str">
        <f>'[1]Data extraction'!C25</f>
        <v>Palmitoylation-related gene signature (PRGS, 7 genes: DCBLD2, CXCL5, ASPH, LAMC2, KRT6A, TOP2A, NPNT); upstream regulators: zDHHC family (palmitoyltransferases)</v>
      </c>
      <c r="D27" s="8" t="str">
        <f>'[1]Data extraction'!D25</f>
        <v>Multi-gene signature</v>
      </c>
      <c r="E27" s="8" t="str">
        <f>'[1]Data extraction'!E25</f>
        <v>Transcriptomics + single-cell RNA-seq + mutational profiling + immune deconvolution + pathway analysis</v>
      </c>
      <c r="F27" s="8" t="str">
        <f>'[1]Data extraction'!F25</f>
        <v>(multi-cohort integration across GEO and TCGA datasets)</v>
      </c>
      <c r="G27" s="8" t="str">
        <f>'[1]Data extraction'!H25</f>
        <v>Signature / risk model</v>
      </c>
      <c r="H27" s="8" t="str">
        <f>'[1]Data extraction'!I25</f>
        <v>yes (LASSO model inherently adjusts for gene interactions; specific clinical covariates not clearly reported)</v>
      </c>
      <c r="I27" s="8" t="str">
        <f>'[1]Data extraction'!J25</f>
        <v>Yes (external validation across multiple GEO/TCGA cohorts); Multiple independent GEO cohorts and TCGA-PAAD; validation a</v>
      </c>
      <c r="J27" s="9" t="str">
        <f t="shared" si="0"/>
        <v>High</v>
      </c>
      <c r="K27" s="9" t="str">
        <f t="shared" si="1"/>
        <v>High</v>
      </c>
      <c r="L27" s="9" t="str">
        <f>IF(SUMPRODUCT(--ISNUMBER(SEARCH({"proteom","protein","IHC","qPCR","qRT-PCR","experimental","in vitro","RT-PCR","spatial"},$E27&amp;"|"&amp;$I27)))&gt;0,"Low","Moderate")</f>
        <v>Moderate</v>
      </c>
      <c r="M27" s="9" t="str">
        <f>IF(SUMPRODUCT(--ISNUMBER(SEARCH({"OS","CSS","PFS","DFS","DSS","survival","recurrence"},'[1]Data extraction'!$K25&amp;"|")))&gt;0,"Low","Moderate")</f>
        <v>Low</v>
      </c>
      <c r="N27" s="9" t="str">
        <f>IF(SUMPRODUCT(--ISNUMBER(SEARCH({"clinical covariates","includes stage"},$H27&amp;"|")))&gt;0,"Low",IF(TRIM(LOWER($H27))="no","High","Moderate"))</f>
        <v>Low</v>
      </c>
      <c r="O27" s="9" t="str">
        <f t="shared" si="2"/>
        <v>Low</v>
      </c>
      <c r="P27" s="10" t="str">
        <f t="shared" si="3"/>
        <v>High</v>
      </c>
      <c r="Q27" s="9" t="str">
        <f t="shared" si="4"/>
        <v>Yes</v>
      </c>
      <c r="R27" s="9" t="str">
        <f t="shared" si="5"/>
        <v>High</v>
      </c>
      <c r="S27" s="9" t="str">
        <f t="shared" si="6"/>
        <v>Unclear</v>
      </c>
      <c r="T27" s="9" t="str">
        <f t="shared" si="7"/>
        <v>Low</v>
      </c>
      <c r="U27" s="9" t="str">
        <f t="shared" si="8"/>
        <v>High</v>
      </c>
      <c r="V27" s="10" t="str">
        <f t="shared" si="9"/>
        <v>High</v>
      </c>
      <c r="W27" s="9" t="str">
        <f>IF(SUMPRODUCT(--ISNUMBER(SEARCH({"IHC","proteom","qPCR","RT-PCR","serum","circulating","Histopathology"},$E27&amp;"|")))&gt;0,"Low concern (assay clinically deployable)","High concern (research-grade multi-omics)")</f>
        <v>High concern (research-grade multi-omics)</v>
      </c>
      <c r="X27" s="9" t="str">
        <f t="shared" si="10"/>
        <v>Participation, Attrition, PROBAST analysis</v>
      </c>
      <c r="Y27" s="11" t="str">
        <f t="shared" si="11"/>
        <v/>
      </c>
      <c r="Z27" s="11" t="str">
        <f>IF(SUMPRODUCT(--ISNUMBER(SEARCH({"no external","no ext"},$I27&amp;"|")))&gt;0,IF(ISNUMBER(SEARCH("partial",$I27)),"Internal/partial","None"),IF(TRIM(LOWER($I27))="no","None",IF(ISNUMBER(SEARCH("partial",$I27)),"Internal/partial",IF(SUMPRODUCT(--ISNUMBER(SEARCH({"external","GEO","GSE","ICGC","CPTAC","multi-cohort","multi-level","multicenter","trial","TCGA","clinical cohort"},$I27&amp;"|")))&gt;0,"External",IF(SUMPRODUCT(--ISNUMBER(SEARCH({"internal","limited","only"},$I27&amp;"|")))&gt;0,"Internal/partial","Unclear")))))</f>
        <v>External</v>
      </c>
      <c r="AA27" s="11">
        <f>IF(SUMPRODUCT(--ISNUMBER(SEARCH({"risk score","model","nomogram","signature","clustering","classifier","classification","LASSO","RSF"},$G27&amp;"|")))&gt;0,1,0)</f>
        <v>1</v>
      </c>
      <c r="AB27" s="11" t="str">
        <f t="shared" si="12"/>
        <v>(multi-cohort integration across GEO and TCGA datasets)</v>
      </c>
      <c r="AC27" s="11" t="str">
        <f>IF(ISNUMBER(SEARCH("liquid biopsy",$D27)),"Liquid-biopsy markers",IF(SUMPRODUCT(--ISNUMBER(SEARCH({"multi-gene","multi-protein"},$D27&amp;"|")))&gt;0,"Multi-gene / multi-protein signatures",IF(SUMPRODUCT(--ISNUMBER(SEARCH({"single gene","single-gene","single protein","single biomarker"},$D27&amp;"|")))&gt;0,"Single-gene / single-protein markers",IF(LOWER(TRIM($D27))="protein","Single-gene / single-protein markers","Pathway, epigenetic, multi-modal &amp; histopathologic markers"))))</f>
        <v>Multi-gene / multi-protein signatures</v>
      </c>
    </row>
    <row r="28" spans="1:29" ht="96.6" x14ac:dyDescent="0.3">
      <c r="A28" s="7">
        <f>'[1]Data extraction'!A26</f>
        <v>25</v>
      </c>
      <c r="B28" s="7" t="str">
        <f>'[1]Data extraction'!B26</f>
        <v>Kuang 2026</v>
      </c>
      <c r="C28" s="8" t="str">
        <f>'[1]Data extraction'!C26</f>
        <v>7-gene SASP prognostic signature: ANGPTL4, DKK1, EREG, IGFBP3, IL18, MMP13, PLAU; plus SASP molecular subtypes</v>
      </c>
      <c r="D28" s="8" t="str">
        <f>'[1]Data extraction'!D26</f>
        <v>Multi-gene signature</v>
      </c>
      <c r="E28" s="8" t="str">
        <f>'[1]Data extraction'!E26</f>
        <v>Bulk transcriptomics, CNV, scRNA-seq, immunoinformatics, mutation profiling, functional assays</v>
      </c>
      <c r="F28" s="8" t="str">
        <f>'[1]Data extraction'!F26</f>
        <v>269 in merged TCGA-ICGC cohort</v>
      </c>
      <c r="G28" s="8" t="str">
        <f>'[1]Data extraction'!H26</f>
        <v>Signature / risk model</v>
      </c>
      <c r="H28" s="8" t="str">
        <f>'[1]Data extraction'!I26</f>
        <v>yes (Age, sex, pathological grade, TNM stage, and SASP cluster were assessed; exact final adjustment set beyond reported clin)</v>
      </c>
      <c r="I28" s="8" t="str">
        <f>'[1]Data extraction'!J26</f>
        <v>yes; Internal training/test split from merged TCGA-ICGC cohort; b</v>
      </c>
      <c r="J28" s="9" t="str">
        <f t="shared" si="0"/>
        <v>Moderate</v>
      </c>
      <c r="K28" s="9" t="str">
        <f t="shared" si="1"/>
        <v>Low</v>
      </c>
      <c r="L28" s="9" t="str">
        <f>IF(SUMPRODUCT(--ISNUMBER(SEARCH({"proteom","protein","IHC","qPCR","qRT-PCR","experimental","in vitro","RT-PCR","spatial"},$E28&amp;"|"&amp;$I28)))&gt;0,"Low","Moderate")</f>
        <v>Moderate</v>
      </c>
      <c r="M28" s="9" t="str">
        <f>IF(SUMPRODUCT(--ISNUMBER(SEARCH({"OS","CSS","PFS","DFS","DSS","survival","recurrence"},'[1]Data extraction'!$K26&amp;"|")))&gt;0,"Low","Moderate")</f>
        <v>Low</v>
      </c>
      <c r="N28" s="9" t="str">
        <f>IF(SUMPRODUCT(--ISNUMBER(SEARCH({"clinical covariates","includes stage"},$H28&amp;"|")))&gt;0,"Low",IF(TRIM(LOWER($H28))="no","High","Moderate"))</f>
        <v>Moderate</v>
      </c>
      <c r="O28" s="9" t="str">
        <f t="shared" si="2"/>
        <v>Low</v>
      </c>
      <c r="P28" s="10" t="str">
        <f t="shared" si="3"/>
        <v>Moderate</v>
      </c>
      <c r="Q28" s="9" t="str">
        <f t="shared" si="4"/>
        <v>Yes</v>
      </c>
      <c r="R28" s="9" t="str">
        <f t="shared" si="5"/>
        <v>Unclear</v>
      </c>
      <c r="S28" s="9" t="str">
        <f t="shared" si="6"/>
        <v>Unclear</v>
      </c>
      <c r="T28" s="9" t="str">
        <f t="shared" si="7"/>
        <v>Low</v>
      </c>
      <c r="U28" s="9" t="str">
        <f t="shared" si="8"/>
        <v>Unclear</v>
      </c>
      <c r="V28" s="10" t="str">
        <f t="shared" si="9"/>
        <v>Unclear</v>
      </c>
      <c r="W28" s="9" t="str">
        <f>IF(SUMPRODUCT(--ISNUMBER(SEARCH({"IHC","proteom","qPCR","RT-PCR","serum","circulating","Histopathology"},$E28&amp;"|")))&gt;0,"Low concern (assay clinically deployable)","High concern (research-grade multi-omics)")</f>
        <v>High concern (research-grade multi-omics)</v>
      </c>
      <c r="X28" s="9" t="str">
        <f t="shared" si="10"/>
        <v/>
      </c>
      <c r="Y28" s="11">
        <f t="shared" si="11"/>
        <v>269</v>
      </c>
      <c r="Z28" s="11" t="str">
        <f>IF(SUMPRODUCT(--ISNUMBER(SEARCH({"no external","no ext"},$I28&amp;"|")))&gt;0,IF(ISNUMBER(SEARCH("partial",$I28)),"Internal/partial","None"),IF(TRIM(LOWER($I28))="no","None",IF(ISNUMBER(SEARCH("partial",$I28)),"Internal/partial",IF(SUMPRODUCT(--ISNUMBER(SEARCH({"external","GEO","GSE","ICGC","CPTAC","multi-cohort","multi-level","multicenter","trial","TCGA","clinical cohort"},$I28&amp;"|")))&gt;0,"External",IF(SUMPRODUCT(--ISNUMBER(SEARCH({"internal","limited","only"},$I28&amp;"|")))&gt;0,"Internal/partial","Unclear")))))</f>
        <v>External</v>
      </c>
      <c r="AA28" s="11">
        <f>IF(SUMPRODUCT(--ISNUMBER(SEARCH({"risk score","model","nomogram","signature","clustering","classifier","classification","LASSO","RSF"},$G28&amp;"|")))&gt;0,1,0)</f>
        <v>1</v>
      </c>
      <c r="AB28" s="11" t="str">
        <f t="shared" si="12"/>
        <v>269 in merged TCGA-ICGC cohort</v>
      </c>
      <c r="AC28" s="11" t="str">
        <f>IF(ISNUMBER(SEARCH("liquid biopsy",$D28)),"Liquid-biopsy markers",IF(SUMPRODUCT(--ISNUMBER(SEARCH({"multi-gene","multi-protein"},$D28&amp;"|")))&gt;0,"Multi-gene / multi-protein signatures",IF(SUMPRODUCT(--ISNUMBER(SEARCH({"single gene","single-gene","single protein","single biomarker"},$D28&amp;"|")))&gt;0,"Single-gene / single-protein markers",IF(LOWER(TRIM($D28))="protein","Single-gene / single-protein markers","Pathway, epigenetic, multi-modal &amp; histopathologic markers"))))</f>
        <v>Multi-gene / multi-protein signatures</v>
      </c>
    </row>
    <row r="29" spans="1:29" ht="82.8" x14ac:dyDescent="0.3">
      <c r="A29" s="7">
        <f>'[1]Data extraction'!A27</f>
        <v>26</v>
      </c>
      <c r="B29" s="7" t="str">
        <f>'[1]Data extraction'!B27</f>
        <v>Jin 2026</v>
      </c>
      <c r="C29" s="8" t="str">
        <f>'[1]Data extraction'!C27</f>
        <v>SEMA3 family genes; 9-gene prognostic signature derived from SEMA3-related DEGs; key driver SEMA3C</v>
      </c>
      <c r="D29" s="8" t="str">
        <f>'[1]Data extraction'!D27</f>
        <v>Multi-gene signature</v>
      </c>
      <c r="E29" s="8" t="str">
        <f>'[1]Data extraction'!E27</f>
        <v>Bulk transcriptomics + single-cell RNA-seq + spatial transcriptomics + mutation data</v>
      </c>
      <c r="F29" s="8">
        <f>'[1]Data extraction'!F27</f>
        <v>441</v>
      </c>
      <c r="G29" s="8" t="str">
        <f>'[1]Data extraction'!H27</f>
        <v>Signature / risk model</v>
      </c>
      <c r="H29" s="8" t="str">
        <f>'[1]Data extraction'!I27</f>
        <v>yes (Clinicopathologic characteristics included in nomogram (specific covariates not explicitly detailed))</v>
      </c>
      <c r="I29" s="8" t="str">
        <f>'[1]Data extraction'!J27</f>
        <v>yes; External validation cohort GSE183795 (n=134)</v>
      </c>
      <c r="J29" s="9" t="str">
        <f t="shared" si="0"/>
        <v>Moderate</v>
      </c>
      <c r="K29" s="9" t="str">
        <f t="shared" si="1"/>
        <v>Low</v>
      </c>
      <c r="L29" s="9" t="str">
        <f>IF(SUMPRODUCT(--ISNUMBER(SEARCH({"proteom","protein","IHC","qPCR","qRT-PCR","experimental","in vitro","RT-PCR","spatial"},$E29&amp;"|"&amp;$I29)))&gt;0,"Low","Moderate")</f>
        <v>Low</v>
      </c>
      <c r="M29" s="9" t="str">
        <f>IF(SUMPRODUCT(--ISNUMBER(SEARCH({"OS","CSS","PFS","DFS","DSS","survival","recurrence"},'[1]Data extraction'!$K27&amp;"|")))&gt;0,"Low","Moderate")</f>
        <v>Low</v>
      </c>
      <c r="N29" s="9" t="str">
        <f>IF(SUMPRODUCT(--ISNUMBER(SEARCH({"clinical covariates","includes stage"},$H29&amp;"|")))&gt;0,"Low",IF(TRIM(LOWER($H29))="no","High","Moderate"))</f>
        <v>Moderate</v>
      </c>
      <c r="O29" s="9" t="str">
        <f t="shared" si="2"/>
        <v>Low</v>
      </c>
      <c r="P29" s="10" t="str">
        <f t="shared" si="3"/>
        <v>Moderate</v>
      </c>
      <c r="Q29" s="9" t="str">
        <f t="shared" si="4"/>
        <v>Yes</v>
      </c>
      <c r="R29" s="9" t="str">
        <f t="shared" si="5"/>
        <v>Unclear</v>
      </c>
      <c r="S29" s="9" t="str">
        <f t="shared" si="6"/>
        <v>Low</v>
      </c>
      <c r="T29" s="9" t="str">
        <f t="shared" si="7"/>
        <v>Low</v>
      </c>
      <c r="U29" s="9" t="str">
        <f t="shared" si="8"/>
        <v>Unclear</v>
      </c>
      <c r="V29" s="10" t="str">
        <f t="shared" si="9"/>
        <v>Unclear</v>
      </c>
      <c r="W29" s="9" t="str">
        <f>IF(SUMPRODUCT(--ISNUMBER(SEARCH({"IHC","proteom","qPCR","RT-PCR","serum","circulating","Histopathology"},$E29&amp;"|")))&gt;0,"Low concern (assay clinically deployable)","High concern (research-grade multi-omics)")</f>
        <v>High concern (research-grade multi-omics)</v>
      </c>
      <c r="X29" s="9" t="str">
        <f t="shared" si="10"/>
        <v/>
      </c>
      <c r="Y29" s="11">
        <f t="shared" si="11"/>
        <v>441</v>
      </c>
      <c r="Z29" s="11" t="str">
        <f>IF(SUMPRODUCT(--ISNUMBER(SEARCH({"no external","no ext"},$I29&amp;"|")))&gt;0,IF(ISNUMBER(SEARCH("partial",$I29)),"Internal/partial","None"),IF(TRIM(LOWER($I29))="no","None",IF(ISNUMBER(SEARCH("partial",$I29)),"Internal/partial",IF(SUMPRODUCT(--ISNUMBER(SEARCH({"external","GEO","GSE","ICGC","CPTAC","multi-cohort","multi-level","multicenter","trial","TCGA","clinical cohort"},$I29&amp;"|")))&gt;0,"External",IF(SUMPRODUCT(--ISNUMBER(SEARCH({"internal","limited","only"},$I29&amp;"|")))&gt;0,"Internal/partial","Unclear")))))</f>
        <v>External</v>
      </c>
      <c r="AA29" s="11">
        <f>IF(SUMPRODUCT(--ISNUMBER(SEARCH({"risk score","model","nomogram","signature","clustering","classifier","classification","LASSO","RSF"},$G29&amp;"|")))&gt;0,1,0)</f>
        <v>1</v>
      </c>
      <c r="AB29" s="11" t="str">
        <f t="shared" si="12"/>
        <v>441</v>
      </c>
      <c r="AC29" s="11" t="str">
        <f>IF(ISNUMBER(SEARCH("liquid biopsy",$D29)),"Liquid-biopsy markers",IF(SUMPRODUCT(--ISNUMBER(SEARCH({"multi-gene","multi-protein"},$D29&amp;"|")))&gt;0,"Multi-gene / multi-protein signatures",IF(SUMPRODUCT(--ISNUMBER(SEARCH({"single gene","single-gene","single protein","single biomarker"},$D29&amp;"|")))&gt;0,"Single-gene / single-protein markers",IF(LOWER(TRIM($D29))="protein","Single-gene / single-protein markers","Pathway, epigenetic, multi-modal &amp; histopathologic markers"))))</f>
        <v>Multi-gene / multi-protein signatures</v>
      </c>
    </row>
    <row r="30" spans="1:29" ht="55.2" x14ac:dyDescent="0.3">
      <c r="A30" s="7">
        <f>'[1]Data extraction'!A28</f>
        <v>27</v>
      </c>
      <c r="B30" s="7" t="str">
        <f>'[1]Data extraction'!B28</f>
        <v>Cai 2026</v>
      </c>
      <c r="C30" s="8" t="str">
        <f>'[1]Data extraction'!C28</f>
        <v>Six-gene mitophagy-related signature (PAPPA, NBPF12, CXCL11, CKLF-CMTM1, CCDC6, AHNAK)</v>
      </c>
      <c r="D30" s="8" t="str">
        <f>'[1]Data extraction'!D28</f>
        <v>Multi-gene signature</v>
      </c>
      <c r="E30" s="8" t="str">
        <f>'[1]Data extraction'!E28</f>
        <v>Transcriptomics</v>
      </c>
      <c r="F30" s="8" t="str">
        <f>'[1]Data extraction'!F28</f>
        <v>177 TCGA PDAC used for model development</v>
      </c>
      <c r="G30" s="8" t="str">
        <f>'[1]Data extraction'!H28</f>
        <v>Signature / risk model</v>
      </c>
      <c r="H30" s="8" t="str">
        <f>'[1]Data extraction'!I28</f>
        <v>yes (Age, tumor grade, T stage, N stage)</v>
      </c>
      <c r="I30" s="8" t="str">
        <f>'[1]Data extraction'!J28</f>
        <v>Yes; External GEO cohorts (GSE21501, GSE71729)</v>
      </c>
      <c r="J30" s="9" t="str">
        <f t="shared" si="0"/>
        <v>Moderate</v>
      </c>
      <c r="K30" s="9" t="str">
        <f t="shared" si="1"/>
        <v>Low</v>
      </c>
      <c r="L30" s="9" t="str">
        <f>IF(SUMPRODUCT(--ISNUMBER(SEARCH({"proteom","protein","IHC","qPCR","qRT-PCR","experimental","in vitro","RT-PCR","spatial"},$E30&amp;"|"&amp;$I30)))&gt;0,"Low","Moderate")</f>
        <v>Moderate</v>
      </c>
      <c r="M30" s="9" t="str">
        <f>IF(SUMPRODUCT(--ISNUMBER(SEARCH({"OS","CSS","PFS","DFS","DSS","survival","recurrence"},'[1]Data extraction'!$K28&amp;"|")))&gt;0,"Low","Moderate")</f>
        <v>Low</v>
      </c>
      <c r="N30" s="9" t="str">
        <f>IF(SUMPRODUCT(--ISNUMBER(SEARCH({"clinical covariates","includes stage"},$H30&amp;"|")))&gt;0,"Low",IF(TRIM(LOWER($H30))="no","High","Moderate"))</f>
        <v>Moderate</v>
      </c>
      <c r="O30" s="9" t="str">
        <f t="shared" si="2"/>
        <v>Low</v>
      </c>
      <c r="P30" s="10" t="str">
        <f t="shared" si="3"/>
        <v>Moderate</v>
      </c>
      <c r="Q30" s="9" t="str">
        <f t="shared" si="4"/>
        <v>Yes</v>
      </c>
      <c r="R30" s="9" t="str">
        <f t="shared" si="5"/>
        <v>Unclear</v>
      </c>
      <c r="S30" s="9" t="str">
        <f t="shared" si="6"/>
        <v>Unclear</v>
      </c>
      <c r="T30" s="9" t="str">
        <f t="shared" si="7"/>
        <v>Low</v>
      </c>
      <c r="U30" s="9" t="str">
        <f t="shared" si="8"/>
        <v>Unclear</v>
      </c>
      <c r="V30" s="10" t="str">
        <f t="shared" si="9"/>
        <v>Unclear</v>
      </c>
      <c r="W30" s="9" t="str">
        <f>IF(SUMPRODUCT(--ISNUMBER(SEARCH({"IHC","proteom","qPCR","RT-PCR","serum","circulating","Histopathology"},$E30&amp;"|")))&gt;0,"Low concern (assay clinically deployable)","High concern (research-grade multi-omics)")</f>
        <v>High concern (research-grade multi-omics)</v>
      </c>
      <c r="X30" s="9" t="str">
        <f t="shared" si="10"/>
        <v/>
      </c>
      <c r="Y30" s="11">
        <f t="shared" si="11"/>
        <v>177</v>
      </c>
      <c r="Z30" s="11" t="str">
        <f>IF(SUMPRODUCT(--ISNUMBER(SEARCH({"no external","no ext"},$I30&amp;"|")))&gt;0,IF(ISNUMBER(SEARCH("partial",$I30)),"Internal/partial","None"),IF(TRIM(LOWER($I30))="no","None",IF(ISNUMBER(SEARCH("partial",$I30)),"Internal/partial",IF(SUMPRODUCT(--ISNUMBER(SEARCH({"external","GEO","GSE","ICGC","CPTAC","multi-cohort","multi-level","multicenter","trial","TCGA","clinical cohort"},$I30&amp;"|")))&gt;0,"External",IF(SUMPRODUCT(--ISNUMBER(SEARCH({"internal","limited","only"},$I30&amp;"|")))&gt;0,"Internal/partial","Unclear")))))</f>
        <v>External</v>
      </c>
      <c r="AA30" s="11">
        <f>IF(SUMPRODUCT(--ISNUMBER(SEARCH({"risk score","model","nomogram","signature","clustering","classifier","classification","LASSO","RSF"},$G30&amp;"|")))&gt;0,1,0)</f>
        <v>1</v>
      </c>
      <c r="AB30" s="11" t="str">
        <f t="shared" si="12"/>
        <v>177 TCGA PDAC used for model development</v>
      </c>
      <c r="AC30" s="11" t="str">
        <f>IF(ISNUMBER(SEARCH("liquid biopsy",$D30)),"Liquid-biopsy markers",IF(SUMPRODUCT(--ISNUMBER(SEARCH({"multi-gene","multi-protein"},$D30&amp;"|")))&gt;0,"Multi-gene / multi-protein signatures",IF(SUMPRODUCT(--ISNUMBER(SEARCH({"single gene","single-gene","single protein","single biomarker"},$D30&amp;"|")))&gt;0,"Single-gene / single-protein markers",IF(LOWER(TRIM($D30))="protein","Single-gene / single-protein markers","Pathway, epigenetic, multi-modal &amp; histopathologic markers"))))</f>
        <v>Multi-gene / multi-protein signatures</v>
      </c>
    </row>
    <row r="31" spans="1:29" ht="69" x14ac:dyDescent="0.3">
      <c r="A31" s="7">
        <f>'[1]Data extraction'!A29</f>
        <v>28</v>
      </c>
      <c r="B31" s="7" t="str">
        <f>'[1]Data extraction'!B29</f>
        <v>Zhu 2025</v>
      </c>
      <c r="C31" s="8" t="str">
        <f>'[1]Data extraction'!C29</f>
        <v>Six ICD-associated lncRNA prognostic signature: ZEB2-AS1, AC099792.1, LINC01091, LINC02613, AC005304.3, LINC00705</v>
      </c>
      <c r="D31" s="8" t="str">
        <f>'[1]Data extraction'!D29</f>
        <v>Multi-gene signature</v>
      </c>
      <c r="E31" s="8" t="str">
        <f>'[1]Data extraction'!E29</f>
        <v>Transcriptomics (lncRNA-focused) + functional cell assays</v>
      </c>
      <c r="F31" s="8" t="str">
        <f>'[1]Data extraction'!F29</f>
        <v>178 PAAD cases with survival data (89 training, 89 testing)</v>
      </c>
      <c r="G31" s="8" t="str">
        <f>'[1]Data extraction'!H29</f>
        <v>Signature / risk model</v>
      </c>
      <c r="H31" s="8" t="str">
        <f>'[1]Data extraction'!I29</f>
        <v>yes (Age, gender, stage, T stage, N stage)</v>
      </c>
      <c r="I31" s="8" t="str">
        <f>'[1]Data extraction'!J29</f>
        <v>yes; Internal split-sample validation (training set n=89; test se</v>
      </c>
      <c r="J31" s="9" t="str">
        <f t="shared" si="0"/>
        <v>Moderate</v>
      </c>
      <c r="K31" s="9" t="str">
        <f t="shared" si="1"/>
        <v>Low</v>
      </c>
      <c r="L31" s="9" t="str">
        <f>IF(SUMPRODUCT(--ISNUMBER(SEARCH({"proteom","protein","IHC","qPCR","qRT-PCR","experimental","in vitro","RT-PCR","spatial"},$E31&amp;"|"&amp;$I31)))&gt;0,"Low","Moderate")</f>
        <v>Moderate</v>
      </c>
      <c r="M31" s="9" t="str">
        <f>IF(SUMPRODUCT(--ISNUMBER(SEARCH({"OS","CSS","PFS","DFS","DSS","survival","recurrence"},'[1]Data extraction'!$K29&amp;"|")))&gt;0,"Low","Moderate")</f>
        <v>Low</v>
      </c>
      <c r="N31" s="9" t="str">
        <f>IF(SUMPRODUCT(--ISNUMBER(SEARCH({"clinical covariates","includes stage"},$H31&amp;"|")))&gt;0,"Low",IF(TRIM(LOWER($H31))="no","High","Moderate"))</f>
        <v>Moderate</v>
      </c>
      <c r="O31" s="9" t="str">
        <f t="shared" si="2"/>
        <v>Moderate</v>
      </c>
      <c r="P31" s="10" t="str">
        <f t="shared" si="3"/>
        <v>Moderate</v>
      </c>
      <c r="Q31" s="9" t="str">
        <f t="shared" si="4"/>
        <v>Yes</v>
      </c>
      <c r="R31" s="9" t="str">
        <f t="shared" si="5"/>
        <v>Unclear</v>
      </c>
      <c r="S31" s="9" t="str">
        <f t="shared" si="6"/>
        <v>Unclear</v>
      </c>
      <c r="T31" s="9" t="str">
        <f t="shared" si="7"/>
        <v>Low</v>
      </c>
      <c r="U31" s="9" t="str">
        <f t="shared" si="8"/>
        <v>High</v>
      </c>
      <c r="V31" s="10" t="str">
        <f t="shared" si="9"/>
        <v>High</v>
      </c>
      <c r="W31" s="9" t="str">
        <f>IF(SUMPRODUCT(--ISNUMBER(SEARCH({"IHC","proteom","qPCR","RT-PCR","serum","circulating","Histopathology"},$E31&amp;"|")))&gt;0,"Low concern (assay clinically deployable)","High concern (research-grade multi-omics)")</f>
        <v>High concern (research-grade multi-omics)</v>
      </c>
      <c r="X31" s="9" t="str">
        <f t="shared" si="10"/>
        <v>PROBAST analysis</v>
      </c>
      <c r="Y31" s="11">
        <f t="shared" si="11"/>
        <v>178</v>
      </c>
      <c r="Z31" s="11" t="str">
        <f>IF(SUMPRODUCT(--ISNUMBER(SEARCH({"no external","no ext"},$I31&amp;"|")))&gt;0,IF(ISNUMBER(SEARCH("partial",$I31)),"Internal/partial","None"),IF(TRIM(LOWER($I31))="no","None",IF(ISNUMBER(SEARCH("partial",$I31)),"Internal/partial",IF(SUMPRODUCT(--ISNUMBER(SEARCH({"external","GEO","GSE","ICGC","CPTAC","multi-cohort","multi-level","multicenter","trial","TCGA","clinical cohort"},$I31&amp;"|")))&gt;0,"External",IF(SUMPRODUCT(--ISNUMBER(SEARCH({"internal","limited","only"},$I31&amp;"|")))&gt;0,"Internal/partial","Unclear")))))</f>
        <v>Internal/partial</v>
      </c>
      <c r="AA31" s="11">
        <f>IF(SUMPRODUCT(--ISNUMBER(SEARCH({"risk score","model","nomogram","signature","clustering","classifier","classification","LASSO","RSF"},$G31&amp;"|")))&gt;0,1,0)</f>
        <v>1</v>
      </c>
      <c r="AB31" s="11" t="str">
        <f t="shared" si="12"/>
        <v>178 PAAD cases with survival data (89 training, 89 testing)</v>
      </c>
      <c r="AC31" s="11" t="str">
        <f>IF(ISNUMBER(SEARCH("liquid biopsy",$D31)),"Liquid-biopsy markers",IF(SUMPRODUCT(--ISNUMBER(SEARCH({"multi-gene","multi-protein"},$D31&amp;"|")))&gt;0,"Multi-gene / multi-protein signatures",IF(SUMPRODUCT(--ISNUMBER(SEARCH({"single gene","single-gene","single protein","single biomarker"},$D31&amp;"|")))&gt;0,"Single-gene / single-protein markers",IF(LOWER(TRIM($D31))="protein","Single-gene / single-protein markers","Pathway, epigenetic, multi-modal &amp; histopathologic markers"))))</f>
        <v>Multi-gene / multi-protein signatures</v>
      </c>
    </row>
    <row r="32" spans="1:29" ht="55.2" x14ac:dyDescent="0.3">
      <c r="A32" s="7">
        <f>'[1]Data extraction'!A30</f>
        <v>29</v>
      </c>
      <c r="B32" s="7" t="str">
        <f>'[1]Data extraction'!B30</f>
        <v>Zhao 2025</v>
      </c>
      <c r="C32" s="8" t="str">
        <f>'[1]Data extraction'!C30</f>
        <v>11-gene ITH-related prognostic signature</v>
      </c>
      <c r="D32" s="8" t="str">
        <f>'[1]Data extraction'!D30</f>
        <v>Multi-gene signature</v>
      </c>
      <c r="E32" s="8" t="str">
        <f>'[1]Data extraction'!E30</f>
        <v>Transcriptomics</v>
      </c>
      <c r="F32" s="8" t="str">
        <f>'[1]Data extraction'!F30</f>
        <v>178 TCGA cases for training; 69 GEO cases for external validation</v>
      </c>
      <c r="G32" s="8" t="str">
        <f>'[1]Data extraction'!H30</f>
        <v>Signature / risk model</v>
      </c>
      <c r="H32" s="8" t="str">
        <f>'[1]Data extraction'!I30</f>
        <v>yes (Age, sex, grade, stage, T stage)</v>
      </c>
      <c r="I32" s="8" t="str">
        <f>'[1]Data extraction'!J30</f>
        <v xml:space="preserve">Yes; External validation in GEO bulk cohort GSE62452; biological </v>
      </c>
      <c r="J32" s="9" t="str">
        <f t="shared" si="0"/>
        <v>Moderate</v>
      </c>
      <c r="K32" s="9" t="str">
        <f t="shared" si="1"/>
        <v>Low</v>
      </c>
      <c r="L32" s="9" t="str">
        <f>IF(SUMPRODUCT(--ISNUMBER(SEARCH({"proteom","protein","IHC","qPCR","qRT-PCR","experimental","in vitro","RT-PCR","spatial"},$E32&amp;"|"&amp;$I32)))&gt;0,"Low","Moderate")</f>
        <v>Moderate</v>
      </c>
      <c r="M32" s="9" t="str">
        <f>IF(SUMPRODUCT(--ISNUMBER(SEARCH({"OS","CSS","PFS","DFS","DSS","survival","recurrence"},'[1]Data extraction'!$K30&amp;"|")))&gt;0,"Low","Moderate")</f>
        <v>Low</v>
      </c>
      <c r="N32" s="9" t="str">
        <f>IF(SUMPRODUCT(--ISNUMBER(SEARCH({"clinical covariates","includes stage"},$H32&amp;"|")))&gt;0,"Low",IF(TRIM(LOWER($H32))="no","High","Moderate"))</f>
        <v>Moderate</v>
      </c>
      <c r="O32" s="9" t="str">
        <f t="shared" si="2"/>
        <v>Low</v>
      </c>
      <c r="P32" s="10" t="str">
        <f t="shared" si="3"/>
        <v>Moderate</v>
      </c>
      <c r="Q32" s="9" t="str">
        <f t="shared" si="4"/>
        <v>Yes</v>
      </c>
      <c r="R32" s="9" t="str">
        <f t="shared" si="5"/>
        <v>Unclear</v>
      </c>
      <c r="S32" s="9" t="str">
        <f t="shared" si="6"/>
        <v>Unclear</v>
      </c>
      <c r="T32" s="9" t="str">
        <f t="shared" si="7"/>
        <v>Low</v>
      </c>
      <c r="U32" s="9" t="str">
        <f t="shared" si="8"/>
        <v>Unclear</v>
      </c>
      <c r="V32" s="10" t="str">
        <f t="shared" si="9"/>
        <v>Unclear</v>
      </c>
      <c r="W32" s="9" t="str">
        <f>IF(SUMPRODUCT(--ISNUMBER(SEARCH({"IHC","proteom","qPCR","RT-PCR","serum","circulating","Histopathology"},$E32&amp;"|")))&gt;0,"Low concern (assay clinically deployable)","High concern (research-grade multi-omics)")</f>
        <v>High concern (research-grade multi-omics)</v>
      </c>
      <c r="X32" s="9" t="str">
        <f t="shared" si="10"/>
        <v/>
      </c>
      <c r="Y32" s="11">
        <f t="shared" si="11"/>
        <v>178</v>
      </c>
      <c r="Z32" s="11" t="str">
        <f>IF(SUMPRODUCT(--ISNUMBER(SEARCH({"no external","no ext"},$I32&amp;"|")))&gt;0,IF(ISNUMBER(SEARCH("partial",$I32)),"Internal/partial","None"),IF(TRIM(LOWER($I32))="no","None",IF(ISNUMBER(SEARCH("partial",$I32)),"Internal/partial",IF(SUMPRODUCT(--ISNUMBER(SEARCH({"external","GEO","GSE","ICGC","CPTAC","multi-cohort","multi-level","multicenter","trial","TCGA","clinical cohort"},$I32&amp;"|")))&gt;0,"External",IF(SUMPRODUCT(--ISNUMBER(SEARCH({"internal","limited","only"},$I32&amp;"|")))&gt;0,"Internal/partial","Unclear")))))</f>
        <v>External</v>
      </c>
      <c r="AA32" s="11">
        <f>IF(SUMPRODUCT(--ISNUMBER(SEARCH({"risk score","model","nomogram","signature","clustering","classifier","classification","LASSO","RSF"},$G32&amp;"|")))&gt;0,1,0)</f>
        <v>1</v>
      </c>
      <c r="AB32" s="11" t="str">
        <f t="shared" si="12"/>
        <v>178 TCGA cases for training; 69 GEO cases for external validation</v>
      </c>
      <c r="AC32" s="11" t="str">
        <f>IF(ISNUMBER(SEARCH("liquid biopsy",$D32)),"Liquid-biopsy markers",IF(SUMPRODUCT(--ISNUMBER(SEARCH({"multi-gene","multi-protein"},$D32&amp;"|")))&gt;0,"Multi-gene / multi-protein signatures",IF(SUMPRODUCT(--ISNUMBER(SEARCH({"single gene","single-gene","single protein","single biomarker"},$D32&amp;"|")))&gt;0,"Single-gene / single-protein markers",IF(LOWER(TRIM($D32))="protein","Single-gene / single-protein markers","Pathway, epigenetic, multi-modal &amp; histopathologic markers"))))</f>
        <v>Multi-gene / multi-protein signatures</v>
      </c>
    </row>
    <row r="33" spans="1:29" ht="96.6" x14ac:dyDescent="0.3">
      <c r="A33" s="7">
        <f>'[1]Data extraction'!A31</f>
        <v>30</v>
      </c>
      <c r="B33" s="7" t="str">
        <f>'[1]Data extraction'!B31</f>
        <v>Zhang 2025</v>
      </c>
      <c r="C33" s="8" t="str">
        <f>'[1]Data extraction'!C31</f>
        <v>Ferroptosis-related 3-gene signature (NOTCH2, KRT18, H1-2); key single biomarker: NOTCH2</v>
      </c>
      <c r="D33" s="8" t="str">
        <f>'[1]Data extraction'!D31</f>
        <v>Multi-gene signature</v>
      </c>
      <c r="E33" s="8" t="str">
        <f>'[1]Data extraction'!E31</f>
        <v>Transcriptomics</v>
      </c>
      <c r="F33" s="8" t="str">
        <f>'[1]Data extraction'!F31</f>
        <v>315 for model/prognostic analyses</v>
      </c>
      <c r="G33" s="8" t="str">
        <f>'[1]Data extraction'!H31</f>
        <v>Signature / risk model</v>
      </c>
      <c r="H33" s="8" t="str">
        <f>'[1]Data extraction'!I31</f>
        <v>yes (Age and clinicopathologic variables included in multivariable/nomogram analyses (sex, stage, grade, and related clinical)</v>
      </c>
      <c r="I33" s="8" t="str">
        <f>'[1]Data extraction'!J31</f>
        <v xml:space="preserve">Yes; External validation in GSE28735 and GSE85916 for signature; </v>
      </c>
      <c r="J33" s="9" t="str">
        <f t="shared" si="0"/>
        <v>Moderate</v>
      </c>
      <c r="K33" s="9" t="str">
        <f t="shared" si="1"/>
        <v>Low</v>
      </c>
      <c r="L33" s="9" t="str">
        <f>IF(SUMPRODUCT(--ISNUMBER(SEARCH({"proteom","protein","IHC","qPCR","qRT-PCR","experimental","in vitro","RT-PCR","spatial"},$E33&amp;"|"&amp;$I33)))&gt;0,"Low","Moderate")</f>
        <v>Moderate</v>
      </c>
      <c r="M33" s="9" t="str">
        <f>IF(SUMPRODUCT(--ISNUMBER(SEARCH({"OS","CSS","PFS","DFS","DSS","survival","recurrence"},'[1]Data extraction'!$K31&amp;"|")))&gt;0,"Low","Moderate")</f>
        <v>Low</v>
      </c>
      <c r="N33" s="9" t="str">
        <f>IF(SUMPRODUCT(--ISNUMBER(SEARCH({"clinical covariates","includes stage"},$H33&amp;"|")))&gt;0,"Low",IF(TRIM(LOWER($H33))="no","High","Moderate"))</f>
        <v>Moderate</v>
      </c>
      <c r="O33" s="9" t="str">
        <f t="shared" si="2"/>
        <v>Low</v>
      </c>
      <c r="P33" s="10" t="str">
        <f t="shared" si="3"/>
        <v>Moderate</v>
      </c>
      <c r="Q33" s="9" t="str">
        <f t="shared" si="4"/>
        <v>Yes</v>
      </c>
      <c r="R33" s="9" t="str">
        <f t="shared" si="5"/>
        <v>Unclear</v>
      </c>
      <c r="S33" s="9" t="str">
        <f t="shared" si="6"/>
        <v>Unclear</v>
      </c>
      <c r="T33" s="9" t="str">
        <f t="shared" si="7"/>
        <v>Low</v>
      </c>
      <c r="U33" s="9" t="str">
        <f t="shared" si="8"/>
        <v>Unclear</v>
      </c>
      <c r="V33" s="10" t="str">
        <f t="shared" si="9"/>
        <v>Unclear</v>
      </c>
      <c r="W33" s="9" t="str">
        <f>IF(SUMPRODUCT(--ISNUMBER(SEARCH({"IHC","proteom","qPCR","RT-PCR","serum","circulating","Histopathology"},$E33&amp;"|")))&gt;0,"Low concern (assay clinically deployable)","High concern (research-grade multi-omics)")</f>
        <v>High concern (research-grade multi-omics)</v>
      </c>
      <c r="X33" s="9" t="str">
        <f t="shared" si="10"/>
        <v/>
      </c>
      <c r="Y33" s="11">
        <f t="shared" si="11"/>
        <v>315</v>
      </c>
      <c r="Z33" s="11" t="str">
        <f>IF(SUMPRODUCT(--ISNUMBER(SEARCH({"no external","no ext"},$I33&amp;"|")))&gt;0,IF(ISNUMBER(SEARCH("partial",$I33)),"Internal/partial","None"),IF(TRIM(LOWER($I33))="no","None",IF(ISNUMBER(SEARCH("partial",$I33)),"Internal/partial",IF(SUMPRODUCT(--ISNUMBER(SEARCH({"external","GEO","GSE","ICGC","CPTAC","multi-cohort","multi-level","multicenter","trial","TCGA","clinical cohort"},$I33&amp;"|")))&gt;0,"External",IF(SUMPRODUCT(--ISNUMBER(SEARCH({"internal","limited","only"},$I33&amp;"|")))&gt;0,"Internal/partial","Unclear")))))</f>
        <v>External</v>
      </c>
      <c r="AA33" s="11">
        <f>IF(SUMPRODUCT(--ISNUMBER(SEARCH({"risk score","model","nomogram","signature","clustering","classifier","classification","LASSO","RSF"},$G33&amp;"|")))&gt;0,1,0)</f>
        <v>1</v>
      </c>
      <c r="AB33" s="11" t="str">
        <f t="shared" si="12"/>
        <v>315 for model/prognostic analyses</v>
      </c>
      <c r="AC33" s="11" t="str">
        <f>IF(ISNUMBER(SEARCH("liquid biopsy",$D33)),"Liquid-biopsy markers",IF(SUMPRODUCT(--ISNUMBER(SEARCH({"multi-gene","multi-protein"},$D33&amp;"|")))&gt;0,"Multi-gene / multi-protein signatures",IF(SUMPRODUCT(--ISNUMBER(SEARCH({"single gene","single-gene","single protein","single biomarker"},$D33&amp;"|")))&gt;0,"Single-gene / single-protein markers",IF(LOWER(TRIM($D33))="protein","Single-gene / single-protein markers","Pathway, epigenetic, multi-modal &amp; histopathologic markers"))))</f>
        <v>Multi-gene / multi-protein signatures</v>
      </c>
    </row>
    <row r="34" spans="1:29" ht="124.2" x14ac:dyDescent="0.3">
      <c r="A34" s="7">
        <f>'[1]Data extraction'!A32</f>
        <v>31</v>
      </c>
      <c r="B34" s="7" t="str">
        <f>'[1]Data extraction'!B32</f>
        <v>Zhang 2025</v>
      </c>
      <c r="C34" s="8" t="str">
        <f>'[1]Data extraction'!C32</f>
        <v>16-gene DNA damage and repair-related prognostic risk score model; key experimental gene: LY6D</v>
      </c>
      <c r="D34" s="8" t="str">
        <f>'[1]Data extraction'!D32</f>
        <v>Multi-gene signature</v>
      </c>
      <c r="E34" s="8" t="str">
        <f>'[1]Data extraction'!E32</f>
        <v>Single-cell RNA-seq + bulk RNA-seq</v>
      </c>
      <c r="F34" s="8" t="str">
        <f>'[1]Data extraction'!F32</f>
        <v>scRNA-seq: 30,483 cells after QC; TCGA/GEO survival cohorts analyzed after filtering missing follow-up; exact final combined patient count not clearly stated</v>
      </c>
      <c r="G34" s="8" t="str">
        <f>'[1]Data extraction'!H32</f>
        <v>Signature / risk model</v>
      </c>
      <c r="H34" s="8" t="str">
        <f>'[1]Data extraction'!I32</f>
        <v>yes (Age and stage explicitly mentioned; text says multivariable Cox on clinical characteristics including age and stage)</v>
      </c>
      <c r="I34" s="8" t="str">
        <f>'[1]Data extraction'!J32</f>
        <v xml:space="preserve">yes; Internal training: TCGA-PDAC; external validation: GSE62452 </v>
      </c>
      <c r="J34" s="9" t="str">
        <f t="shared" si="0"/>
        <v>High</v>
      </c>
      <c r="K34" s="9" t="str">
        <f t="shared" si="1"/>
        <v>High</v>
      </c>
      <c r="L34" s="9" t="str">
        <f>IF(SUMPRODUCT(--ISNUMBER(SEARCH({"proteom","protein","IHC","qPCR","qRT-PCR","experimental","in vitro","RT-PCR","spatial"},$E34&amp;"|"&amp;$I34)))&gt;0,"Low","Moderate")</f>
        <v>Moderate</v>
      </c>
      <c r="M34" s="9" t="str">
        <f>IF(SUMPRODUCT(--ISNUMBER(SEARCH({"OS","CSS","PFS","DFS","DSS","survival","recurrence"},'[1]Data extraction'!$K32&amp;"|")))&gt;0,"Low","Moderate")</f>
        <v>Low</v>
      </c>
      <c r="N34" s="9" t="str">
        <f>IF(SUMPRODUCT(--ISNUMBER(SEARCH({"clinical covariates","includes stage"},$H34&amp;"|")))&gt;0,"Low",IF(TRIM(LOWER($H34))="no","High","Moderate"))</f>
        <v>Moderate</v>
      </c>
      <c r="O34" s="9" t="str">
        <f t="shared" si="2"/>
        <v>Low</v>
      </c>
      <c r="P34" s="10" t="str">
        <f t="shared" si="3"/>
        <v>High</v>
      </c>
      <c r="Q34" s="9" t="str">
        <f t="shared" si="4"/>
        <v>Yes</v>
      </c>
      <c r="R34" s="9" t="str">
        <f t="shared" si="5"/>
        <v>High</v>
      </c>
      <c r="S34" s="9" t="str">
        <f t="shared" si="6"/>
        <v>Unclear</v>
      </c>
      <c r="T34" s="9" t="str">
        <f t="shared" si="7"/>
        <v>Low</v>
      </c>
      <c r="U34" s="9" t="str">
        <f t="shared" si="8"/>
        <v>High</v>
      </c>
      <c r="V34" s="10" t="str">
        <f t="shared" si="9"/>
        <v>High</v>
      </c>
      <c r="W34" s="9" t="str">
        <f>IF(SUMPRODUCT(--ISNUMBER(SEARCH({"IHC","proteom","qPCR","RT-PCR","serum","circulating","Histopathology"},$E34&amp;"|")))&gt;0,"Low concern (assay clinically deployable)","High concern (research-grade multi-omics)")</f>
        <v>High concern (research-grade multi-omics)</v>
      </c>
      <c r="X34" s="9" t="str">
        <f t="shared" si="10"/>
        <v>Participation, Attrition, PROBAST analysis</v>
      </c>
      <c r="Y34" s="11" t="str">
        <f t="shared" si="11"/>
        <v/>
      </c>
      <c r="Z34" s="11" t="str">
        <f>IF(SUMPRODUCT(--ISNUMBER(SEARCH({"no external","no ext"},$I34&amp;"|")))&gt;0,IF(ISNUMBER(SEARCH("partial",$I34)),"Internal/partial","None"),IF(TRIM(LOWER($I34))="no","None",IF(ISNUMBER(SEARCH("partial",$I34)),"Internal/partial",IF(SUMPRODUCT(--ISNUMBER(SEARCH({"external","GEO","GSE","ICGC","CPTAC","multi-cohort","multi-level","multicenter","trial","TCGA","clinical cohort"},$I34&amp;"|")))&gt;0,"External",IF(SUMPRODUCT(--ISNUMBER(SEARCH({"internal","limited","only"},$I34&amp;"|")))&gt;0,"Internal/partial","Unclear")))))</f>
        <v>External</v>
      </c>
      <c r="AA34" s="11">
        <f>IF(SUMPRODUCT(--ISNUMBER(SEARCH({"risk score","model","nomogram","signature","clustering","classifier","classification","LASSO","RSF"},$G34&amp;"|")))&gt;0,1,0)</f>
        <v>1</v>
      </c>
      <c r="AB34" s="11" t="str">
        <f t="shared" si="12"/>
        <v>scRNA-seq: 30,483 cells after QC; TCGA/GEO survival cohorts analyzed after filtering missing follow-up; exact final combined patient count not clearly stated</v>
      </c>
      <c r="AC34" s="11" t="str">
        <f>IF(ISNUMBER(SEARCH("liquid biopsy",$D34)),"Liquid-biopsy markers",IF(SUMPRODUCT(--ISNUMBER(SEARCH({"multi-gene","multi-protein"},$D34&amp;"|")))&gt;0,"Multi-gene / multi-protein signatures",IF(SUMPRODUCT(--ISNUMBER(SEARCH({"single gene","single-gene","single protein","single biomarker"},$D34&amp;"|")))&gt;0,"Single-gene / single-protein markers",IF(LOWER(TRIM($D34))="protein","Single-gene / single-protein markers","Pathway, epigenetic, multi-modal &amp; histopathologic markers"))))</f>
        <v>Multi-gene / multi-protein signatures</v>
      </c>
    </row>
    <row r="35" spans="1:29" ht="82.8" x14ac:dyDescent="0.3">
      <c r="A35" s="7">
        <f>'[1]Data extraction'!A33</f>
        <v>32</v>
      </c>
      <c r="B35" s="7" t="str">
        <f>'[1]Data extraction'!B33</f>
        <v>Yu 2025</v>
      </c>
      <c r="C35" s="8" t="str">
        <f>'[1]Data extraction'!C33</f>
        <v>STING signaling pathway-derived 6-gene prognostic signature: DTX4, IFI16, MAVS, PRKDC, ZDHHC1, IFIT2</v>
      </c>
      <c r="D35" s="8" t="str">
        <f>'[1]Data extraction'!D33</f>
        <v>Multi-gene signature</v>
      </c>
      <c r="E35" s="8" t="str">
        <f>'[1]Data extraction'!E33</f>
        <v>Transcriptomics</v>
      </c>
      <c r="F35" s="8" t="str">
        <f>'[1]Data extraction'!F33</f>
        <v>353 after excluding incomplete clinical data</v>
      </c>
      <c r="G35" s="8" t="str">
        <f>'[1]Data extraction'!H33</f>
        <v>Signature / risk model</v>
      </c>
      <c r="H35" s="8" t="str">
        <f>'[1]Data extraction'!I33</f>
        <v>yes (Clinical features and N stage included; exact full covariate list not fully reported in the pasted text for final model)</v>
      </c>
      <c r="I35" s="8" t="str">
        <f>'[1]Data extraction'!J33</f>
        <v>Yes; External validation in GSE224564</v>
      </c>
      <c r="J35" s="9" t="str">
        <f t="shared" si="0"/>
        <v>Moderate</v>
      </c>
      <c r="K35" s="9" t="str">
        <f t="shared" si="1"/>
        <v>Low</v>
      </c>
      <c r="L35" s="9" t="str">
        <f>IF(SUMPRODUCT(--ISNUMBER(SEARCH({"proteom","protein","IHC","qPCR","qRT-PCR","experimental","in vitro","RT-PCR","spatial"},$E35&amp;"|"&amp;$I35)))&gt;0,"Low","Moderate")</f>
        <v>Moderate</v>
      </c>
      <c r="M35" s="9" t="str">
        <f>IF(SUMPRODUCT(--ISNUMBER(SEARCH({"OS","CSS","PFS","DFS","DSS","survival","recurrence"},'[1]Data extraction'!$K33&amp;"|")))&gt;0,"Low","Moderate")</f>
        <v>Low</v>
      </c>
      <c r="N35" s="9" t="str">
        <f>IF(SUMPRODUCT(--ISNUMBER(SEARCH({"clinical covariates","includes stage"},$H35&amp;"|")))&gt;0,"Low",IF(TRIM(LOWER($H35))="no","High","Moderate"))</f>
        <v>Moderate</v>
      </c>
      <c r="O35" s="9" t="str">
        <f t="shared" si="2"/>
        <v>Low</v>
      </c>
      <c r="P35" s="10" t="str">
        <f t="shared" si="3"/>
        <v>Moderate</v>
      </c>
      <c r="Q35" s="9" t="str">
        <f t="shared" si="4"/>
        <v>Yes</v>
      </c>
      <c r="R35" s="9" t="str">
        <f t="shared" si="5"/>
        <v>Unclear</v>
      </c>
      <c r="S35" s="9" t="str">
        <f t="shared" si="6"/>
        <v>Unclear</v>
      </c>
      <c r="T35" s="9" t="str">
        <f t="shared" si="7"/>
        <v>Low</v>
      </c>
      <c r="U35" s="9" t="str">
        <f t="shared" si="8"/>
        <v>Unclear</v>
      </c>
      <c r="V35" s="10" t="str">
        <f t="shared" si="9"/>
        <v>Unclear</v>
      </c>
      <c r="W35" s="9" t="str">
        <f>IF(SUMPRODUCT(--ISNUMBER(SEARCH({"IHC","proteom","qPCR","RT-PCR","serum","circulating","Histopathology"},$E35&amp;"|")))&gt;0,"Low concern (assay clinically deployable)","High concern (research-grade multi-omics)")</f>
        <v>High concern (research-grade multi-omics)</v>
      </c>
      <c r="X35" s="9" t="str">
        <f t="shared" si="10"/>
        <v/>
      </c>
      <c r="Y35" s="11">
        <f t="shared" si="11"/>
        <v>353</v>
      </c>
      <c r="Z35" s="11" t="str">
        <f>IF(SUMPRODUCT(--ISNUMBER(SEARCH({"no external","no ext"},$I35&amp;"|")))&gt;0,IF(ISNUMBER(SEARCH("partial",$I35)),"Internal/partial","None"),IF(TRIM(LOWER($I35))="no","None",IF(ISNUMBER(SEARCH("partial",$I35)),"Internal/partial",IF(SUMPRODUCT(--ISNUMBER(SEARCH({"external","GEO","GSE","ICGC","CPTAC","multi-cohort","multi-level","multicenter","trial","TCGA","clinical cohort"},$I35&amp;"|")))&gt;0,"External",IF(SUMPRODUCT(--ISNUMBER(SEARCH({"internal","limited","only"},$I35&amp;"|")))&gt;0,"Internal/partial","Unclear")))))</f>
        <v>External</v>
      </c>
      <c r="AA35" s="11">
        <f>IF(SUMPRODUCT(--ISNUMBER(SEARCH({"risk score","model","nomogram","signature","clustering","classifier","classification","LASSO","RSF"},$G35&amp;"|")))&gt;0,1,0)</f>
        <v>1</v>
      </c>
      <c r="AB35" s="11" t="str">
        <f t="shared" si="12"/>
        <v>353 after excluding incomplete clinical data</v>
      </c>
      <c r="AC35" s="11" t="str">
        <f>IF(ISNUMBER(SEARCH("liquid biopsy",$D35)),"Liquid-biopsy markers",IF(SUMPRODUCT(--ISNUMBER(SEARCH({"multi-gene","multi-protein"},$D35&amp;"|")))&gt;0,"Multi-gene / multi-protein signatures",IF(SUMPRODUCT(--ISNUMBER(SEARCH({"single gene","single-gene","single protein","single biomarker"},$D35&amp;"|")))&gt;0,"Single-gene / single-protein markers",IF(LOWER(TRIM($D35))="protein","Single-gene / single-protein markers","Pathway, epigenetic, multi-modal &amp; histopathologic markers"))))</f>
        <v>Multi-gene / multi-protein signatures</v>
      </c>
    </row>
    <row r="36" spans="1:29" ht="110.4" x14ac:dyDescent="0.3">
      <c r="A36" s="7">
        <f>'[1]Data extraction'!A34</f>
        <v>33</v>
      </c>
      <c r="B36" s="7" t="str">
        <f>'[1]Data extraction'!B34</f>
        <v>Wang 2025</v>
      </c>
      <c r="C36" s="8" t="str">
        <f>'[1]Data extraction'!C34</f>
        <v>SERPINE1</v>
      </c>
      <c r="D36" s="8" t="str">
        <f>'[1]Data extraction'!D34</f>
        <v>Single gene</v>
      </c>
      <c r="E36" s="8" t="str">
        <f>'[1]Data extraction'!E34</f>
        <v>Bulk transcriptomics; scRNA-seq; methylation; somatic mutation/TMB; immune deconvolution; protein and serum validation</v>
      </c>
      <c r="F36" s="8" t="str">
        <f>'[1]Data extraction'!F34</f>
        <v>TCGA n=123 for main clinical/prognostic analyses; scRNA-seq from 6 PDAC patients; local validation cohorts as above</v>
      </c>
      <c r="G36" s="8" t="str">
        <f>'[1]Data extraction'!H34</f>
        <v>Single biomarker</v>
      </c>
      <c r="H36" s="8" t="str">
        <f>'[1]Data extraction'!I34</f>
        <v>yes (Age and lymph node metastasis explicitly reported with SERPINE1 in final nomogram)</v>
      </c>
      <c r="I36" s="8" t="str">
        <f>'[1]Data extraction'!J34</f>
        <v>yes; External transcriptomic validation in GSE71989, E-MEXP-1121,</v>
      </c>
      <c r="J36" s="9" t="str">
        <f t="shared" si="0"/>
        <v>High</v>
      </c>
      <c r="K36" s="9" t="str">
        <f t="shared" si="1"/>
        <v>High</v>
      </c>
      <c r="L36" s="9" t="str">
        <f>IF(SUMPRODUCT(--ISNUMBER(SEARCH({"proteom","protein","IHC","qPCR","qRT-PCR","experimental","in vitro","RT-PCR","spatial"},$E36&amp;"|"&amp;$I36)))&gt;0,"Low","Moderate")</f>
        <v>Low</v>
      </c>
      <c r="M36" s="9" t="str">
        <f>IF(SUMPRODUCT(--ISNUMBER(SEARCH({"OS","CSS","PFS","DFS","DSS","survival","recurrence"},'[1]Data extraction'!$K34&amp;"|")))&gt;0,"Low","Moderate")</f>
        <v>Low</v>
      </c>
      <c r="N36" s="9" t="str">
        <f>IF(SUMPRODUCT(--ISNUMBER(SEARCH({"clinical covariates","includes stage"},$H36&amp;"|")))&gt;0,"Low",IF(TRIM(LOWER($H36))="no","High","Moderate"))</f>
        <v>Moderate</v>
      </c>
      <c r="O36" s="9" t="str">
        <f t="shared" si="2"/>
        <v>Low</v>
      </c>
      <c r="P36" s="10" t="str">
        <f t="shared" si="3"/>
        <v>High</v>
      </c>
      <c r="Q36" s="9" t="str">
        <f t="shared" si="4"/>
        <v>No (prognostic factor only)</v>
      </c>
      <c r="R36" s="9" t="str">
        <f t="shared" si="5"/>
        <v>n/a</v>
      </c>
      <c r="S36" s="9" t="str">
        <f t="shared" si="6"/>
        <v>n/a</v>
      </c>
      <c r="T36" s="9" t="str">
        <f t="shared" si="7"/>
        <v>n/a</v>
      </c>
      <c r="U36" s="9" t="str">
        <f t="shared" si="8"/>
        <v>n/a</v>
      </c>
      <c r="V36" s="10" t="str">
        <f t="shared" si="9"/>
        <v>n/a</v>
      </c>
      <c r="W36" s="9" t="str">
        <f>IF(SUMPRODUCT(--ISNUMBER(SEARCH({"IHC","proteom","qPCR","RT-PCR","serum","circulating","Histopathology"},$E36&amp;"|")))&gt;0,"Low concern (assay clinically deployable)","High concern (research-grade multi-omics)")</f>
        <v>Low concern (assay clinically deployable)</v>
      </c>
      <c r="X36" s="9" t="str">
        <f t="shared" si="10"/>
        <v>Participation, Attrition</v>
      </c>
      <c r="Y36" s="11" t="str">
        <f t="shared" si="11"/>
        <v/>
      </c>
      <c r="Z36" s="11" t="str">
        <f>IF(SUMPRODUCT(--ISNUMBER(SEARCH({"no external","no ext"},$I36&amp;"|")))&gt;0,IF(ISNUMBER(SEARCH("partial",$I36)),"Internal/partial","None"),IF(TRIM(LOWER($I36))="no","None",IF(ISNUMBER(SEARCH("partial",$I36)),"Internal/partial",IF(SUMPRODUCT(--ISNUMBER(SEARCH({"external","GEO","GSE","ICGC","CPTAC","multi-cohort","multi-level","multicenter","trial","TCGA","clinical cohort"},$I36&amp;"|")))&gt;0,"External",IF(SUMPRODUCT(--ISNUMBER(SEARCH({"internal","limited","only"},$I36&amp;"|")))&gt;0,"Internal/partial","Unclear")))))</f>
        <v>External</v>
      </c>
      <c r="AA36" s="11">
        <f>IF(SUMPRODUCT(--ISNUMBER(SEARCH({"risk score","model","nomogram","signature","clustering","classifier","classification","LASSO","RSF"},$G36&amp;"|")))&gt;0,1,0)</f>
        <v>0</v>
      </c>
      <c r="AB36" s="11" t="str">
        <f t="shared" si="12"/>
        <v>TCGA n=123 for main clinical/prognostic analyses; scRNA-seq from 6 PDAC patients; local validation cohorts as above</v>
      </c>
      <c r="AC36" s="11" t="str">
        <f>IF(ISNUMBER(SEARCH("liquid biopsy",$D36)),"Liquid-biopsy markers",IF(SUMPRODUCT(--ISNUMBER(SEARCH({"multi-gene","multi-protein"},$D36&amp;"|")))&gt;0,"Multi-gene / multi-protein signatures",IF(SUMPRODUCT(--ISNUMBER(SEARCH({"single gene","single-gene","single protein","single biomarker"},$D36&amp;"|")))&gt;0,"Single-gene / single-protein markers",IF(LOWER(TRIM($D36))="protein","Single-gene / single-protein markers","Pathway, epigenetic, multi-modal &amp; histopathologic markers"))))</f>
        <v>Single-gene / single-protein markers</v>
      </c>
    </row>
    <row r="37" spans="1:29" ht="110.4" x14ac:dyDescent="0.3">
      <c r="A37" s="7">
        <f>'[1]Data extraction'!A35</f>
        <v>34</v>
      </c>
      <c r="B37" s="7" t="str">
        <f>'[1]Data extraction'!B35</f>
        <v>Stålberg 2025</v>
      </c>
      <c r="C37" s="8" t="str">
        <f>'[1]Data extraction'!C35</f>
        <v>KRAS protein level, KRAS mRNA expression, KRAS mutation status/subtype</v>
      </c>
      <c r="D37" s="8" t="str">
        <f>'[1]Data extraction'!D35</f>
        <v>Single gene</v>
      </c>
      <c r="E37" s="8" t="str">
        <f>'[1]Data extraction'!E35</f>
        <v>Proteomics, transcriptomics, mutation analysis</v>
      </c>
      <c r="F37" s="8" t="str">
        <f>'[1]Data extraction'!F35</f>
        <v>Proteomics: 41 PDAC; Transcriptomics: 38 PDAC; Survival analyses: 36 PDAC with overlapping protein/mRNA data after exclusions</v>
      </c>
      <c r="G37" s="8" t="str">
        <f>'[1]Data extraction'!H35</f>
        <v>Single biomarker</v>
      </c>
      <c r="H37" s="8" t="str">
        <f>'[1]Data extraction'!I35</f>
        <v>yes (Clinicopathological variables considered included age, sex, blood type, CA19-9, surgery type, tumor size, TNM, different)</v>
      </c>
      <c r="I37" s="8" t="str">
        <f>'[1]Data extraction'!J35</f>
        <v>No external validation; None</v>
      </c>
      <c r="J37" s="9" t="str">
        <f t="shared" si="0"/>
        <v>High</v>
      </c>
      <c r="K37" s="9" t="str">
        <f t="shared" si="1"/>
        <v>High</v>
      </c>
      <c r="L37" s="9" t="str">
        <f>IF(SUMPRODUCT(--ISNUMBER(SEARCH({"proteom","protein","IHC","qPCR","qRT-PCR","experimental","in vitro","RT-PCR","spatial"},$E37&amp;"|"&amp;$I37)))&gt;0,"Low","Moderate")</f>
        <v>Low</v>
      </c>
      <c r="M37" s="9" t="str">
        <f>IF(SUMPRODUCT(--ISNUMBER(SEARCH({"OS","CSS","PFS","DFS","DSS","survival","recurrence"},'[1]Data extraction'!$K35&amp;"|")))&gt;0,"Low","Moderate")</f>
        <v>Low</v>
      </c>
      <c r="N37" s="9" t="str">
        <f>IF(SUMPRODUCT(--ISNUMBER(SEARCH({"clinical covariates","includes stage"},$H37&amp;"|")))&gt;0,"Low",IF(TRIM(LOWER($H37))="no","High","Moderate"))</f>
        <v>Moderate</v>
      </c>
      <c r="O37" s="9" t="str">
        <f t="shared" si="2"/>
        <v>High</v>
      </c>
      <c r="P37" s="10" t="str">
        <f t="shared" si="3"/>
        <v>High</v>
      </c>
      <c r="Q37" s="9" t="str">
        <f t="shared" si="4"/>
        <v>No (prognostic factor only)</v>
      </c>
      <c r="R37" s="9" t="str">
        <f t="shared" si="5"/>
        <v>n/a</v>
      </c>
      <c r="S37" s="9" t="str">
        <f t="shared" si="6"/>
        <v>n/a</v>
      </c>
      <c r="T37" s="9" t="str">
        <f t="shared" si="7"/>
        <v>n/a</v>
      </c>
      <c r="U37" s="9" t="str">
        <f t="shared" si="8"/>
        <v>n/a</v>
      </c>
      <c r="V37" s="10" t="str">
        <f t="shared" si="9"/>
        <v>n/a</v>
      </c>
      <c r="W37" s="9" t="str">
        <f>IF(SUMPRODUCT(--ISNUMBER(SEARCH({"IHC","proteom","qPCR","RT-PCR","serum","circulating","Histopathology"},$E37&amp;"|")))&gt;0,"Low concern (assay clinically deployable)","High concern (research-grade multi-omics)")</f>
        <v>Low concern (assay clinically deployable)</v>
      </c>
      <c r="X37" s="9" t="str">
        <f t="shared" si="10"/>
        <v>Participation, Attrition, Analysis/reporting</v>
      </c>
      <c r="Y37" s="11" t="str">
        <f t="shared" si="11"/>
        <v/>
      </c>
      <c r="Z37" s="11" t="str">
        <f>IF(SUMPRODUCT(--ISNUMBER(SEARCH({"no external","no ext"},$I37&amp;"|")))&gt;0,IF(ISNUMBER(SEARCH("partial",$I37)),"Internal/partial","None"),IF(TRIM(LOWER($I37))="no","None",IF(ISNUMBER(SEARCH("partial",$I37)),"Internal/partial",IF(SUMPRODUCT(--ISNUMBER(SEARCH({"external","GEO","GSE","ICGC","CPTAC","multi-cohort","multi-level","multicenter","trial","TCGA","clinical cohort"},$I37&amp;"|")))&gt;0,"External",IF(SUMPRODUCT(--ISNUMBER(SEARCH({"internal","limited","only"},$I37&amp;"|")))&gt;0,"Internal/partial","Unclear")))))</f>
        <v>None</v>
      </c>
      <c r="AA37" s="11">
        <f>IF(SUMPRODUCT(--ISNUMBER(SEARCH({"risk score","model","nomogram","signature","clustering","classifier","classification","LASSO","RSF"},$G37&amp;"|")))&gt;0,1,0)</f>
        <v>0</v>
      </c>
      <c r="AB37" s="11" t="str">
        <f t="shared" si="12"/>
        <v>Proteomics: 41 PDAC; Transcriptomics: 38 PDAC; Survival analyses: 36 PDAC with overlapping protein/mRNA data after exclusions</v>
      </c>
      <c r="AC37" s="11" t="str">
        <f>IF(ISNUMBER(SEARCH("liquid biopsy",$D37)),"Liquid-biopsy markers",IF(SUMPRODUCT(--ISNUMBER(SEARCH({"multi-gene","multi-protein"},$D37&amp;"|")))&gt;0,"Multi-gene / multi-protein signatures",IF(SUMPRODUCT(--ISNUMBER(SEARCH({"single gene","single-gene","single protein","single biomarker"},$D37&amp;"|")))&gt;0,"Single-gene / single-protein markers",IF(LOWER(TRIM($D37))="protein","Single-gene / single-protein markers","Pathway, epigenetic, multi-modal &amp; histopathologic markers"))))</f>
        <v>Single-gene / single-protein markers</v>
      </c>
    </row>
    <row r="38" spans="1:29" ht="69" x14ac:dyDescent="0.3">
      <c r="A38" s="7">
        <f>'[1]Data extraction'!A36</f>
        <v>35</v>
      </c>
      <c r="B38" s="7" t="str">
        <f>'[1]Data extraction'!B36</f>
        <v>Rezagholizadeh 2025</v>
      </c>
      <c r="C38" s="8" t="str">
        <f>'[1]Data extraction'!C36</f>
        <v>RAD51AP1 (DNA repair–associated protein)</v>
      </c>
      <c r="D38" s="8" t="str">
        <f>'[1]Data extraction'!D36</f>
        <v>Single gene</v>
      </c>
      <c r="E38" s="8" t="str">
        <f>'[1]Data extraction'!E36</f>
        <v>Bulk transcriptomics, LCM-based cell-specific transcriptomics, RT-qPCR, proteomics (IHC)</v>
      </c>
      <c r="F38" s="8" t="str">
        <f>'[1]Data extraction'!F36</f>
        <v>LCM cohort: n=20; IHC cohort: n=353; TCGA: n=177</v>
      </c>
      <c r="G38" s="8" t="str">
        <f>'[1]Data extraction'!H36</f>
        <v>Single biomarker</v>
      </c>
      <c r="H38" s="8" t="str">
        <f>'[1]Data extraction'!I36</f>
        <v>yes (Age, TNM stage, tumor size, metastasis, histological grade)</v>
      </c>
      <c r="I38" s="8" t="str">
        <f>'[1]Data extraction'!J36</f>
        <v>Yes (multi-level validation: in-silico + RT-qPCR + IHC + TCGA); TCGA cohort (n=177), IHC cohort (n=353), LCM cohort (n=20)</v>
      </c>
      <c r="J38" s="9" t="str">
        <f t="shared" si="0"/>
        <v>High</v>
      </c>
      <c r="K38" s="9" t="str">
        <f t="shared" si="1"/>
        <v>High</v>
      </c>
      <c r="L38" s="9" t="str">
        <f>IF(SUMPRODUCT(--ISNUMBER(SEARCH({"proteom","protein","IHC","qPCR","qRT-PCR","experimental","in vitro","RT-PCR","spatial"},$E38&amp;"|"&amp;$I38)))&gt;0,"Low","Moderate")</f>
        <v>Low</v>
      </c>
      <c r="M38" s="9" t="str">
        <f>IF(SUMPRODUCT(--ISNUMBER(SEARCH({"OS","CSS","PFS","DFS","DSS","survival","recurrence"},'[1]Data extraction'!$K36&amp;"|")))&gt;0,"Low","Moderate")</f>
        <v>Moderate</v>
      </c>
      <c r="N38" s="9" t="str">
        <f>IF(SUMPRODUCT(--ISNUMBER(SEARCH({"clinical covariates","includes stage"},$H38&amp;"|")))&gt;0,"Low",IF(TRIM(LOWER($H38))="no","High","Moderate"))</f>
        <v>Moderate</v>
      </c>
      <c r="O38" s="9" t="str">
        <f t="shared" si="2"/>
        <v>Low</v>
      </c>
      <c r="P38" s="10" t="str">
        <f t="shared" si="3"/>
        <v>High</v>
      </c>
      <c r="Q38" s="9" t="str">
        <f t="shared" si="4"/>
        <v>No (prognostic factor only)</v>
      </c>
      <c r="R38" s="9" t="str">
        <f t="shared" si="5"/>
        <v>n/a</v>
      </c>
      <c r="S38" s="9" t="str">
        <f t="shared" si="6"/>
        <v>n/a</v>
      </c>
      <c r="T38" s="9" t="str">
        <f t="shared" si="7"/>
        <v>n/a</v>
      </c>
      <c r="U38" s="9" t="str">
        <f t="shared" si="8"/>
        <v>n/a</v>
      </c>
      <c r="V38" s="10" t="str">
        <f t="shared" si="9"/>
        <v>n/a</v>
      </c>
      <c r="W38" s="9" t="str">
        <f>IF(SUMPRODUCT(--ISNUMBER(SEARCH({"IHC","proteom","qPCR","RT-PCR","serum","circulating","Histopathology"},$E38&amp;"|")))&gt;0,"Low concern (assay clinically deployable)","High concern (research-grade multi-omics)")</f>
        <v>Low concern (assay clinically deployable)</v>
      </c>
      <c r="X38" s="9" t="str">
        <f t="shared" si="10"/>
        <v>Participation, Attrition</v>
      </c>
      <c r="Y38" s="11" t="str">
        <f t="shared" si="11"/>
        <v/>
      </c>
      <c r="Z38" s="11" t="str">
        <f>IF(SUMPRODUCT(--ISNUMBER(SEARCH({"no external","no ext"},$I38&amp;"|")))&gt;0,IF(ISNUMBER(SEARCH("partial",$I38)),"Internal/partial","None"),IF(TRIM(LOWER($I38))="no","None",IF(ISNUMBER(SEARCH("partial",$I38)),"Internal/partial",IF(SUMPRODUCT(--ISNUMBER(SEARCH({"external","GEO","GSE","ICGC","CPTAC","multi-cohort","multi-level","multicenter","trial","TCGA","clinical cohort"},$I38&amp;"|")))&gt;0,"External",IF(SUMPRODUCT(--ISNUMBER(SEARCH({"internal","limited","only"},$I38&amp;"|")))&gt;0,"Internal/partial","Unclear")))))</f>
        <v>External</v>
      </c>
      <c r="AA38" s="11">
        <f>IF(SUMPRODUCT(--ISNUMBER(SEARCH({"risk score","model","nomogram","signature","clustering","classifier","classification","LASSO","RSF"},$G38&amp;"|")))&gt;0,1,0)</f>
        <v>0</v>
      </c>
      <c r="AB38" s="11" t="str">
        <f t="shared" si="12"/>
        <v>LCM cohort: n=20; IHC cohort: n=353; TCGA: n=177</v>
      </c>
      <c r="AC38" s="11" t="str">
        <f>IF(ISNUMBER(SEARCH("liquid biopsy",$D38)),"Liquid-biopsy markers",IF(SUMPRODUCT(--ISNUMBER(SEARCH({"multi-gene","multi-protein"},$D38&amp;"|")))&gt;0,"Multi-gene / multi-protein signatures",IF(SUMPRODUCT(--ISNUMBER(SEARCH({"single gene","single-gene","single protein","single biomarker"},$D38&amp;"|")))&gt;0,"Single-gene / single-protein markers",IF(LOWER(TRIM($D38))="protein","Single-gene / single-protein markers","Pathway, epigenetic, multi-modal &amp; histopathologic markers"))))</f>
        <v>Single-gene / single-protein markers</v>
      </c>
    </row>
    <row r="39" spans="1:29" ht="193.2" x14ac:dyDescent="0.3">
      <c r="A39" s="7">
        <f>'[1]Data extraction'!A37</f>
        <v>36</v>
      </c>
      <c r="B39" s="7" t="str">
        <f>'[1]Data extraction'!B37</f>
        <v>Nie 2025</v>
      </c>
      <c r="C39" s="8" t="str">
        <f>'[1]Data extraction'!C37</f>
        <v>Mitochondria-related 12-gene prognostic signature; mechanistic emphasis on CAMK2A and THEM4</v>
      </c>
      <c r="D39" s="8" t="str">
        <f>'[1]Data extraction'!D37</f>
        <v>Multi-gene signature</v>
      </c>
      <c r="E39" s="8" t="str">
        <f>'[1]Data extraction'!E37</f>
        <v>Bulk transcriptomics, single-cell transcriptomics, immunohistochemistry, functional molecular assays, mitochondrial phenotyping</v>
      </c>
      <c r="F39" s="8" t="str">
        <f>'[1]Data extraction'!F37</f>
        <v>TCGA training cohort and multiple external validation datasets were analyzed; 119 retrospective institutional PDAC samples and 122 PDAC tissues were additionally assessed; exact total analyzed number across all datasets not clearly reported</v>
      </c>
      <c r="G39" s="8" t="str">
        <f>'[1]Data extraction'!H37</f>
        <v>Signature / risk model</v>
      </c>
      <c r="H39" s="8" t="str">
        <f>'[1]Data extraction'!I37</f>
        <v>yes (Age, sex, and pathological TNM stage for the signature model; other clinical indicators included in CAMK2A/THEM4 multiva)</v>
      </c>
      <c r="I39" s="8" t="str">
        <f>'[1]Data extraction'!J37</f>
        <v>Yes; validated in four independent public datasets, a retrospective institutional cohort, single-cell analyses, IHC cohort, and in vitro/in vivo functional experiments; GSE78229, GSE71729, E-MTAB-6134, GSE21501, 119 institutional</v>
      </c>
      <c r="J39" s="9" t="str">
        <f t="shared" si="0"/>
        <v>High</v>
      </c>
      <c r="K39" s="9" t="str">
        <f t="shared" si="1"/>
        <v>High</v>
      </c>
      <c r="L39" s="9" t="str">
        <f>IF(SUMPRODUCT(--ISNUMBER(SEARCH({"proteom","protein","IHC","qPCR","qRT-PCR","experimental","in vitro","RT-PCR","spatial"},$E39&amp;"|"&amp;$I39)))&gt;0,"Low","Moderate")</f>
        <v>Low</v>
      </c>
      <c r="M39" s="9" t="str">
        <f>IF(SUMPRODUCT(--ISNUMBER(SEARCH({"OS","CSS","PFS","DFS","DSS","survival","recurrence"},'[1]Data extraction'!$K37&amp;"|")))&gt;0,"Low","Moderate")</f>
        <v>Low</v>
      </c>
      <c r="N39" s="9" t="str">
        <f>IF(SUMPRODUCT(--ISNUMBER(SEARCH({"clinical covariates","includes stage"},$H39&amp;"|")))&gt;0,"Low",IF(TRIM(LOWER($H39))="no","High","Moderate"))</f>
        <v>Moderate</v>
      </c>
      <c r="O39" s="9" t="str">
        <f t="shared" si="2"/>
        <v>Low</v>
      </c>
      <c r="P39" s="10" t="str">
        <f t="shared" si="3"/>
        <v>High</v>
      </c>
      <c r="Q39" s="9" t="str">
        <f t="shared" si="4"/>
        <v>Yes</v>
      </c>
      <c r="R39" s="9" t="str">
        <f t="shared" si="5"/>
        <v>High</v>
      </c>
      <c r="S39" s="9" t="str">
        <f t="shared" si="6"/>
        <v>Low</v>
      </c>
      <c r="T39" s="9" t="str">
        <f t="shared" si="7"/>
        <v>Low</v>
      </c>
      <c r="U39" s="9" t="str">
        <f t="shared" si="8"/>
        <v>High</v>
      </c>
      <c r="V39" s="10" t="str">
        <f t="shared" si="9"/>
        <v>High</v>
      </c>
      <c r="W39" s="9" t="str">
        <f>IF(SUMPRODUCT(--ISNUMBER(SEARCH({"IHC","proteom","qPCR","RT-PCR","serum","circulating","Histopathology"},$E39&amp;"|")))&gt;0,"Low concern (assay clinically deployable)","High concern (research-grade multi-omics)")</f>
        <v>High concern (research-grade multi-omics)</v>
      </c>
      <c r="X39" s="9" t="str">
        <f t="shared" si="10"/>
        <v>Participation, Attrition, PROBAST analysis</v>
      </c>
      <c r="Y39" s="11" t="str">
        <f t="shared" si="11"/>
        <v/>
      </c>
      <c r="Z39" s="11" t="str">
        <f>IF(SUMPRODUCT(--ISNUMBER(SEARCH({"no external","no ext"},$I39&amp;"|")))&gt;0,IF(ISNUMBER(SEARCH("partial",$I39)),"Internal/partial","None"),IF(TRIM(LOWER($I39))="no","None",IF(ISNUMBER(SEARCH("partial",$I39)),"Internal/partial",IF(SUMPRODUCT(--ISNUMBER(SEARCH({"external","GEO","GSE","ICGC","CPTAC","multi-cohort","multi-level","multicenter","trial","TCGA","clinical cohort"},$I39&amp;"|")))&gt;0,"External",IF(SUMPRODUCT(--ISNUMBER(SEARCH({"internal","limited","only"},$I39&amp;"|")))&gt;0,"Internal/partial","Unclear")))))</f>
        <v>External</v>
      </c>
      <c r="AA39" s="11">
        <f>IF(SUMPRODUCT(--ISNUMBER(SEARCH({"risk score","model","nomogram","signature","clustering","classifier","classification","LASSO","RSF"},$G39&amp;"|")))&gt;0,1,0)</f>
        <v>1</v>
      </c>
      <c r="AB39" s="11" t="str">
        <f t="shared" si="12"/>
        <v>TCGA training cohort and multiple external validation datasets were analyzed; 119 retrospective institutional PDAC samples and 122 PDAC tissues were additionally assessed; exact total analyzed number across all datasets not clearly reported</v>
      </c>
      <c r="AC39" s="11" t="str">
        <f>IF(ISNUMBER(SEARCH("liquid biopsy",$D39)),"Liquid-biopsy markers",IF(SUMPRODUCT(--ISNUMBER(SEARCH({"multi-gene","multi-protein"},$D39&amp;"|")))&gt;0,"Multi-gene / multi-protein signatures",IF(SUMPRODUCT(--ISNUMBER(SEARCH({"single gene","single-gene","single protein","single biomarker"},$D39&amp;"|")))&gt;0,"Single-gene / single-protein markers",IF(LOWER(TRIM($D39))="protein","Single-gene / single-protein markers","Pathway, epigenetic, multi-modal &amp; histopathologic markers"))))</f>
        <v>Multi-gene / multi-protein signatures</v>
      </c>
    </row>
    <row r="40" spans="1:29" ht="82.8" x14ac:dyDescent="0.3">
      <c r="A40" s="7">
        <f>'[1]Data extraction'!A38</f>
        <v>37</v>
      </c>
      <c r="B40" s="7" t="str">
        <f>'[1]Data extraction'!B38</f>
        <v>Luo 2025</v>
      </c>
      <c r="C40" s="8" t="str">
        <f>'[1]Data extraction'!C38</f>
        <v>Innate immune barrier gene signature (84 genes); key genes: UBASH3B, ITGB6, COL17A1, MMP28, DIAPH3 (focus on UBASH3B)</v>
      </c>
      <c r="D40" s="8" t="str">
        <f>'[1]Data extraction'!D38</f>
        <v>Multi-gene signature</v>
      </c>
      <c r="E40" s="8" t="str">
        <f>'[1]Data extraction'!E38</f>
        <v>Bulk transcriptomics + scRNA-seq + immunogenomics</v>
      </c>
      <c r="F40" s="8" t="str">
        <f>'[1]Data extraction'!F38</f>
        <v>TCGA ~178 used for modelling; validation across 3 GEO cohorts; scRNA 61 patients</v>
      </c>
      <c r="G40" s="8" t="str">
        <f>'[1]Data extraction'!H38</f>
        <v>Signature / risk model</v>
      </c>
      <c r="H40" s="8" t="str">
        <f>'[1]Data extraction'!I38</f>
        <v>yes (Clinical variables included stage, tumor status, and other clinicopathologic features (exact final covariate list not fu)</v>
      </c>
      <c r="I40" s="8" t="str">
        <f>'[1]Data extraction'!J38</f>
        <v xml:space="preserve">Yes (multi-cohort validation + scRNA validation + GEPIA validation); GSE62452, GSE78229, GSE85916; scRNA from 61 patients; GEPIA </v>
      </c>
      <c r="J40" s="9" t="str">
        <f t="shared" si="0"/>
        <v>High</v>
      </c>
      <c r="K40" s="9" t="str">
        <f t="shared" si="1"/>
        <v>High</v>
      </c>
      <c r="L40" s="9" t="str">
        <f>IF(SUMPRODUCT(--ISNUMBER(SEARCH({"proteom","protein","IHC","qPCR","qRT-PCR","experimental","in vitro","RT-PCR","spatial"},$E40&amp;"|"&amp;$I40)))&gt;0,"Low","Moderate")</f>
        <v>Moderate</v>
      </c>
      <c r="M40" s="9" t="str">
        <f>IF(SUMPRODUCT(--ISNUMBER(SEARCH({"OS","CSS","PFS","DFS","DSS","survival","recurrence"},'[1]Data extraction'!$K38&amp;"|")))&gt;0,"Low","Moderate")</f>
        <v>Low</v>
      </c>
      <c r="N40" s="9" t="str">
        <f>IF(SUMPRODUCT(--ISNUMBER(SEARCH({"clinical covariates","includes stage"},$H40&amp;"|")))&gt;0,"Low",IF(TRIM(LOWER($H40))="no","High","Moderate"))</f>
        <v>Moderate</v>
      </c>
      <c r="O40" s="9" t="str">
        <f t="shared" si="2"/>
        <v>Low</v>
      </c>
      <c r="P40" s="10" t="str">
        <f t="shared" si="3"/>
        <v>High</v>
      </c>
      <c r="Q40" s="9" t="str">
        <f t="shared" si="4"/>
        <v>Yes</v>
      </c>
      <c r="R40" s="9" t="str">
        <f t="shared" si="5"/>
        <v>High</v>
      </c>
      <c r="S40" s="9" t="str">
        <f t="shared" si="6"/>
        <v>Unclear</v>
      </c>
      <c r="T40" s="9" t="str">
        <f t="shared" si="7"/>
        <v>Low</v>
      </c>
      <c r="U40" s="9" t="str">
        <f t="shared" si="8"/>
        <v>High</v>
      </c>
      <c r="V40" s="10" t="str">
        <f t="shared" si="9"/>
        <v>High</v>
      </c>
      <c r="W40" s="9" t="str">
        <f>IF(SUMPRODUCT(--ISNUMBER(SEARCH({"IHC","proteom","qPCR","RT-PCR","serum","circulating","Histopathology"},$E40&amp;"|")))&gt;0,"Low concern (assay clinically deployable)","High concern (research-grade multi-omics)")</f>
        <v>High concern (research-grade multi-omics)</v>
      </c>
      <c r="X40" s="9" t="str">
        <f t="shared" si="10"/>
        <v>Participation, Attrition, PROBAST analysis</v>
      </c>
      <c r="Y40" s="11" t="str">
        <f t="shared" si="11"/>
        <v/>
      </c>
      <c r="Z40" s="11" t="str">
        <f>IF(SUMPRODUCT(--ISNUMBER(SEARCH({"no external","no ext"},$I40&amp;"|")))&gt;0,IF(ISNUMBER(SEARCH("partial",$I40)),"Internal/partial","None"),IF(TRIM(LOWER($I40))="no","None",IF(ISNUMBER(SEARCH("partial",$I40)),"Internal/partial",IF(SUMPRODUCT(--ISNUMBER(SEARCH({"external","GEO","GSE","ICGC","CPTAC","multi-cohort","multi-level","multicenter","trial","TCGA","clinical cohort"},$I40&amp;"|")))&gt;0,"External",IF(SUMPRODUCT(--ISNUMBER(SEARCH({"internal","limited","only"},$I40&amp;"|")))&gt;0,"Internal/partial","Unclear")))))</f>
        <v>External</v>
      </c>
      <c r="AA40" s="11">
        <f>IF(SUMPRODUCT(--ISNUMBER(SEARCH({"risk score","model","nomogram","signature","clustering","classifier","classification","LASSO","RSF"},$G40&amp;"|")))&gt;0,1,0)</f>
        <v>1</v>
      </c>
      <c r="AB40" s="11" t="str">
        <f t="shared" si="12"/>
        <v>TCGA 178 used for modelling; validation across 3 GEO cohorts; scRNA 61 patients</v>
      </c>
      <c r="AC40" s="11" t="str">
        <f>IF(ISNUMBER(SEARCH("liquid biopsy",$D40)),"Liquid-biopsy markers",IF(SUMPRODUCT(--ISNUMBER(SEARCH({"multi-gene","multi-protein"},$D40&amp;"|")))&gt;0,"Multi-gene / multi-protein signatures",IF(SUMPRODUCT(--ISNUMBER(SEARCH({"single gene","single-gene","single protein","single biomarker"},$D40&amp;"|")))&gt;0,"Single-gene / single-protein markers",IF(LOWER(TRIM($D40))="protein","Single-gene / single-protein markers","Pathway, epigenetic, multi-modal &amp; histopathologic markers"))))</f>
        <v>Multi-gene / multi-protein signatures</v>
      </c>
    </row>
    <row r="41" spans="1:29" ht="27.6" x14ac:dyDescent="0.3">
      <c r="A41" s="7">
        <f>'[1]Data extraction'!A39</f>
        <v>38</v>
      </c>
      <c r="B41" s="7" t="str">
        <f>'[1]Data extraction'!B39</f>
        <v>Lin 2025</v>
      </c>
      <c r="C41" s="8" t="str">
        <f>'[1]Data extraction'!C39</f>
        <v>P4HA1; CCDC148; UCA1; TMPRSS11E + tumor stage</v>
      </c>
      <c r="D41" s="8" t="str">
        <f>'[1]Data extraction'!D39</f>
        <v>Multi-gene signature</v>
      </c>
      <c r="E41" s="8" t="str">
        <f>'[1]Data extraction'!E39</f>
        <v>Transcriptomics (RNA-seq)</v>
      </c>
      <c r="F41" s="8">
        <f>'[1]Data extraction'!F39</f>
        <v>573</v>
      </c>
      <c r="G41" s="8" t="str">
        <f>'[1]Data extraction'!H39</f>
        <v>Signature / risk model</v>
      </c>
      <c r="H41" s="8" t="str">
        <f>'[1]Data extraction'!I39</f>
        <v>yes (Tumor stage (early vs late))</v>
      </c>
      <c r="I41" s="8" t="str">
        <f>'[1]Data extraction'!J39</f>
        <v>Yes; GSE78229 + GSE79668 (n=100)</v>
      </c>
      <c r="J41" s="9" t="str">
        <f t="shared" si="0"/>
        <v>Moderate</v>
      </c>
      <c r="K41" s="9" t="str">
        <f t="shared" si="1"/>
        <v>Low</v>
      </c>
      <c r="L41" s="9" t="str">
        <f>IF(SUMPRODUCT(--ISNUMBER(SEARCH({"proteom","protein","IHC","qPCR","qRT-PCR","experimental","in vitro","RT-PCR","spatial"},$E41&amp;"|"&amp;$I41)))&gt;0,"Low","Moderate")</f>
        <v>Moderate</v>
      </c>
      <c r="M41" s="9" t="str">
        <f>IF(SUMPRODUCT(--ISNUMBER(SEARCH({"OS","CSS","PFS","DFS","DSS","survival","recurrence"},'[1]Data extraction'!$K39&amp;"|")))&gt;0,"Low","Moderate")</f>
        <v>Low</v>
      </c>
      <c r="N41" s="9" t="str">
        <f>IF(SUMPRODUCT(--ISNUMBER(SEARCH({"clinical covariates","includes stage"},$H41&amp;"|")))&gt;0,"Low",IF(TRIM(LOWER($H41))="no","High","Moderate"))</f>
        <v>Moderate</v>
      </c>
      <c r="O41" s="9" t="str">
        <f t="shared" si="2"/>
        <v>Low</v>
      </c>
      <c r="P41" s="10" t="str">
        <f t="shared" si="3"/>
        <v>Moderate</v>
      </c>
      <c r="Q41" s="9" t="str">
        <f t="shared" si="4"/>
        <v>Yes</v>
      </c>
      <c r="R41" s="9" t="str">
        <f t="shared" si="5"/>
        <v>Unclear</v>
      </c>
      <c r="S41" s="9" t="str">
        <f t="shared" si="6"/>
        <v>Unclear</v>
      </c>
      <c r="T41" s="9" t="str">
        <f t="shared" si="7"/>
        <v>Low</v>
      </c>
      <c r="U41" s="9" t="str">
        <f t="shared" si="8"/>
        <v>Unclear</v>
      </c>
      <c r="V41" s="10" t="str">
        <f t="shared" si="9"/>
        <v>Unclear</v>
      </c>
      <c r="W41" s="9" t="str">
        <f>IF(SUMPRODUCT(--ISNUMBER(SEARCH({"IHC","proteom","qPCR","RT-PCR","serum","circulating","Histopathology"},$E41&amp;"|")))&gt;0,"Low concern (assay clinically deployable)","High concern (research-grade multi-omics)")</f>
        <v>High concern (research-grade multi-omics)</v>
      </c>
      <c r="X41" s="9" t="str">
        <f t="shared" si="10"/>
        <v/>
      </c>
      <c r="Y41" s="11">
        <f t="shared" si="11"/>
        <v>573</v>
      </c>
      <c r="Z41" s="11" t="str">
        <f>IF(SUMPRODUCT(--ISNUMBER(SEARCH({"no external","no ext"},$I41&amp;"|")))&gt;0,IF(ISNUMBER(SEARCH("partial",$I41)),"Internal/partial","None"),IF(TRIM(LOWER($I41))="no","None",IF(ISNUMBER(SEARCH("partial",$I41)),"Internal/partial",IF(SUMPRODUCT(--ISNUMBER(SEARCH({"external","GEO","GSE","ICGC","CPTAC","multi-cohort","multi-level","multicenter","trial","TCGA","clinical cohort"},$I41&amp;"|")))&gt;0,"External",IF(SUMPRODUCT(--ISNUMBER(SEARCH({"internal","limited","only"},$I41&amp;"|")))&gt;0,"Internal/partial","Unclear")))))</f>
        <v>External</v>
      </c>
      <c r="AA41" s="11">
        <f>IF(SUMPRODUCT(--ISNUMBER(SEARCH({"risk score","model","nomogram","signature","clustering","classifier","classification","LASSO","RSF"},$G41&amp;"|")))&gt;0,1,0)</f>
        <v>1</v>
      </c>
      <c r="AB41" s="11" t="str">
        <f t="shared" si="12"/>
        <v>573</v>
      </c>
      <c r="AC41" s="11" t="str">
        <f>IF(ISNUMBER(SEARCH("liquid biopsy",$D41)),"Liquid-biopsy markers",IF(SUMPRODUCT(--ISNUMBER(SEARCH({"multi-gene","multi-protein"},$D41&amp;"|")))&gt;0,"Multi-gene / multi-protein signatures",IF(SUMPRODUCT(--ISNUMBER(SEARCH({"single gene","single-gene","single protein","single biomarker"},$D41&amp;"|")))&gt;0,"Single-gene / single-protein markers",IF(LOWER(TRIM($D41))="protein","Single-gene / single-protein markers","Pathway, epigenetic, multi-modal &amp; histopathologic markers"))))</f>
        <v>Multi-gene / multi-protein signatures</v>
      </c>
    </row>
    <row r="42" spans="1:29" ht="124.2" x14ac:dyDescent="0.3">
      <c r="A42" s="7">
        <f>'[1]Data extraction'!A40</f>
        <v>39</v>
      </c>
      <c r="B42" s="7" t="str">
        <f>'[1]Data extraction'!B40</f>
        <v>Lansbergen 2025</v>
      </c>
      <c r="C42" s="8" t="str">
        <f>'[1]Data extraction'!C40</f>
        <v>KRAS mutational status as key biomarker; integrated molecular classifier of KRAS wild-type vs KRAS-mutant classical vs KRAS-mutant basal-like; exploratory HRD and other somatic mutations</v>
      </c>
      <c r="D42" s="8" t="str">
        <f>'[1]Data extraction'!D40</f>
        <v>Multi-gene signature</v>
      </c>
      <c r="E42" s="8" t="str">
        <f>'[1]Data extraction'!E40</f>
        <v>Genomics + transcriptomics (WGS + bulk RNA-seq)</v>
      </c>
      <c r="F42" s="8" t="str">
        <f>'[1]Data extraction'!F40</f>
        <v>108 FOLFIRINOX-treated patients with successful WGS in pretreatment biopsies; 83 complete cases in multivariable integrated molecular model</v>
      </c>
      <c r="G42" s="8" t="str">
        <f>'[1]Data extraction'!H40</f>
        <v>Signature / risk model</v>
      </c>
      <c r="H42" s="8" t="str">
        <f>'[1]Data extraction'!I40</f>
        <v>yes (Age, sex, stage, only lymph node metastases, peritoneal metastases, liver metastases, number of metastatic sites)</v>
      </c>
      <c r="I42" s="8" t="str">
        <f>'[1]Data extraction'!J40</f>
        <v>Yes, but mainly internal/prospective cohort validation of integrated modeling rather than external independent cohort validation; No separate external validation cohort; exploratory non-FOLF</v>
      </c>
      <c r="J42" s="9" t="str">
        <f t="shared" si="0"/>
        <v>Moderate</v>
      </c>
      <c r="K42" s="9" t="str">
        <f t="shared" si="1"/>
        <v>Low</v>
      </c>
      <c r="L42" s="9" t="str">
        <f>IF(SUMPRODUCT(--ISNUMBER(SEARCH({"proteom","protein","IHC","qPCR","qRT-PCR","experimental","in vitro","RT-PCR","spatial"},$E42&amp;"|"&amp;$I42)))&gt;0,"Low","Moderate")</f>
        <v>Moderate</v>
      </c>
      <c r="M42" s="9" t="str">
        <f>IF(SUMPRODUCT(--ISNUMBER(SEARCH({"OS","CSS","PFS","DFS","DSS","survival","recurrence"},'[1]Data extraction'!$K40&amp;"|")))&gt;0,"Low","Moderate")</f>
        <v>Low</v>
      </c>
      <c r="N42" s="9" t="str">
        <f>IF(SUMPRODUCT(--ISNUMBER(SEARCH({"clinical covariates","includes stage"},$H42&amp;"|")))&gt;0,"Low",IF(TRIM(LOWER($H42))="no","High","Moderate"))</f>
        <v>Moderate</v>
      </c>
      <c r="O42" s="9" t="str">
        <f t="shared" si="2"/>
        <v>Low</v>
      </c>
      <c r="P42" s="10" t="str">
        <f t="shared" si="3"/>
        <v>Moderate</v>
      </c>
      <c r="Q42" s="9" t="str">
        <f t="shared" si="4"/>
        <v>Yes</v>
      </c>
      <c r="R42" s="9" t="str">
        <f t="shared" si="5"/>
        <v>Unclear</v>
      </c>
      <c r="S42" s="9" t="str">
        <f t="shared" si="6"/>
        <v>Unclear</v>
      </c>
      <c r="T42" s="9" t="str">
        <f t="shared" si="7"/>
        <v>Low</v>
      </c>
      <c r="U42" s="9" t="str">
        <f t="shared" si="8"/>
        <v>Unclear</v>
      </c>
      <c r="V42" s="10" t="str">
        <f t="shared" si="9"/>
        <v>Unclear</v>
      </c>
      <c r="W42" s="9" t="str">
        <f>IF(SUMPRODUCT(--ISNUMBER(SEARCH({"IHC","proteom","qPCR","RT-PCR","serum","circulating","Histopathology"},$E42&amp;"|")))&gt;0,"Low concern (assay clinically deployable)","High concern (research-grade multi-omics)")</f>
        <v>High concern (research-grade multi-omics)</v>
      </c>
      <c r="X42" s="9" t="str">
        <f t="shared" si="10"/>
        <v/>
      </c>
      <c r="Y42" s="11">
        <f t="shared" si="11"/>
        <v>108</v>
      </c>
      <c r="Z42" s="11" t="str">
        <f>IF(SUMPRODUCT(--ISNUMBER(SEARCH({"no external","no ext"},$I42&amp;"|")))&gt;0,IF(ISNUMBER(SEARCH("partial",$I42)),"Internal/partial","None"),IF(TRIM(LOWER($I42))="no","None",IF(ISNUMBER(SEARCH("partial",$I42)),"Internal/partial",IF(SUMPRODUCT(--ISNUMBER(SEARCH({"external","GEO","GSE","ICGC","CPTAC","multi-cohort","multi-level","multicenter","trial","TCGA","clinical cohort"},$I42&amp;"|")))&gt;0,"External",IF(SUMPRODUCT(--ISNUMBER(SEARCH({"internal","limited","only"},$I42&amp;"|")))&gt;0,"Internal/partial","Unclear")))))</f>
        <v>External</v>
      </c>
      <c r="AA42" s="11">
        <f>IF(SUMPRODUCT(--ISNUMBER(SEARCH({"risk score","model","nomogram","signature","clustering","classifier","classification","LASSO","RSF"},$G42&amp;"|")))&gt;0,1,0)</f>
        <v>1</v>
      </c>
      <c r="AB42" s="11" t="str">
        <f t="shared" si="12"/>
        <v>108 FOLFIRINOX-treated patients with successful WGS in pretreatment biopsies; 83 complete cases in multivariable integrated molecular model</v>
      </c>
      <c r="AC42" s="11" t="str">
        <f>IF(ISNUMBER(SEARCH("liquid biopsy",$D42)),"Liquid-biopsy markers",IF(SUMPRODUCT(--ISNUMBER(SEARCH({"multi-gene","multi-protein"},$D42&amp;"|")))&gt;0,"Multi-gene / multi-protein signatures",IF(SUMPRODUCT(--ISNUMBER(SEARCH({"single gene","single-gene","single protein","single biomarker"},$D42&amp;"|")))&gt;0,"Single-gene / single-protein markers",IF(LOWER(TRIM($D42))="protein","Single-gene / single-protein markers","Pathway, epigenetic, multi-modal &amp; histopathologic markers"))))</f>
        <v>Multi-gene / multi-protein signatures</v>
      </c>
    </row>
    <row r="43" spans="1:29" ht="82.8" x14ac:dyDescent="0.3">
      <c r="A43" s="7">
        <f>'[1]Data extraction'!A41</f>
        <v>40</v>
      </c>
      <c r="B43" s="7" t="str">
        <f>'[1]Data extraction'!B41</f>
        <v>Kim 2025</v>
      </c>
      <c r="C43" s="8" t="str">
        <f>'[1]Data extraction'!C41</f>
        <v>PAUF (pancreatic adenocarcinoma upregulated factor; ZG16B-related protein product)</v>
      </c>
      <c r="D43" s="8" t="str">
        <f>'[1]Data extraction'!D41</f>
        <v>Single gene</v>
      </c>
      <c r="E43" s="8" t="str">
        <f>'[1]Data extraction'!E41</f>
        <v>Protein expression by immunohistochemistry with transcript/protein in silico validation</v>
      </c>
      <c r="F43" s="8" t="str">
        <f>'[1]Data extraction'!F41</f>
        <v>93 PDAC patients in primary IHC prognostic cohort</v>
      </c>
      <c r="G43" s="8" t="str">
        <f>'[1]Data extraction'!H41</f>
        <v>Single biomarker</v>
      </c>
      <c r="H43" s="8" t="str">
        <f>'[1]Data extraction'!I41</f>
        <v>yes (Age, tumor location, stage (RPC vs BRPC), histology, resection margin, nodal status, adjuvant therapy, CA19-9)</v>
      </c>
      <c r="I43" s="8" t="str">
        <f>'[1]Data extraction'!J41</f>
        <v>Partial validation only; Public validation through TCGA/GTEx (mRNA) and CPTAC (protei</v>
      </c>
      <c r="J43" s="9" t="str">
        <f t="shared" si="0"/>
        <v>High</v>
      </c>
      <c r="K43" s="9" t="str">
        <f t="shared" si="1"/>
        <v>Low</v>
      </c>
      <c r="L43" s="9" t="str">
        <f>IF(SUMPRODUCT(--ISNUMBER(SEARCH({"proteom","protein","IHC","qPCR","qRT-PCR","experimental","in vitro","RT-PCR","spatial"},$E43&amp;"|"&amp;$I43)))&gt;0,"Low","Moderate")</f>
        <v>Low</v>
      </c>
      <c r="M43" s="9" t="str">
        <f>IF(SUMPRODUCT(--ISNUMBER(SEARCH({"OS","CSS","PFS","DFS","DSS","survival","recurrence"},'[1]Data extraction'!$K41&amp;"|")))&gt;0,"Low","Moderate")</f>
        <v>Low</v>
      </c>
      <c r="N43" s="9" t="str">
        <f>IF(SUMPRODUCT(--ISNUMBER(SEARCH({"clinical covariates","includes stage"},$H43&amp;"|")))&gt;0,"Low",IF(TRIM(LOWER($H43))="no","High","Moderate"))</f>
        <v>Moderate</v>
      </c>
      <c r="O43" s="9" t="str">
        <f t="shared" si="2"/>
        <v>Moderate</v>
      </c>
      <c r="P43" s="10" t="str">
        <f t="shared" si="3"/>
        <v>High</v>
      </c>
      <c r="Q43" s="9" t="str">
        <f t="shared" si="4"/>
        <v>No (prognostic factor only)</v>
      </c>
      <c r="R43" s="9" t="str">
        <f t="shared" si="5"/>
        <v>n/a</v>
      </c>
      <c r="S43" s="9" t="str">
        <f t="shared" si="6"/>
        <v>n/a</v>
      </c>
      <c r="T43" s="9" t="str">
        <f t="shared" si="7"/>
        <v>n/a</v>
      </c>
      <c r="U43" s="9" t="str">
        <f t="shared" si="8"/>
        <v>n/a</v>
      </c>
      <c r="V43" s="10" t="str">
        <f t="shared" si="9"/>
        <v>n/a</v>
      </c>
      <c r="W43" s="9" t="str">
        <f>IF(SUMPRODUCT(--ISNUMBER(SEARCH({"IHC","proteom","qPCR","RT-PCR","serum","circulating","Histopathology"},$E43&amp;"|")))&gt;0,"Low concern (assay clinically deployable)","High concern (research-grade multi-omics)")</f>
        <v>High concern (research-grade multi-omics)</v>
      </c>
      <c r="X43" s="9" t="str">
        <f t="shared" si="10"/>
        <v>Participation</v>
      </c>
      <c r="Y43" s="11">
        <f t="shared" si="11"/>
        <v>93</v>
      </c>
      <c r="Z43" s="11" t="str">
        <f>IF(SUMPRODUCT(--ISNUMBER(SEARCH({"no external","no ext"},$I43&amp;"|")))&gt;0,IF(ISNUMBER(SEARCH("partial",$I43)),"Internal/partial","None"),IF(TRIM(LOWER($I43))="no","None",IF(ISNUMBER(SEARCH("partial",$I43)),"Internal/partial",IF(SUMPRODUCT(--ISNUMBER(SEARCH({"external","GEO","GSE","ICGC","CPTAC","multi-cohort","multi-level","multicenter","trial","TCGA","clinical cohort"},$I43&amp;"|")))&gt;0,"External",IF(SUMPRODUCT(--ISNUMBER(SEARCH({"internal","limited","only"},$I43&amp;"|")))&gt;0,"Internal/partial","Unclear")))))</f>
        <v>Internal/partial</v>
      </c>
      <c r="AA43" s="11">
        <f>IF(SUMPRODUCT(--ISNUMBER(SEARCH({"risk score","model","nomogram","signature","clustering","classifier","classification","LASSO","RSF"},$G43&amp;"|")))&gt;0,1,0)</f>
        <v>0</v>
      </c>
      <c r="AB43" s="11" t="str">
        <f t="shared" si="12"/>
        <v>93 PDAC patients in primary IHC prognostic cohort</v>
      </c>
      <c r="AC43" s="11" t="str">
        <f>IF(ISNUMBER(SEARCH("liquid biopsy",$D43)),"Liquid-biopsy markers",IF(SUMPRODUCT(--ISNUMBER(SEARCH({"multi-gene","multi-protein"},$D43&amp;"|")))&gt;0,"Multi-gene / multi-protein signatures",IF(SUMPRODUCT(--ISNUMBER(SEARCH({"single gene","single-gene","single protein","single biomarker"},$D43&amp;"|")))&gt;0,"Single-gene / single-protein markers",IF(LOWER(TRIM($D43))="protein","Single-gene / single-protein markers","Pathway, epigenetic, multi-modal &amp; histopathologic markers"))))</f>
        <v>Single-gene / single-protein markers</v>
      </c>
    </row>
    <row r="44" spans="1:29" ht="55.2" x14ac:dyDescent="0.3">
      <c r="A44" s="7">
        <f>'[1]Data extraction'!A42</f>
        <v>41</v>
      </c>
      <c r="B44" s="7" t="str">
        <f>'[1]Data extraction'!B42</f>
        <v>Kang 2025</v>
      </c>
      <c r="C44" s="8" t="str">
        <f>'[1]Data extraction'!C42</f>
        <v>Six BA-related prognostic genes: SERPINB5, CALU, TFRC, LY6D, SFRP1, GBP2</v>
      </c>
      <c r="D44" s="8" t="str">
        <f>'[1]Data extraction'!D42</f>
        <v>Multi-gene signature</v>
      </c>
      <c r="E44" s="8" t="str">
        <f>'[1]Data extraction'!E42</f>
        <v>Transcriptomics (bulk RNA-seq), single-cell RNA-seq, in silico multi-omics, RT-qPCR validation</v>
      </c>
      <c r="F44" s="8" t="str">
        <f>'[1]Data extraction'!F42</f>
        <v>178 patients (TCGA-PAAD primary cohort)</v>
      </c>
      <c r="G44" s="8" t="str">
        <f>'[1]Data extraction'!H42</f>
        <v>Signature / risk model</v>
      </c>
      <c r="H44" s="8" t="str">
        <f>'[1]Data extraction'!I42</f>
        <v>yes (Age, gender, stage, T stage, N stage)</v>
      </c>
      <c r="I44" s="8" t="str">
        <f>'[1]Data extraction'!J42</f>
        <v xml:space="preserve">Yes (internal + external dataset validation); GSE57495 external validation cohort; RT-qPCR small clinical </v>
      </c>
      <c r="J44" s="9" t="str">
        <f t="shared" si="0"/>
        <v>Moderate</v>
      </c>
      <c r="K44" s="9" t="str">
        <f t="shared" si="1"/>
        <v>Low</v>
      </c>
      <c r="L44" s="9" t="str">
        <f>IF(SUMPRODUCT(--ISNUMBER(SEARCH({"proteom","protein","IHC","qPCR","qRT-PCR","experimental","in vitro","RT-PCR","spatial"},$E44&amp;"|"&amp;$I44)))&gt;0,"Low","Moderate")</f>
        <v>Low</v>
      </c>
      <c r="M44" s="9" t="str">
        <f>IF(SUMPRODUCT(--ISNUMBER(SEARCH({"OS","CSS","PFS","DFS","DSS","survival","recurrence"},'[1]Data extraction'!$K42&amp;"|")))&gt;0,"Low","Moderate")</f>
        <v>Low</v>
      </c>
      <c r="N44" s="9" t="str">
        <f>IF(SUMPRODUCT(--ISNUMBER(SEARCH({"clinical covariates","includes stage"},$H44&amp;"|")))&gt;0,"Low",IF(TRIM(LOWER($H44))="no","High","Moderate"))</f>
        <v>Moderate</v>
      </c>
      <c r="O44" s="9" t="str">
        <f t="shared" si="2"/>
        <v>Low</v>
      </c>
      <c r="P44" s="10" t="str">
        <f t="shared" si="3"/>
        <v>Moderate</v>
      </c>
      <c r="Q44" s="9" t="str">
        <f t="shared" si="4"/>
        <v>Yes</v>
      </c>
      <c r="R44" s="9" t="str">
        <f t="shared" si="5"/>
        <v>Unclear</v>
      </c>
      <c r="S44" s="9" t="str">
        <f t="shared" si="6"/>
        <v>Low</v>
      </c>
      <c r="T44" s="9" t="str">
        <f t="shared" si="7"/>
        <v>Low</v>
      </c>
      <c r="U44" s="9" t="str">
        <f t="shared" si="8"/>
        <v>Unclear</v>
      </c>
      <c r="V44" s="10" t="str">
        <f t="shared" si="9"/>
        <v>Unclear</v>
      </c>
      <c r="W44" s="9" t="str">
        <f>IF(SUMPRODUCT(--ISNUMBER(SEARCH({"IHC","proteom","qPCR","RT-PCR","serum","circulating","Histopathology"},$E44&amp;"|")))&gt;0,"Low concern (assay clinically deployable)","High concern (research-grade multi-omics)")</f>
        <v>Low concern (assay clinically deployable)</v>
      </c>
      <c r="X44" s="9" t="str">
        <f t="shared" si="10"/>
        <v/>
      </c>
      <c r="Y44" s="11">
        <f t="shared" si="11"/>
        <v>178</v>
      </c>
      <c r="Z44" s="11" t="str">
        <f>IF(SUMPRODUCT(--ISNUMBER(SEARCH({"no external","no ext"},$I44&amp;"|")))&gt;0,IF(ISNUMBER(SEARCH("partial",$I44)),"Internal/partial","None"),IF(TRIM(LOWER($I44))="no","None",IF(ISNUMBER(SEARCH("partial",$I44)),"Internal/partial",IF(SUMPRODUCT(--ISNUMBER(SEARCH({"external","GEO","GSE","ICGC","CPTAC","multi-cohort","multi-level","multicenter","trial","TCGA","clinical cohort"},$I44&amp;"|")))&gt;0,"External",IF(SUMPRODUCT(--ISNUMBER(SEARCH({"internal","limited","only"},$I44&amp;"|")))&gt;0,"Internal/partial","Unclear")))))</f>
        <v>External</v>
      </c>
      <c r="AA44" s="11">
        <f>IF(SUMPRODUCT(--ISNUMBER(SEARCH({"risk score","model","nomogram","signature","clustering","classifier","classification","LASSO","RSF"},$G44&amp;"|")))&gt;0,1,0)</f>
        <v>1</v>
      </c>
      <c r="AB44" s="11" t="str">
        <f t="shared" si="12"/>
        <v>178 patients (TCGA-PAAD primary cohort)</v>
      </c>
      <c r="AC44" s="11" t="str">
        <f>IF(ISNUMBER(SEARCH("liquid biopsy",$D44)),"Liquid-biopsy markers",IF(SUMPRODUCT(--ISNUMBER(SEARCH({"multi-gene","multi-protein"},$D44&amp;"|")))&gt;0,"Multi-gene / multi-protein signatures",IF(SUMPRODUCT(--ISNUMBER(SEARCH({"single gene","single-gene","single protein","single biomarker"},$D44&amp;"|")))&gt;0,"Single-gene / single-protein markers",IF(LOWER(TRIM($D44))="protein","Single-gene / single-protein markers","Pathway, epigenetic, multi-modal &amp; histopathologic markers"))))</f>
        <v>Multi-gene / multi-protein signatures</v>
      </c>
    </row>
    <row r="45" spans="1:29" ht="82.8" x14ac:dyDescent="0.3">
      <c r="A45" s="7">
        <f>'[1]Data extraction'!A43</f>
        <v>42</v>
      </c>
      <c r="B45" s="7" t="str">
        <f>'[1]Data extraction'!B43</f>
        <v>Jiang 2025</v>
      </c>
      <c r="C45" s="8" t="str">
        <f>'[1]Data extraction'!C43</f>
        <v>TIPARP (PARP7) expression</v>
      </c>
      <c r="D45" s="8" t="str">
        <f>'[1]Data extraction'!D43</f>
        <v>Single gene</v>
      </c>
      <c r="E45" s="8" t="str">
        <f>'[1]Data extraction'!E43</f>
        <v>Transcriptomics, single-cell RNA-seq, Mendelian randomization, functional assays (in vitro/in vivo)</v>
      </c>
      <c r="F45" s="8" t="str">
        <f>'[1]Data extraction'!F43</f>
        <v>178 patients (TCGA cohort)</v>
      </c>
      <c r="G45" s="8" t="str">
        <f>'[1]Data extraction'!H43</f>
        <v>Single biomarker</v>
      </c>
      <c r="H45" s="8" t="str">
        <f>'[1]Data extraction'!I43</f>
        <v>yes (Age, sex, tumor grade, stage, pN stage)</v>
      </c>
      <c r="I45" s="8" t="str">
        <f>'[1]Data extraction'!J43</f>
        <v>Yes (multi-level validation: TCGA + scRNA + MR + functional assays); No independent external cohort (but MR + experimental valida</v>
      </c>
      <c r="J45" s="9" t="str">
        <f t="shared" si="0"/>
        <v>Moderate</v>
      </c>
      <c r="K45" s="9" t="str">
        <f t="shared" si="1"/>
        <v>Low</v>
      </c>
      <c r="L45" s="9" t="str">
        <f>IF(SUMPRODUCT(--ISNUMBER(SEARCH({"proteom","protein","IHC","qPCR","qRT-PCR","experimental","in vitro","RT-PCR","spatial"},$E45&amp;"|"&amp;$I45)))&gt;0,"Low","Moderate")</f>
        <v>Low</v>
      </c>
      <c r="M45" s="9" t="str">
        <f>IF(SUMPRODUCT(--ISNUMBER(SEARCH({"OS","CSS","PFS","DFS","DSS","survival","recurrence"},'[1]Data extraction'!$K43&amp;"|")))&gt;0,"Low","Moderate")</f>
        <v>Moderate</v>
      </c>
      <c r="N45" s="9" t="str">
        <f>IF(SUMPRODUCT(--ISNUMBER(SEARCH({"clinical covariates","includes stage"},$H45&amp;"|")))&gt;0,"Low",IF(TRIM(LOWER($H45))="no","High","Moderate"))</f>
        <v>Moderate</v>
      </c>
      <c r="O45" s="9" t="str">
        <f t="shared" si="2"/>
        <v>Low</v>
      </c>
      <c r="P45" s="10" t="str">
        <f t="shared" si="3"/>
        <v>Moderate</v>
      </c>
      <c r="Q45" s="9" t="str">
        <f t="shared" si="4"/>
        <v>No (prognostic factor only)</v>
      </c>
      <c r="R45" s="9" t="str">
        <f t="shared" si="5"/>
        <v>n/a</v>
      </c>
      <c r="S45" s="9" t="str">
        <f t="shared" si="6"/>
        <v>n/a</v>
      </c>
      <c r="T45" s="9" t="str">
        <f t="shared" si="7"/>
        <v>n/a</v>
      </c>
      <c r="U45" s="9" t="str">
        <f t="shared" si="8"/>
        <v>n/a</v>
      </c>
      <c r="V45" s="10" t="str">
        <f t="shared" si="9"/>
        <v>n/a</v>
      </c>
      <c r="W45" s="9" t="str">
        <f>IF(SUMPRODUCT(--ISNUMBER(SEARCH({"IHC","proteom","qPCR","RT-PCR","serum","circulating","Histopathology"},$E45&amp;"|")))&gt;0,"Low concern (assay clinically deployable)","High concern (research-grade multi-omics)")</f>
        <v>High concern (research-grade multi-omics)</v>
      </c>
      <c r="X45" s="9" t="str">
        <f t="shared" si="10"/>
        <v/>
      </c>
      <c r="Y45" s="11">
        <f t="shared" si="11"/>
        <v>178</v>
      </c>
      <c r="Z45" s="11" t="str">
        <f>IF(SUMPRODUCT(--ISNUMBER(SEARCH({"no external","no ext"},$I45&amp;"|")))&gt;0,IF(ISNUMBER(SEARCH("partial",$I45)),"Internal/partial","None"),IF(TRIM(LOWER($I45))="no","None",IF(ISNUMBER(SEARCH("partial",$I45)),"Internal/partial",IF(SUMPRODUCT(--ISNUMBER(SEARCH({"external","GEO","GSE","ICGC","CPTAC","multi-cohort","multi-level","multicenter","trial","TCGA","clinical cohort"},$I45&amp;"|")))&gt;0,"External",IF(SUMPRODUCT(--ISNUMBER(SEARCH({"internal","limited","only"},$I45&amp;"|")))&gt;0,"Internal/partial","Unclear")))))</f>
        <v>External</v>
      </c>
      <c r="AA45" s="11">
        <f>IF(SUMPRODUCT(--ISNUMBER(SEARCH({"risk score","model","nomogram","signature","clustering","classifier","classification","LASSO","RSF"},$G45&amp;"|")))&gt;0,1,0)</f>
        <v>0</v>
      </c>
      <c r="AB45" s="11" t="str">
        <f t="shared" si="12"/>
        <v>178 patients (TCGA cohort)</v>
      </c>
      <c r="AC45" s="11" t="str">
        <f>IF(ISNUMBER(SEARCH("liquid biopsy",$D45)),"Liquid-biopsy markers",IF(SUMPRODUCT(--ISNUMBER(SEARCH({"multi-gene","multi-protein"},$D45&amp;"|")))&gt;0,"Multi-gene / multi-protein signatures",IF(SUMPRODUCT(--ISNUMBER(SEARCH({"single gene","single-gene","single protein","single biomarker"},$D45&amp;"|")))&gt;0,"Single-gene / single-protein markers",IF(LOWER(TRIM($D45))="protein","Single-gene / single-protein markers","Pathway, epigenetic, multi-modal &amp; histopathologic markers"))))</f>
        <v>Single-gene / single-protein markers</v>
      </c>
    </row>
    <row r="46" spans="1:29" ht="96.6" x14ac:dyDescent="0.3">
      <c r="A46" s="7">
        <f>'[1]Data extraction'!A44</f>
        <v>43</v>
      </c>
      <c r="B46" s="7" t="str">
        <f>'[1]Data extraction'!B44</f>
        <v>Han 2025</v>
      </c>
      <c r="C46" s="8" t="str">
        <f>'[1]Data extraction'!C44</f>
        <v>Microenvironmental/stromal and immune markers including MFAP4, EGR3, KRT8, monocyte infiltration, CD68+ macrophages, CD3/CD4/CD8 T-cell infiltration</v>
      </c>
      <c r="D46" s="8" t="str">
        <f>'[1]Data extraction'!D44</f>
        <v>Multi-gene signature</v>
      </c>
      <c r="E46" s="8" t="str">
        <f>'[1]Data extraction'!E44</f>
        <v>Digital spatial transcriptomics, immunohistochemistry, immune deconvolution, clinicopathologic survival analysis</v>
      </c>
      <c r="F46" s="8" t="str">
        <f>'[1]Data extraction'!F44</f>
        <v>48 total analyzed; NAT response subgroup: CAP score 2 n=10, CAP score 3 n=14</v>
      </c>
      <c r="G46" s="8" t="str">
        <f>'[1]Data extraction'!H44</f>
        <v>Signature / risk model</v>
      </c>
      <c r="H46" s="8" t="str">
        <f>'[1]Data extraction'!I44</f>
        <v>yes (Age, sex, pT/pN, differentiation, resection margin, invasion variables, CA19-9, treatment group, multiple DSP-derived im)</v>
      </c>
      <c r="I46" s="8" t="str">
        <f>'[1]Data extraction'!J44</f>
        <v>No external validation cohort; internal comparison across UFS/NAT and CAP subgroups only; No formal external validation; internal orthogonal validatio</v>
      </c>
      <c r="J46" s="9" t="str">
        <f t="shared" si="0"/>
        <v>High</v>
      </c>
      <c r="K46" s="9" t="str">
        <f t="shared" si="1"/>
        <v>Low</v>
      </c>
      <c r="L46" s="9" t="str">
        <f>IF(SUMPRODUCT(--ISNUMBER(SEARCH({"proteom","protein","IHC","qPCR","qRT-PCR","experimental","in vitro","RT-PCR","spatial"},$E46&amp;"|"&amp;$I46)))&gt;0,"Low","Moderate")</f>
        <v>Low</v>
      </c>
      <c r="M46" s="9" t="str">
        <f>IF(SUMPRODUCT(--ISNUMBER(SEARCH({"OS","CSS","PFS","DFS","DSS","survival","recurrence"},'[1]Data extraction'!$K44&amp;"|")))&gt;0,"Low","Moderate")</f>
        <v>Low</v>
      </c>
      <c r="N46" s="9" t="str">
        <f>IF(SUMPRODUCT(--ISNUMBER(SEARCH({"clinical covariates","includes stage"},$H46&amp;"|")))&gt;0,"Low",IF(TRIM(LOWER($H46))="no","High","Moderate"))</f>
        <v>Moderate</v>
      </c>
      <c r="O46" s="9" t="str">
        <f t="shared" si="2"/>
        <v>High</v>
      </c>
      <c r="P46" s="10" t="str">
        <f t="shared" si="3"/>
        <v>High</v>
      </c>
      <c r="Q46" s="9" t="str">
        <f t="shared" si="4"/>
        <v>Yes</v>
      </c>
      <c r="R46" s="9" t="str">
        <f t="shared" si="5"/>
        <v>High</v>
      </c>
      <c r="S46" s="9" t="str">
        <f t="shared" si="6"/>
        <v>Low</v>
      </c>
      <c r="T46" s="9" t="str">
        <f t="shared" si="7"/>
        <v>Low</v>
      </c>
      <c r="U46" s="9" t="str">
        <f t="shared" si="8"/>
        <v>High</v>
      </c>
      <c r="V46" s="10" t="str">
        <f t="shared" si="9"/>
        <v>High</v>
      </c>
      <c r="W46" s="9" t="str">
        <f>IF(SUMPRODUCT(--ISNUMBER(SEARCH({"IHC","proteom","qPCR","RT-PCR","serum","circulating","Histopathology"},$E46&amp;"|")))&gt;0,"Low concern (assay clinically deployable)","High concern (research-grade multi-omics)")</f>
        <v>High concern (research-grade multi-omics)</v>
      </c>
      <c r="X46" s="9" t="str">
        <f t="shared" si="10"/>
        <v>Participation, Analysis/reporting, PROBAST analysis</v>
      </c>
      <c r="Y46" s="11">
        <f t="shared" si="11"/>
        <v>48</v>
      </c>
      <c r="Z46" s="11" t="str">
        <f>IF(SUMPRODUCT(--ISNUMBER(SEARCH({"no external","no ext"},$I46&amp;"|")))&gt;0,IF(ISNUMBER(SEARCH("partial",$I46)),"Internal/partial","None"),IF(TRIM(LOWER($I46))="no","None",IF(ISNUMBER(SEARCH("partial",$I46)),"Internal/partial",IF(SUMPRODUCT(--ISNUMBER(SEARCH({"external","GEO","GSE","ICGC","CPTAC","multi-cohort","multi-level","multicenter","trial","TCGA","clinical cohort"},$I46&amp;"|")))&gt;0,"External",IF(SUMPRODUCT(--ISNUMBER(SEARCH({"internal","limited","only"},$I46&amp;"|")))&gt;0,"Internal/partial","Unclear")))))</f>
        <v>None</v>
      </c>
      <c r="AA46" s="11">
        <f>IF(SUMPRODUCT(--ISNUMBER(SEARCH({"risk score","model","nomogram","signature","clustering","classifier","classification","LASSO","RSF"},$G46&amp;"|")))&gt;0,1,0)</f>
        <v>1</v>
      </c>
      <c r="AB46" s="11" t="str">
        <f t="shared" si="12"/>
        <v>48 total analyzed; NAT response subgroup: CAP score 2 n=10, CAP score 3 n=14</v>
      </c>
      <c r="AC46" s="11" t="str">
        <f>IF(ISNUMBER(SEARCH("liquid biopsy",$D46)),"Liquid-biopsy markers",IF(SUMPRODUCT(--ISNUMBER(SEARCH({"multi-gene","multi-protein"},$D46&amp;"|")))&gt;0,"Multi-gene / multi-protein signatures",IF(SUMPRODUCT(--ISNUMBER(SEARCH({"single gene","single-gene","single protein","single biomarker"},$D46&amp;"|")))&gt;0,"Single-gene / single-protein markers",IF(LOWER(TRIM($D46))="protein","Single-gene / single-protein markers","Pathway, epigenetic, multi-modal &amp; histopathologic markers"))))</f>
        <v>Multi-gene / multi-protein signatures</v>
      </c>
    </row>
    <row r="47" spans="1:29" ht="55.2" x14ac:dyDescent="0.3">
      <c r="A47" s="7">
        <f>'[1]Data extraction'!A45</f>
        <v>44</v>
      </c>
      <c r="B47" s="7" t="str">
        <f>'[1]Data extraction'!B45</f>
        <v>Ge 2025</v>
      </c>
      <c r="C47" s="8" t="str">
        <f>'[1]Data extraction'!C45</f>
        <v>Hypoxia score; 13-gene signature (LYZ, PLAU, INSIG2, KRTCAP2 etc.)</v>
      </c>
      <c r="D47" s="8" t="str">
        <f>'[1]Data extraction'!D45</f>
        <v>Multi-gene signature</v>
      </c>
      <c r="E47" s="8" t="str">
        <f>'[1]Data extraction'!E45</f>
        <v>scRNA-seq + bulk RNA-seq (hypoxia hallmark genes from MSigDB)</v>
      </c>
      <c r="F47" s="8" t="str">
        <f>'[1]Data extraction'!F45</f>
        <v>Training: TCGA-PAAD; Validation: PACA-CA &amp; PACA-AU</v>
      </c>
      <c r="G47" s="8" t="str">
        <f>'[1]Data extraction'!H45</f>
        <v>Signature / risk model</v>
      </c>
      <c r="H47" s="8" t="str">
        <f>'[1]Data extraction'!I45</f>
        <v>yes (Adjusted for clinicopathologic variables (age, TNM, etc.))</v>
      </c>
      <c r="I47" s="8" t="str">
        <f>'[1]Data extraction'!J45</f>
        <v>YES → external validation (ICGC cohorts); PACA-CA &amp; PACA-AU</v>
      </c>
      <c r="J47" s="9" t="str">
        <f t="shared" si="0"/>
        <v>High</v>
      </c>
      <c r="K47" s="9" t="str">
        <f t="shared" si="1"/>
        <v>High</v>
      </c>
      <c r="L47" s="9" t="str">
        <f>IF(SUMPRODUCT(--ISNUMBER(SEARCH({"proteom","protein","IHC","qPCR","qRT-PCR","experimental","in vitro","RT-PCR","spatial"},$E47&amp;"|"&amp;$I47)))&gt;0,"Low","Moderate")</f>
        <v>Moderate</v>
      </c>
      <c r="M47" s="9" t="str">
        <f>IF(SUMPRODUCT(--ISNUMBER(SEARCH({"OS","CSS","PFS","DFS","DSS","survival","recurrence"},'[1]Data extraction'!$K45&amp;"|")))&gt;0,"Low","Moderate")</f>
        <v>Low</v>
      </c>
      <c r="N47" s="9" t="str">
        <f>IF(SUMPRODUCT(--ISNUMBER(SEARCH({"clinical covariates","includes stage"},$H47&amp;"|")))&gt;0,"Low",IF(TRIM(LOWER($H47))="no","High","Moderate"))</f>
        <v>Moderate</v>
      </c>
      <c r="O47" s="9" t="str">
        <f t="shared" si="2"/>
        <v>Low</v>
      </c>
      <c r="P47" s="10" t="str">
        <f t="shared" si="3"/>
        <v>High</v>
      </c>
      <c r="Q47" s="9" t="str">
        <f t="shared" si="4"/>
        <v>Yes</v>
      </c>
      <c r="R47" s="9" t="str">
        <f t="shared" si="5"/>
        <v>High</v>
      </c>
      <c r="S47" s="9" t="str">
        <f t="shared" si="6"/>
        <v>Unclear</v>
      </c>
      <c r="T47" s="9" t="str">
        <f t="shared" si="7"/>
        <v>Low</v>
      </c>
      <c r="U47" s="9" t="str">
        <f t="shared" si="8"/>
        <v>High</v>
      </c>
      <c r="V47" s="10" t="str">
        <f t="shared" si="9"/>
        <v>High</v>
      </c>
      <c r="W47" s="9" t="str">
        <f>IF(SUMPRODUCT(--ISNUMBER(SEARCH({"IHC","proteom","qPCR","RT-PCR","serum","circulating","Histopathology"},$E47&amp;"|")))&gt;0,"Low concern (assay clinically deployable)","High concern (research-grade multi-omics)")</f>
        <v>High concern (research-grade multi-omics)</v>
      </c>
      <c r="X47" s="9" t="str">
        <f t="shared" si="10"/>
        <v>Participation, Attrition, PROBAST analysis</v>
      </c>
      <c r="Y47" s="11" t="str">
        <f t="shared" si="11"/>
        <v/>
      </c>
      <c r="Z47" s="11" t="str">
        <f>IF(SUMPRODUCT(--ISNUMBER(SEARCH({"no external","no ext"},$I47&amp;"|")))&gt;0,IF(ISNUMBER(SEARCH("partial",$I47)),"Internal/partial","None"),IF(TRIM(LOWER($I47))="no","None",IF(ISNUMBER(SEARCH("partial",$I47)),"Internal/partial",IF(SUMPRODUCT(--ISNUMBER(SEARCH({"external","GEO","GSE","ICGC","CPTAC","multi-cohort","multi-level","multicenter","trial","TCGA","clinical cohort"},$I47&amp;"|")))&gt;0,"External",IF(SUMPRODUCT(--ISNUMBER(SEARCH({"internal","limited","only"},$I47&amp;"|")))&gt;0,"Internal/partial","Unclear")))))</f>
        <v>External</v>
      </c>
      <c r="AA47" s="11">
        <f>IF(SUMPRODUCT(--ISNUMBER(SEARCH({"risk score","model","nomogram","signature","clustering","classifier","classification","LASSO","RSF"},$G47&amp;"|")))&gt;0,1,0)</f>
        <v>1</v>
      </c>
      <c r="AB47" s="11" t="str">
        <f t="shared" si="12"/>
        <v>Training: TCGA-PAAD; Validation: PACA-CA &amp; PACA-AU</v>
      </c>
      <c r="AC47" s="11" t="str">
        <f>IF(ISNUMBER(SEARCH("liquid biopsy",$D47)),"Liquid-biopsy markers",IF(SUMPRODUCT(--ISNUMBER(SEARCH({"multi-gene","multi-protein"},$D47&amp;"|")))&gt;0,"Multi-gene / multi-protein signatures",IF(SUMPRODUCT(--ISNUMBER(SEARCH({"single gene","single-gene","single protein","single biomarker"},$D47&amp;"|")))&gt;0,"Single-gene / single-protein markers",IF(LOWER(TRIM($D47))="protein","Single-gene / single-protein markers","Pathway, epigenetic, multi-modal &amp; histopathologic markers"))))</f>
        <v>Multi-gene / multi-protein signatures</v>
      </c>
    </row>
    <row r="48" spans="1:29" ht="41.4" x14ac:dyDescent="0.3">
      <c r="A48" s="7">
        <f>'[1]Data extraction'!A46</f>
        <v>45</v>
      </c>
      <c r="B48" s="7" t="str">
        <f>'[1]Data extraction'!B46</f>
        <v>Fang 2025</v>
      </c>
      <c r="C48" s="8" t="str">
        <f>'[1]Data extraction'!C46</f>
        <v>SHCBP1, CEP55, GMNN, CDCA5, FAM111B (CSCLPI genes)</v>
      </c>
      <c r="D48" s="8" t="str">
        <f>'[1]Data extraction'!D46</f>
        <v>Multi-gene signature</v>
      </c>
      <c r="E48" s="8" t="str">
        <f>'[1]Data extraction'!E46</f>
        <v>scRNA-seq + bulk RNA-seq + machine learning</v>
      </c>
      <c r="F48" s="8" t="str">
        <f>'[1]Data extraction'!F46</f>
        <v>Discovery: TCGA; Validation: GEO + CPTAC</v>
      </c>
      <c r="G48" s="8" t="str">
        <f>'[1]Data extraction'!H46</f>
        <v>Signature / risk model</v>
      </c>
      <c r="H48" s="8" t="str">
        <f>'[1]Data extraction'!I46</f>
        <v>yes (Adjusted (clinical covariates in Cox))</v>
      </c>
      <c r="I48" s="8" t="str">
        <f>'[1]Data extraction'!J46</f>
        <v>YES (GEO + CPTAC); External cohorts validated</v>
      </c>
      <c r="J48" s="9" t="str">
        <f t="shared" si="0"/>
        <v>High</v>
      </c>
      <c r="K48" s="9" t="str">
        <f t="shared" si="1"/>
        <v>High</v>
      </c>
      <c r="L48" s="9" t="str">
        <f>IF(SUMPRODUCT(--ISNUMBER(SEARCH({"proteom","protein","IHC","qPCR","qRT-PCR","experimental","in vitro","RT-PCR","spatial"},$E48&amp;"|"&amp;$I48)))&gt;0,"Low","Moderate")</f>
        <v>Moderate</v>
      </c>
      <c r="M48" s="9" t="str">
        <f>IF(SUMPRODUCT(--ISNUMBER(SEARCH({"OS","CSS","PFS","DFS","DSS","survival","recurrence"},'[1]Data extraction'!$K46&amp;"|")))&gt;0,"Low","Moderate")</f>
        <v>Low</v>
      </c>
      <c r="N48" s="9" t="str">
        <f>IF(SUMPRODUCT(--ISNUMBER(SEARCH({"clinical covariates","includes stage"},$H48&amp;"|")))&gt;0,"Low",IF(TRIM(LOWER($H48))="no","High","Moderate"))</f>
        <v>Low</v>
      </c>
      <c r="O48" s="9" t="str">
        <f t="shared" si="2"/>
        <v>Low</v>
      </c>
      <c r="P48" s="10" t="str">
        <f t="shared" si="3"/>
        <v>High</v>
      </c>
      <c r="Q48" s="9" t="str">
        <f t="shared" si="4"/>
        <v>Yes</v>
      </c>
      <c r="R48" s="9" t="str">
        <f t="shared" si="5"/>
        <v>High</v>
      </c>
      <c r="S48" s="9" t="str">
        <f t="shared" si="6"/>
        <v>Unclear</v>
      </c>
      <c r="T48" s="9" t="str">
        <f t="shared" si="7"/>
        <v>Low</v>
      </c>
      <c r="U48" s="9" t="str">
        <f t="shared" si="8"/>
        <v>High</v>
      </c>
      <c r="V48" s="10" t="str">
        <f t="shared" si="9"/>
        <v>High</v>
      </c>
      <c r="W48" s="9" t="str">
        <f>IF(SUMPRODUCT(--ISNUMBER(SEARCH({"IHC","proteom","qPCR","RT-PCR","serum","circulating","Histopathology"},$E48&amp;"|")))&gt;0,"Low concern (assay clinically deployable)","High concern (research-grade multi-omics)")</f>
        <v>High concern (research-grade multi-omics)</v>
      </c>
      <c r="X48" s="9" t="str">
        <f t="shared" si="10"/>
        <v>Participation, Attrition, PROBAST analysis</v>
      </c>
      <c r="Y48" s="11" t="str">
        <f t="shared" si="11"/>
        <v/>
      </c>
      <c r="Z48" s="11" t="str">
        <f>IF(SUMPRODUCT(--ISNUMBER(SEARCH({"no external","no ext"},$I48&amp;"|")))&gt;0,IF(ISNUMBER(SEARCH("partial",$I48)),"Internal/partial","None"),IF(TRIM(LOWER($I48))="no","None",IF(ISNUMBER(SEARCH("partial",$I48)),"Internal/partial",IF(SUMPRODUCT(--ISNUMBER(SEARCH({"external","GEO","GSE","ICGC","CPTAC","multi-cohort","multi-level","multicenter","trial","TCGA","clinical cohort"},$I48&amp;"|")))&gt;0,"External",IF(SUMPRODUCT(--ISNUMBER(SEARCH({"internal","limited","only"},$I48&amp;"|")))&gt;0,"Internal/partial","Unclear")))))</f>
        <v>External</v>
      </c>
      <c r="AA48" s="11">
        <f>IF(SUMPRODUCT(--ISNUMBER(SEARCH({"risk score","model","nomogram","signature","clustering","classifier","classification","LASSO","RSF"},$G48&amp;"|")))&gt;0,1,0)</f>
        <v>1</v>
      </c>
      <c r="AB48" s="11" t="str">
        <f t="shared" si="12"/>
        <v>Discovery: TCGA; Validation: GEO + CPTAC</v>
      </c>
      <c r="AC48" s="11" t="str">
        <f>IF(ISNUMBER(SEARCH("liquid biopsy",$D48)),"Liquid-biopsy markers",IF(SUMPRODUCT(--ISNUMBER(SEARCH({"multi-gene","multi-protein"},$D48&amp;"|")))&gt;0,"Multi-gene / multi-protein signatures",IF(SUMPRODUCT(--ISNUMBER(SEARCH({"single gene","single-gene","single protein","single biomarker"},$D48&amp;"|")))&gt;0,"Single-gene / single-protein markers",IF(LOWER(TRIM($D48))="protein","Single-gene / single-protein markers","Pathway, epigenetic, multi-modal &amp; histopathologic markers"))))</f>
        <v>Multi-gene / multi-protein signatures</v>
      </c>
    </row>
    <row r="49" spans="1:29" ht="41.4" x14ac:dyDescent="0.3">
      <c r="A49" s="7">
        <f>'[1]Data extraction'!A47</f>
        <v>46</v>
      </c>
      <c r="B49" s="7" t="str">
        <f>'[1]Data extraction'!B47</f>
        <v>Fang 2025</v>
      </c>
      <c r="C49" s="8" t="str">
        <f>'[1]Data extraction'!C47</f>
        <v>23 ISGS-based features in RS model</v>
      </c>
      <c r="D49" s="8" t="str">
        <f>'[1]Data extraction'!D47</f>
        <v>Multi-gene signature</v>
      </c>
      <c r="E49" s="8" t="str">
        <f>'[1]Data extraction'!E47</f>
        <v>Bulk RNA-seq / immunogenomic signature analysis</v>
      </c>
      <c r="F49" s="8" t="str">
        <f>'[1]Data extraction'!F47</f>
        <v>Training: TCGA/GTEx; Validation: GEO</v>
      </c>
      <c r="G49" s="8" t="str">
        <f>'[1]Data extraction'!H47</f>
        <v>Signature / risk model</v>
      </c>
      <c r="H49" s="8" t="str">
        <f>'[1]Data extraction'!I47</f>
        <v>yes (Stage_N and RS in nomogram)</v>
      </c>
      <c r="I49" s="8" t="str">
        <f>'[1]Data extraction'!J47</f>
        <v>YES; GEO merged validation cohort</v>
      </c>
      <c r="J49" s="9" t="str">
        <f t="shared" si="0"/>
        <v>High</v>
      </c>
      <c r="K49" s="9" t="str">
        <f t="shared" si="1"/>
        <v>High</v>
      </c>
      <c r="L49" s="9" t="str">
        <f>IF(SUMPRODUCT(--ISNUMBER(SEARCH({"proteom","protein","IHC","qPCR","qRT-PCR","experimental","in vitro","RT-PCR","spatial"},$E49&amp;"|"&amp;$I49)))&gt;0,"Low","Moderate")</f>
        <v>Moderate</v>
      </c>
      <c r="M49" s="9" t="str">
        <f>IF(SUMPRODUCT(--ISNUMBER(SEARCH({"OS","CSS","PFS","DFS","DSS","survival","recurrence"},'[1]Data extraction'!$K47&amp;"|")))&gt;0,"Low","Moderate")</f>
        <v>Low</v>
      </c>
      <c r="N49" s="9" t="str">
        <f>IF(SUMPRODUCT(--ISNUMBER(SEARCH({"clinical covariates","includes stage"},$H49&amp;"|")))&gt;0,"Low",IF(TRIM(LOWER($H49))="no","High","Moderate"))</f>
        <v>Moderate</v>
      </c>
      <c r="O49" s="9" t="str">
        <f t="shared" si="2"/>
        <v>Low</v>
      </c>
      <c r="P49" s="10" t="str">
        <f t="shared" si="3"/>
        <v>High</v>
      </c>
      <c r="Q49" s="9" t="str">
        <f t="shared" si="4"/>
        <v>Yes</v>
      </c>
      <c r="R49" s="9" t="str">
        <f t="shared" si="5"/>
        <v>High</v>
      </c>
      <c r="S49" s="9" t="str">
        <f t="shared" si="6"/>
        <v>Unclear</v>
      </c>
      <c r="T49" s="9" t="str">
        <f t="shared" si="7"/>
        <v>Low</v>
      </c>
      <c r="U49" s="9" t="str">
        <f t="shared" si="8"/>
        <v>High</v>
      </c>
      <c r="V49" s="10" t="str">
        <f t="shared" si="9"/>
        <v>High</v>
      </c>
      <c r="W49" s="9" t="str">
        <f>IF(SUMPRODUCT(--ISNUMBER(SEARCH({"IHC","proteom","qPCR","RT-PCR","serum","circulating","Histopathology"},$E49&amp;"|")))&gt;0,"Low concern (assay clinically deployable)","High concern (research-grade multi-omics)")</f>
        <v>High concern (research-grade multi-omics)</v>
      </c>
      <c r="X49" s="9" t="str">
        <f t="shared" si="10"/>
        <v>Participation, Attrition, PROBAST analysis</v>
      </c>
      <c r="Y49" s="11" t="str">
        <f t="shared" si="11"/>
        <v/>
      </c>
      <c r="Z49" s="11" t="str">
        <f>IF(SUMPRODUCT(--ISNUMBER(SEARCH({"no external","no ext"},$I49&amp;"|")))&gt;0,IF(ISNUMBER(SEARCH("partial",$I49)),"Internal/partial","None"),IF(TRIM(LOWER($I49))="no","None",IF(ISNUMBER(SEARCH("partial",$I49)),"Internal/partial",IF(SUMPRODUCT(--ISNUMBER(SEARCH({"external","GEO","GSE","ICGC","CPTAC","multi-cohort","multi-level","multicenter","trial","TCGA","clinical cohort"},$I49&amp;"|")))&gt;0,"External",IF(SUMPRODUCT(--ISNUMBER(SEARCH({"internal","limited","only"},$I49&amp;"|")))&gt;0,"Internal/partial","Unclear")))))</f>
        <v>External</v>
      </c>
      <c r="AA49" s="11">
        <f>IF(SUMPRODUCT(--ISNUMBER(SEARCH({"risk score","model","nomogram","signature","clustering","classifier","classification","LASSO","RSF"},$G49&amp;"|")))&gt;0,1,0)</f>
        <v>1</v>
      </c>
      <c r="AB49" s="11" t="str">
        <f t="shared" si="12"/>
        <v>Training: TCGA/GTEx; Validation: GEO</v>
      </c>
      <c r="AC49" s="11" t="str">
        <f>IF(ISNUMBER(SEARCH("liquid biopsy",$D49)),"Liquid-biopsy markers",IF(SUMPRODUCT(--ISNUMBER(SEARCH({"multi-gene","multi-protein"},$D49&amp;"|")))&gt;0,"Multi-gene / multi-protein signatures",IF(SUMPRODUCT(--ISNUMBER(SEARCH({"single gene","single-gene","single protein","single biomarker"},$D49&amp;"|")))&gt;0,"Single-gene / single-protein markers",IF(LOWER(TRIM($D49))="protein","Single-gene / single-protein markers","Pathway, epigenetic, multi-modal &amp; histopathologic markers"))))</f>
        <v>Multi-gene / multi-protein signatures</v>
      </c>
    </row>
    <row r="50" spans="1:29" ht="55.2" x14ac:dyDescent="0.3">
      <c r="A50" s="7">
        <f>'[1]Data extraction'!A48</f>
        <v>47</v>
      </c>
      <c r="B50" s="7" t="str">
        <f>'[1]Data extraction'!B48</f>
        <v>Duo 2025</v>
      </c>
      <c r="C50" s="8" t="str">
        <f>'[1]Data extraction'!C48</f>
        <v>Cuproptosis-related lncRNA prognostic model; key lncRNAs LINC00900 and AC078820.1</v>
      </c>
      <c r="D50" s="8" t="str">
        <f>'[1]Data extraction'!D48</f>
        <v>Multi-gene signature</v>
      </c>
      <c r="E50" s="8" t="str">
        <f>'[1]Data extraction'!E48</f>
        <v>Transcriptomics focused on cuproptosis-related lncRNAs</v>
      </c>
      <c r="F50" s="8" t="str">
        <f>'[1]Data extraction'!F48</f>
        <v>Not clearly reported</v>
      </c>
      <c r="G50" s="8" t="str">
        <f>'[1]Data extraction'!H48</f>
        <v>Signature / risk model</v>
      </c>
      <c r="H50" s="8" t="str">
        <f>'[1]Data extraction'!I48</f>
        <v>yes (Not clearly detailed in excerpt)</v>
      </c>
      <c r="I50" s="8" t="str">
        <f>'[1]Data extraction'!J48</f>
        <v>Partial validation; TCGA model plus human pancreatic cancer tissue validation by</v>
      </c>
      <c r="J50" s="9" t="str">
        <f t="shared" si="0"/>
        <v>High</v>
      </c>
      <c r="K50" s="9" t="str">
        <f t="shared" si="1"/>
        <v>High</v>
      </c>
      <c r="L50" s="9" t="str">
        <f>IF(SUMPRODUCT(--ISNUMBER(SEARCH({"proteom","protein","IHC","qPCR","qRT-PCR","experimental","in vitro","RT-PCR","spatial"},$E50&amp;"|"&amp;$I50)))&gt;0,"Low","Moderate")</f>
        <v>Moderate</v>
      </c>
      <c r="M50" s="9" t="str">
        <f>IF(SUMPRODUCT(--ISNUMBER(SEARCH({"OS","CSS","PFS","DFS","DSS","survival","recurrence"},'[1]Data extraction'!$K48&amp;"|")))&gt;0,"Low","Moderate")</f>
        <v>Low</v>
      </c>
      <c r="N50" s="9" t="str">
        <f>IF(SUMPRODUCT(--ISNUMBER(SEARCH({"clinical covariates","includes stage"},$H50&amp;"|")))&gt;0,"Low",IF(TRIM(LOWER($H50))="no","High","Moderate"))</f>
        <v>Moderate</v>
      </c>
      <c r="O50" s="9" t="str">
        <f t="shared" si="2"/>
        <v>Moderate</v>
      </c>
      <c r="P50" s="10" t="str">
        <f t="shared" si="3"/>
        <v>High</v>
      </c>
      <c r="Q50" s="9" t="str">
        <f t="shared" si="4"/>
        <v>Yes</v>
      </c>
      <c r="R50" s="9" t="str">
        <f t="shared" si="5"/>
        <v>High</v>
      </c>
      <c r="S50" s="9" t="str">
        <f t="shared" si="6"/>
        <v>Unclear</v>
      </c>
      <c r="T50" s="9" t="str">
        <f t="shared" si="7"/>
        <v>Low</v>
      </c>
      <c r="U50" s="9" t="str">
        <f t="shared" si="8"/>
        <v>High</v>
      </c>
      <c r="V50" s="10" t="str">
        <f t="shared" si="9"/>
        <v>High</v>
      </c>
      <c r="W50" s="9" t="str">
        <f>IF(SUMPRODUCT(--ISNUMBER(SEARCH({"IHC","proteom","qPCR","RT-PCR","serum","circulating","Histopathology"},$E50&amp;"|")))&gt;0,"Low concern (assay clinically deployable)","High concern (research-grade multi-omics)")</f>
        <v>High concern (research-grade multi-omics)</v>
      </c>
      <c r="X50" s="9" t="str">
        <f t="shared" si="10"/>
        <v>Participation, Attrition, PROBAST analysis</v>
      </c>
      <c r="Y50" s="11" t="str">
        <f t="shared" si="11"/>
        <v/>
      </c>
      <c r="Z50" s="11" t="str">
        <f>IF(SUMPRODUCT(--ISNUMBER(SEARCH({"no external","no ext"},$I50&amp;"|")))&gt;0,IF(ISNUMBER(SEARCH("partial",$I50)),"Internal/partial","None"),IF(TRIM(LOWER($I50))="no","None",IF(ISNUMBER(SEARCH("partial",$I50)),"Internal/partial",IF(SUMPRODUCT(--ISNUMBER(SEARCH({"external","GEO","GSE","ICGC","CPTAC","multi-cohort","multi-level","multicenter","trial","TCGA","clinical cohort"},$I50&amp;"|")))&gt;0,"External",IF(SUMPRODUCT(--ISNUMBER(SEARCH({"internal","limited","only"},$I50&amp;"|")))&gt;0,"Internal/partial","Unclear")))))</f>
        <v>Internal/partial</v>
      </c>
      <c r="AA50" s="11">
        <f>IF(SUMPRODUCT(--ISNUMBER(SEARCH({"risk score","model","nomogram","signature","clustering","classifier","classification","LASSO","RSF"},$G50&amp;"|")))&gt;0,1,0)</f>
        <v>1</v>
      </c>
      <c r="AB50" s="11" t="str">
        <f t="shared" si="12"/>
        <v>Not clearly reported</v>
      </c>
      <c r="AC50" s="11" t="str">
        <f>IF(ISNUMBER(SEARCH("liquid biopsy",$D50)),"Liquid-biopsy markers",IF(SUMPRODUCT(--ISNUMBER(SEARCH({"multi-gene","multi-protein"},$D50&amp;"|")))&gt;0,"Multi-gene / multi-protein signatures",IF(SUMPRODUCT(--ISNUMBER(SEARCH({"single gene","single-gene","single protein","single biomarker"},$D50&amp;"|")))&gt;0,"Single-gene / single-protein markers",IF(LOWER(TRIM($D50))="protein","Single-gene / single-protein markers","Pathway, epigenetic, multi-modal &amp; histopathologic markers"))))</f>
        <v>Multi-gene / multi-protein signatures</v>
      </c>
    </row>
    <row r="51" spans="1:29" ht="124.2" x14ac:dyDescent="0.3">
      <c r="A51" s="7">
        <f>'[1]Data extraction'!A49</f>
        <v>48</v>
      </c>
      <c r="B51" s="7" t="str">
        <f>'[1]Data extraction'!B49</f>
        <v>Deng 2025</v>
      </c>
      <c r="C51" s="8" t="str">
        <f>'[1]Data extraction'!C49</f>
        <v>ST3GAL2, SLCO1B3, PTGES, PRKACA</v>
      </c>
      <c r="D51" s="8" t="str">
        <f>'[1]Data extraction'!D49</f>
        <v>Multi-gene signature</v>
      </c>
      <c r="E51" s="8" t="str">
        <f>'[1]Data extraction'!E49</f>
        <v>Lipid metabolism-related transcriptomics; bulk RNA-seq with supplementary single-cell exploration</v>
      </c>
      <c r="F51" s="8" t="str">
        <f>'[1]Data extraction'!F49</f>
        <v>N_analyzed not fully consistent across sections; model development mainly in TCGA PAAD cohort, external validation in ICGC and multicenter cohort</v>
      </c>
      <c r="G51" s="8" t="str">
        <f>'[1]Data extraction'!H49</f>
        <v>Signature / risk model</v>
      </c>
      <c r="H51" s="8" t="str">
        <f>'[1]Data extraction'!I49</f>
        <v>yes (Tumor location, T stage/tumor size, N stage/tumor invasion, M stage/tumor metastasis, and other clinicopathologic variab)</v>
      </c>
      <c r="I51" s="8" t="str">
        <f>'[1]Data extraction'!J49</f>
        <v>Yes; ICGC cohort and multicenter surgical cohort</v>
      </c>
      <c r="J51" s="9" t="str">
        <f t="shared" si="0"/>
        <v>High</v>
      </c>
      <c r="K51" s="9" t="str">
        <f t="shared" si="1"/>
        <v>High</v>
      </c>
      <c r="L51" s="9" t="str">
        <f>IF(SUMPRODUCT(--ISNUMBER(SEARCH({"proteom","protein","IHC","qPCR","qRT-PCR","experimental","in vitro","RT-PCR","spatial"},$E51&amp;"|"&amp;$I51)))&gt;0,"Low","Moderate")</f>
        <v>Moderate</v>
      </c>
      <c r="M51" s="9" t="str">
        <f>IF(SUMPRODUCT(--ISNUMBER(SEARCH({"OS","CSS","PFS","DFS","DSS","survival","recurrence"},'[1]Data extraction'!$K49&amp;"|")))&gt;0,"Low","Moderate")</f>
        <v>Low</v>
      </c>
      <c r="N51" s="9" t="str">
        <f>IF(SUMPRODUCT(--ISNUMBER(SEARCH({"clinical covariates","includes stage"},$H51&amp;"|")))&gt;0,"Low",IF(TRIM(LOWER($H51))="no","High","Moderate"))</f>
        <v>Moderate</v>
      </c>
      <c r="O51" s="9" t="str">
        <f t="shared" si="2"/>
        <v>Low</v>
      </c>
      <c r="P51" s="10" t="str">
        <f t="shared" si="3"/>
        <v>High</v>
      </c>
      <c r="Q51" s="9" t="str">
        <f t="shared" si="4"/>
        <v>Yes</v>
      </c>
      <c r="R51" s="9" t="str">
        <f t="shared" si="5"/>
        <v>High</v>
      </c>
      <c r="S51" s="9" t="str">
        <f t="shared" si="6"/>
        <v>Unclear</v>
      </c>
      <c r="T51" s="9" t="str">
        <f t="shared" si="7"/>
        <v>Low</v>
      </c>
      <c r="U51" s="9" t="str">
        <f t="shared" si="8"/>
        <v>High</v>
      </c>
      <c r="V51" s="10" t="str">
        <f t="shared" si="9"/>
        <v>High</v>
      </c>
      <c r="W51" s="9" t="str">
        <f>IF(SUMPRODUCT(--ISNUMBER(SEARCH({"IHC","proteom","qPCR","RT-PCR","serum","circulating","Histopathology"},$E51&amp;"|")))&gt;0,"Low concern (assay clinically deployable)","High concern (research-grade multi-omics)")</f>
        <v>High concern (research-grade multi-omics)</v>
      </c>
      <c r="X51" s="9" t="str">
        <f t="shared" si="10"/>
        <v>Participation, Attrition, PROBAST analysis</v>
      </c>
      <c r="Y51" s="11" t="str">
        <f t="shared" si="11"/>
        <v/>
      </c>
      <c r="Z51" s="11" t="str">
        <f>IF(SUMPRODUCT(--ISNUMBER(SEARCH({"no external","no ext"},$I51&amp;"|")))&gt;0,IF(ISNUMBER(SEARCH("partial",$I51)),"Internal/partial","None"),IF(TRIM(LOWER($I51))="no","None",IF(ISNUMBER(SEARCH("partial",$I51)),"Internal/partial",IF(SUMPRODUCT(--ISNUMBER(SEARCH({"external","GEO","GSE","ICGC","CPTAC","multi-cohort","multi-level","multicenter","trial","TCGA","clinical cohort"},$I51&amp;"|")))&gt;0,"External",IF(SUMPRODUCT(--ISNUMBER(SEARCH({"internal","limited","only"},$I51&amp;"|")))&gt;0,"Internal/partial","Unclear")))))</f>
        <v>External</v>
      </c>
      <c r="AA51" s="11">
        <f>IF(SUMPRODUCT(--ISNUMBER(SEARCH({"risk score","model","nomogram","signature","clustering","classifier","classification","LASSO","RSF"},$G51&amp;"|")))&gt;0,1,0)</f>
        <v>1</v>
      </c>
      <c r="AB51" s="11" t="str">
        <f t="shared" si="12"/>
        <v>N_analyzed not fully consistent across sections; model development mainly in TCGA PAAD cohort, external validation in ICGC and multicenter cohort</v>
      </c>
      <c r="AC51" s="11" t="str">
        <f>IF(ISNUMBER(SEARCH("liquid biopsy",$D51)),"Liquid-biopsy markers",IF(SUMPRODUCT(--ISNUMBER(SEARCH({"multi-gene","multi-protein"},$D51&amp;"|")))&gt;0,"Multi-gene / multi-protein signatures",IF(SUMPRODUCT(--ISNUMBER(SEARCH({"single gene","single-gene","single protein","single biomarker"},$D51&amp;"|")))&gt;0,"Single-gene / single-protein markers",IF(LOWER(TRIM($D51))="protein","Single-gene / single-protein markers","Pathway, epigenetic, multi-modal &amp; histopathologic markers"))))</f>
        <v>Multi-gene / multi-protein signatures</v>
      </c>
    </row>
    <row r="52" spans="1:29" ht="82.8" x14ac:dyDescent="0.3">
      <c r="A52" s="7">
        <f>'[1]Data extraction'!A50</f>
        <v>49</v>
      </c>
      <c r="B52" s="7" t="str">
        <f>'[1]Data extraction'!B50</f>
        <v>Cui 2025</v>
      </c>
      <c r="C52" s="8" t="str">
        <f>'[1]Data extraction'!C50</f>
        <v>DCBLD2, OCIAD2, SAMD9</v>
      </c>
      <c r="D52" s="8" t="str">
        <f>'[1]Data extraction'!D50</f>
        <v>Multi-gene signature</v>
      </c>
      <c r="E52" s="8" t="str">
        <f>'[1]Data extraction'!E50</f>
        <v>Transcriptomics (bulk + single-cell), RNA-seq after gene knockdown, drug sensitivity omics</v>
      </c>
      <c r="F52" s="8" t="str">
        <f>'[1]Data extraction'!F50</f>
        <v>TCGA cohort analyzed after filtering; exact final n not consistently restated across all analyses</v>
      </c>
      <c r="G52" s="8" t="str">
        <f>'[1]Data extraction'!H50</f>
        <v>Signature / risk model</v>
      </c>
      <c r="H52" s="8" t="str">
        <f>'[1]Data extraction'!I50</f>
        <v>yes (Age, lymph node metastasis (LNM), and gene expression variables)</v>
      </c>
      <c r="I52" s="8" t="str">
        <f>'[1]Data extraction'!J50</f>
        <v xml:space="preserve">Yes; GSE79668 external validation cohort; multiple GEO datasets; </v>
      </c>
      <c r="J52" s="9" t="str">
        <f t="shared" si="0"/>
        <v>High</v>
      </c>
      <c r="K52" s="9" t="str">
        <f t="shared" si="1"/>
        <v>High</v>
      </c>
      <c r="L52" s="9" t="str">
        <f>IF(SUMPRODUCT(--ISNUMBER(SEARCH({"proteom","protein","IHC","qPCR","qRT-PCR","experimental","in vitro","RT-PCR","spatial"},$E52&amp;"|"&amp;$I52)))&gt;0,"Low","Moderate")</f>
        <v>Moderate</v>
      </c>
      <c r="M52" s="9" t="str">
        <f>IF(SUMPRODUCT(--ISNUMBER(SEARCH({"OS","CSS","PFS","DFS","DSS","survival","recurrence"},'[1]Data extraction'!$K50&amp;"|")))&gt;0,"Low","Moderate")</f>
        <v>Low</v>
      </c>
      <c r="N52" s="9" t="str">
        <f>IF(SUMPRODUCT(--ISNUMBER(SEARCH({"clinical covariates","includes stage"},$H52&amp;"|")))&gt;0,"Low",IF(TRIM(LOWER($H52))="no","High","Moderate"))</f>
        <v>Moderate</v>
      </c>
      <c r="O52" s="9" t="str">
        <f t="shared" si="2"/>
        <v>Low</v>
      </c>
      <c r="P52" s="10" t="str">
        <f t="shared" si="3"/>
        <v>High</v>
      </c>
      <c r="Q52" s="9" t="str">
        <f t="shared" si="4"/>
        <v>Yes</v>
      </c>
      <c r="R52" s="9" t="str">
        <f t="shared" si="5"/>
        <v>High</v>
      </c>
      <c r="S52" s="9" t="str">
        <f t="shared" si="6"/>
        <v>Unclear</v>
      </c>
      <c r="T52" s="9" t="str">
        <f t="shared" si="7"/>
        <v>Low</v>
      </c>
      <c r="U52" s="9" t="str">
        <f t="shared" si="8"/>
        <v>High</v>
      </c>
      <c r="V52" s="10" t="str">
        <f t="shared" si="9"/>
        <v>High</v>
      </c>
      <c r="W52" s="9" t="str">
        <f>IF(SUMPRODUCT(--ISNUMBER(SEARCH({"IHC","proteom","qPCR","RT-PCR","serum","circulating","Histopathology"},$E52&amp;"|")))&gt;0,"Low concern (assay clinically deployable)","High concern (research-grade multi-omics)")</f>
        <v>High concern (research-grade multi-omics)</v>
      </c>
      <c r="X52" s="9" t="str">
        <f t="shared" si="10"/>
        <v>Participation, Attrition, PROBAST analysis</v>
      </c>
      <c r="Y52" s="11" t="str">
        <f t="shared" si="11"/>
        <v/>
      </c>
      <c r="Z52" s="11" t="str">
        <f>IF(SUMPRODUCT(--ISNUMBER(SEARCH({"no external","no ext"},$I52&amp;"|")))&gt;0,IF(ISNUMBER(SEARCH("partial",$I52)),"Internal/partial","None"),IF(TRIM(LOWER($I52))="no","None",IF(ISNUMBER(SEARCH("partial",$I52)),"Internal/partial",IF(SUMPRODUCT(--ISNUMBER(SEARCH({"external","GEO","GSE","ICGC","CPTAC","multi-cohort","multi-level","multicenter","trial","TCGA","clinical cohort"},$I52&amp;"|")))&gt;0,"External",IF(SUMPRODUCT(--ISNUMBER(SEARCH({"internal","limited","only"},$I52&amp;"|")))&gt;0,"Internal/partial","Unclear")))))</f>
        <v>External</v>
      </c>
      <c r="AA52" s="11">
        <f>IF(SUMPRODUCT(--ISNUMBER(SEARCH({"risk score","model","nomogram","signature","clustering","classifier","classification","LASSO","RSF"},$G52&amp;"|")))&gt;0,1,0)</f>
        <v>1</v>
      </c>
      <c r="AB52" s="11" t="str">
        <f t="shared" si="12"/>
        <v>TCGA cohort analyzed after filtering; exact final n not consistently restated across all analyses</v>
      </c>
      <c r="AC52" s="11" t="str">
        <f>IF(ISNUMBER(SEARCH("liquid biopsy",$D52)),"Liquid-biopsy markers",IF(SUMPRODUCT(--ISNUMBER(SEARCH({"multi-gene","multi-protein"},$D52&amp;"|")))&gt;0,"Multi-gene / multi-protein signatures",IF(SUMPRODUCT(--ISNUMBER(SEARCH({"single gene","single-gene","single protein","single biomarker"},$D52&amp;"|")))&gt;0,"Single-gene / single-protein markers",IF(LOWER(TRIM($D52))="protein","Single-gene / single-protein markers","Pathway, epigenetic, multi-modal &amp; histopathologic markers"))))</f>
        <v>Multi-gene / multi-protein signatures</v>
      </c>
    </row>
    <row r="53" spans="1:29" ht="110.4" x14ac:dyDescent="0.3">
      <c r="A53" s="7">
        <f>'[1]Data extraction'!A51</f>
        <v>50</v>
      </c>
      <c r="B53" s="7" t="str">
        <f>'[1]Data extraction'!B51</f>
        <v>Cui 2025</v>
      </c>
      <c r="C53" s="8" t="str">
        <f>'[1]Data extraction'!C51</f>
        <v>Disulfidptosis-related prognostic signature / DPS (8-gene signature: SLC3A2, HMGA1, S100A2, DUSP5, SPRR1B, MET, CREB5, MACROD2)</v>
      </c>
      <c r="D53" s="8" t="str">
        <f>'[1]Data extraction'!D51</f>
        <v>Multi-gene signature</v>
      </c>
      <c r="E53" s="8" t="str">
        <f>'[1]Data extraction'!E51</f>
        <v>Bulk transcriptomics, single-cell transcriptomics, spatial transcriptomics, mutation data</v>
      </c>
      <c r="F53" s="8" t="str">
        <f>'[1]Data extraction'!F51</f>
        <v>1250 bulk samples included after filtering; 582 RNA-array + 541 RNA-seq explicitly detailed, plus CPTAC cohort for additional external validation</v>
      </c>
      <c r="G53" s="8" t="str">
        <f>'[1]Data extraction'!H51</f>
        <v>Signature / risk model</v>
      </c>
      <c r="H53" s="8" t="str">
        <f>'[1]Data extraction'!I51</f>
        <v>yes (Clinicopathological features including age, gender, stage / clinical variables depending on cohort)</v>
      </c>
      <c r="I53" s="8" t="str">
        <f>'[1]Data extraction'!J51</f>
        <v>Yes; External validation in TCGA-PAAD, ICGC-CA, ICGC-AU, CPTAC-PD</v>
      </c>
      <c r="J53" s="9" t="str">
        <f t="shared" si="0"/>
        <v>Moderate</v>
      </c>
      <c r="K53" s="9" t="str">
        <f t="shared" si="1"/>
        <v>Low</v>
      </c>
      <c r="L53" s="9" t="str">
        <f>IF(SUMPRODUCT(--ISNUMBER(SEARCH({"proteom","protein","IHC","qPCR","qRT-PCR","experimental","in vitro","RT-PCR","spatial"},$E53&amp;"|"&amp;$I53)))&gt;0,"Low","Moderate")</f>
        <v>Low</v>
      </c>
      <c r="M53" s="9" t="str">
        <f>IF(SUMPRODUCT(--ISNUMBER(SEARCH({"OS","CSS","PFS","DFS","DSS","survival","recurrence"},'[1]Data extraction'!$K51&amp;"|")))&gt;0,"Low","Moderate")</f>
        <v>Low</v>
      </c>
      <c r="N53" s="9" t="str">
        <f>IF(SUMPRODUCT(--ISNUMBER(SEARCH({"clinical covariates","includes stage"},$H53&amp;"|")))&gt;0,"Low",IF(TRIM(LOWER($H53))="no","High","Moderate"))</f>
        <v>Moderate</v>
      </c>
      <c r="O53" s="9" t="str">
        <f t="shared" si="2"/>
        <v>Low</v>
      </c>
      <c r="P53" s="10" t="str">
        <f t="shared" si="3"/>
        <v>Moderate</v>
      </c>
      <c r="Q53" s="9" t="str">
        <f t="shared" si="4"/>
        <v>Yes</v>
      </c>
      <c r="R53" s="9" t="str">
        <f t="shared" si="5"/>
        <v>Unclear</v>
      </c>
      <c r="S53" s="9" t="str">
        <f t="shared" si="6"/>
        <v>Low</v>
      </c>
      <c r="T53" s="9" t="str">
        <f t="shared" si="7"/>
        <v>Low</v>
      </c>
      <c r="U53" s="9" t="str">
        <f t="shared" si="8"/>
        <v>Unclear</v>
      </c>
      <c r="V53" s="10" t="str">
        <f t="shared" si="9"/>
        <v>Unclear</v>
      </c>
      <c r="W53" s="9" t="str">
        <f>IF(SUMPRODUCT(--ISNUMBER(SEARCH({"IHC","proteom","qPCR","RT-PCR","serum","circulating","Histopathology"},$E53&amp;"|")))&gt;0,"Low concern (assay clinically deployable)","High concern (research-grade multi-omics)")</f>
        <v>High concern (research-grade multi-omics)</v>
      </c>
      <c r="X53" s="9" t="str">
        <f t="shared" si="10"/>
        <v/>
      </c>
      <c r="Y53" s="11">
        <f t="shared" si="11"/>
        <v>1250</v>
      </c>
      <c r="Z53" s="11" t="str">
        <f>IF(SUMPRODUCT(--ISNUMBER(SEARCH({"no external","no ext"},$I53&amp;"|")))&gt;0,IF(ISNUMBER(SEARCH("partial",$I53)),"Internal/partial","None"),IF(TRIM(LOWER($I53))="no","None",IF(ISNUMBER(SEARCH("partial",$I53)),"Internal/partial",IF(SUMPRODUCT(--ISNUMBER(SEARCH({"external","GEO","GSE","ICGC","CPTAC","multi-cohort","multi-level","multicenter","trial","TCGA","clinical cohort"},$I53&amp;"|")))&gt;0,"External",IF(SUMPRODUCT(--ISNUMBER(SEARCH({"internal","limited","only"},$I53&amp;"|")))&gt;0,"Internal/partial","Unclear")))))</f>
        <v>External</v>
      </c>
      <c r="AA53" s="11">
        <f>IF(SUMPRODUCT(--ISNUMBER(SEARCH({"risk score","model","nomogram","signature","clustering","classifier","classification","LASSO","RSF"},$G53&amp;"|")))&gt;0,1,0)</f>
        <v>1</v>
      </c>
      <c r="AB53" s="11" t="str">
        <f t="shared" si="12"/>
        <v>1250 bulk samples included after filtering; 582 RNA-array + 541 RNA-seq explicitly detailed, plus CPTAC cohort for additional external validation</v>
      </c>
      <c r="AC53" s="11" t="str">
        <f>IF(ISNUMBER(SEARCH("liquid biopsy",$D53)),"Liquid-biopsy markers",IF(SUMPRODUCT(--ISNUMBER(SEARCH({"multi-gene","multi-protein"},$D53&amp;"|")))&gt;0,"Multi-gene / multi-protein signatures",IF(SUMPRODUCT(--ISNUMBER(SEARCH({"single gene","single-gene","single protein","single biomarker"},$D53&amp;"|")))&gt;0,"Single-gene / single-protein markers",IF(LOWER(TRIM($D53))="protein","Single-gene / single-protein markers","Pathway, epigenetic, multi-modal &amp; histopathologic markers"))))</f>
        <v>Multi-gene / multi-protein signatures</v>
      </c>
    </row>
    <row r="54" spans="1:29" ht="124.2" x14ac:dyDescent="0.3">
      <c r="A54" s="7">
        <f>'[1]Data extraction'!A52</f>
        <v>51</v>
      </c>
      <c r="B54" s="7" t="str">
        <f>'[1]Data extraction'!B52</f>
        <v>Chen 2025</v>
      </c>
      <c r="C54" s="8" t="str">
        <f>'[1]Data extraction'!C52</f>
        <v>M2 macrophage-related 6-gene prognostic signature: CCL2, CD9, FBP1, LIMS1, LYZ, TGFBI; also M2/TAM biology and TNFRSF12A highlighted</v>
      </c>
      <c r="D54" s="8" t="str">
        <f>'[1]Data extraction'!D52</f>
        <v>Multi-gene signature</v>
      </c>
      <c r="E54" s="8" t="str">
        <f>'[1]Data extraction'!E52</f>
        <v>scRNA-seq, bulk RNA expression, SNV, CNV, clinical survival data, immune infiltration, drug sensitivity prediction</v>
      </c>
      <c r="F54" s="8" t="str">
        <f>'[1]Data extraction'!F52</f>
        <v>TCGA-PDAC training cohort: 153 PDAC cases with OS&gt;0; external GEO validation cohort: 225 cases with OS&gt;0; scRNA-seq: 41,855 cells analyzed</v>
      </c>
      <c r="G54" s="8" t="str">
        <f>'[1]Data extraction'!H52</f>
        <v>Signature / risk model</v>
      </c>
      <c r="H54" s="8" t="str">
        <f>'[1]Data extraction'!I52</f>
        <v>yes (Not clearly specified in the pasted excerpt; multivariable analysis likely adjusted for clinicopathologic features, but )</v>
      </c>
      <c r="I54" s="8" t="str">
        <f>'[1]Data extraction'!J52</f>
        <v>Yes; External validation in merged GEO cohort (GSE183795 + GSE287</v>
      </c>
      <c r="J54" s="9" t="str">
        <f t="shared" si="0"/>
        <v>High</v>
      </c>
      <c r="K54" s="9" t="str">
        <f t="shared" si="1"/>
        <v>High</v>
      </c>
      <c r="L54" s="9" t="str">
        <f>IF(SUMPRODUCT(--ISNUMBER(SEARCH({"proteom","protein","IHC","qPCR","qRT-PCR","experimental","in vitro","RT-PCR","spatial"},$E54&amp;"|"&amp;$I54)))&gt;0,"Low","Moderate")</f>
        <v>Moderate</v>
      </c>
      <c r="M54" s="9" t="str">
        <f>IF(SUMPRODUCT(--ISNUMBER(SEARCH({"OS","CSS","PFS","DFS","DSS","survival","recurrence"},'[1]Data extraction'!$K52&amp;"|")))&gt;0,"Low","Moderate")</f>
        <v>Low</v>
      </c>
      <c r="N54" s="9" t="str">
        <f>IF(SUMPRODUCT(--ISNUMBER(SEARCH({"clinical covariates","includes stage"},$H54&amp;"|")))&gt;0,"Low",IF(TRIM(LOWER($H54))="no","High","Moderate"))</f>
        <v>Moderate</v>
      </c>
      <c r="O54" s="9" t="str">
        <f t="shared" si="2"/>
        <v>Low</v>
      </c>
      <c r="P54" s="10" t="str">
        <f t="shared" si="3"/>
        <v>High</v>
      </c>
      <c r="Q54" s="9" t="str">
        <f t="shared" si="4"/>
        <v>Yes</v>
      </c>
      <c r="R54" s="9" t="str">
        <f t="shared" si="5"/>
        <v>High</v>
      </c>
      <c r="S54" s="9" t="str">
        <f t="shared" si="6"/>
        <v>Unclear</v>
      </c>
      <c r="T54" s="9" t="str">
        <f t="shared" si="7"/>
        <v>Low</v>
      </c>
      <c r="U54" s="9" t="str">
        <f t="shared" si="8"/>
        <v>High</v>
      </c>
      <c r="V54" s="10" t="str">
        <f t="shared" si="9"/>
        <v>High</v>
      </c>
      <c r="W54" s="9" t="str">
        <f>IF(SUMPRODUCT(--ISNUMBER(SEARCH({"IHC","proteom","qPCR","RT-PCR","serum","circulating","Histopathology"},$E54&amp;"|")))&gt;0,"Low concern (assay clinically deployable)","High concern (research-grade multi-omics)")</f>
        <v>High concern (research-grade multi-omics)</v>
      </c>
      <c r="X54" s="9" t="str">
        <f t="shared" si="10"/>
        <v>Participation, Attrition, PROBAST analysis</v>
      </c>
      <c r="Y54" s="11" t="str">
        <f t="shared" si="11"/>
        <v/>
      </c>
      <c r="Z54" s="11" t="str">
        <f>IF(SUMPRODUCT(--ISNUMBER(SEARCH({"no external","no ext"},$I54&amp;"|")))&gt;0,IF(ISNUMBER(SEARCH("partial",$I54)),"Internal/partial","None"),IF(TRIM(LOWER($I54))="no","None",IF(ISNUMBER(SEARCH("partial",$I54)),"Internal/partial",IF(SUMPRODUCT(--ISNUMBER(SEARCH({"external","GEO","GSE","ICGC","CPTAC","multi-cohort","multi-level","multicenter","trial","TCGA","clinical cohort"},$I54&amp;"|")))&gt;0,"External",IF(SUMPRODUCT(--ISNUMBER(SEARCH({"internal","limited","only"},$I54&amp;"|")))&gt;0,"Internal/partial","Unclear")))))</f>
        <v>External</v>
      </c>
      <c r="AA54" s="11">
        <f>IF(SUMPRODUCT(--ISNUMBER(SEARCH({"risk score","model","nomogram","signature","clustering","classifier","classification","LASSO","RSF"},$G54&amp;"|")))&gt;0,1,0)</f>
        <v>1</v>
      </c>
      <c r="AB54" s="11" t="str">
        <f t="shared" si="12"/>
        <v>TCGA-PDAC training cohort: 153 PDAC cases with OS&gt;0; external GEO validation cohort: 225 cases with OS&gt;0; scRNA-seq: 41,855 cells analyzed</v>
      </c>
      <c r="AC54" s="11" t="str">
        <f>IF(ISNUMBER(SEARCH("liquid biopsy",$D54)),"Liquid-biopsy markers",IF(SUMPRODUCT(--ISNUMBER(SEARCH({"multi-gene","multi-protein"},$D54&amp;"|")))&gt;0,"Multi-gene / multi-protein signatures",IF(SUMPRODUCT(--ISNUMBER(SEARCH({"single gene","single-gene","single protein","single biomarker"},$D54&amp;"|")))&gt;0,"Single-gene / single-protein markers",IF(LOWER(TRIM($D54))="protein","Single-gene / single-protein markers","Pathway, epigenetic, multi-modal &amp; histopathologic markers"))))</f>
        <v>Multi-gene / multi-protein signatures</v>
      </c>
    </row>
    <row r="55" spans="1:29" ht="110.4" x14ac:dyDescent="0.3">
      <c r="A55" s="7">
        <f>'[1]Data extraction'!A53</f>
        <v>52</v>
      </c>
      <c r="B55" s="7" t="str">
        <f>'[1]Data extraction'!B53</f>
        <v>Aref 2025</v>
      </c>
      <c r="C55" s="8" t="str">
        <f>'[1]Data extraction'!C53</f>
        <v>20-protein diagnostic panel; four proteomic prognostic subtypes; 18-protein prognostic risk score (PURB, SDCBP2, CD2BP2, GALM, SERPINA3, OAS3, FAN1, ZPR1, KRT2, NUDT2, SMNDC1, SERPINA4, CUTA, WDR36, POSTN, CLEC11A, PEX14, PI4KA)</v>
      </c>
      <c r="D55" s="8" t="str">
        <f>'[1]Data extraction'!D53</f>
        <v>Multi-gene signature</v>
      </c>
      <c r="E55" s="8" t="str">
        <f>'[1]Data extraction'!E53</f>
        <v>Proteomics</v>
      </c>
      <c r="F55" s="8" t="str">
        <f>'[1]Data extraction'!F53</f>
        <v>115 tumor samples and 61 matched adjacent normal samples after QC; CPTAC validation: 92 tumor samples</v>
      </c>
      <c r="G55" s="8" t="str">
        <f>'[1]Data extraction'!H53</f>
        <v>Signature / risk model</v>
      </c>
      <c r="H55" s="8" t="str">
        <f>'[1]Data extraction'!I53</f>
        <v>yes (Clinical prognostic variables included age, stage, grade, histology, margin, recurrence-related features, and other avai)</v>
      </c>
      <c r="I55" s="8" t="str">
        <f>'[1]Data extraction'!J53</f>
        <v>Yes; Independent CPTAC PDA proteomic cohort generated using a dif</v>
      </c>
      <c r="J55" s="9" t="str">
        <f t="shared" si="0"/>
        <v>Moderate</v>
      </c>
      <c r="K55" s="9" t="str">
        <f t="shared" si="1"/>
        <v>Low</v>
      </c>
      <c r="L55" s="9" t="str">
        <f>IF(SUMPRODUCT(--ISNUMBER(SEARCH({"proteom","protein","IHC","qPCR","qRT-PCR","experimental","in vitro","RT-PCR","spatial"},$E55&amp;"|"&amp;$I55)))&gt;0,"Low","Moderate")</f>
        <v>Low</v>
      </c>
      <c r="M55" s="9" t="str">
        <f>IF(SUMPRODUCT(--ISNUMBER(SEARCH({"OS","CSS","PFS","DFS","DSS","survival","recurrence"},'[1]Data extraction'!$K53&amp;"|")))&gt;0,"Low","Moderate")</f>
        <v>Low</v>
      </c>
      <c r="N55" s="9" t="str">
        <f>IF(SUMPRODUCT(--ISNUMBER(SEARCH({"clinical covariates","includes stage"},$H55&amp;"|")))&gt;0,"Low",IF(TRIM(LOWER($H55))="no","High","Moderate"))</f>
        <v>Moderate</v>
      </c>
      <c r="O55" s="9" t="str">
        <f t="shared" si="2"/>
        <v>Low</v>
      </c>
      <c r="P55" s="10" t="str">
        <f t="shared" si="3"/>
        <v>Moderate</v>
      </c>
      <c r="Q55" s="9" t="str">
        <f t="shared" si="4"/>
        <v>Yes</v>
      </c>
      <c r="R55" s="9" t="str">
        <f t="shared" si="5"/>
        <v>Unclear</v>
      </c>
      <c r="S55" s="9" t="str">
        <f t="shared" si="6"/>
        <v>Low</v>
      </c>
      <c r="T55" s="9" t="str">
        <f t="shared" si="7"/>
        <v>Low</v>
      </c>
      <c r="U55" s="9" t="str">
        <f t="shared" si="8"/>
        <v>Unclear</v>
      </c>
      <c r="V55" s="10" t="str">
        <f t="shared" si="9"/>
        <v>Unclear</v>
      </c>
      <c r="W55" s="9" t="str">
        <f>IF(SUMPRODUCT(--ISNUMBER(SEARCH({"IHC","proteom","qPCR","RT-PCR","serum","circulating","Histopathology"},$E55&amp;"|")))&gt;0,"Low concern (assay clinically deployable)","High concern (research-grade multi-omics)")</f>
        <v>Low concern (assay clinically deployable)</v>
      </c>
      <c r="X55" s="9" t="str">
        <f t="shared" si="10"/>
        <v/>
      </c>
      <c r="Y55" s="11">
        <f t="shared" si="11"/>
        <v>115</v>
      </c>
      <c r="Z55" s="11" t="str">
        <f>IF(SUMPRODUCT(--ISNUMBER(SEARCH({"no external","no ext"},$I55&amp;"|")))&gt;0,IF(ISNUMBER(SEARCH("partial",$I55)),"Internal/partial","None"),IF(TRIM(LOWER($I55))="no","None",IF(ISNUMBER(SEARCH("partial",$I55)),"Internal/partial",IF(SUMPRODUCT(--ISNUMBER(SEARCH({"external","GEO","GSE","ICGC","CPTAC","multi-cohort","multi-level","multicenter","trial","TCGA","clinical cohort"},$I55&amp;"|")))&gt;0,"External",IF(SUMPRODUCT(--ISNUMBER(SEARCH({"internal","limited","only"},$I55&amp;"|")))&gt;0,"Internal/partial","Unclear")))))</f>
        <v>External</v>
      </c>
      <c r="AA55" s="11">
        <f>IF(SUMPRODUCT(--ISNUMBER(SEARCH({"risk score","model","nomogram","signature","clustering","classifier","classification","LASSO","RSF"},$G55&amp;"|")))&gt;0,1,0)</f>
        <v>1</v>
      </c>
      <c r="AB55" s="11" t="str">
        <f t="shared" si="12"/>
        <v>115 tumor samples and 61 matched adjacent normal samples after QC; CPTAC validation: 92 tumor samples</v>
      </c>
      <c r="AC55" s="11" t="str">
        <f>IF(ISNUMBER(SEARCH("liquid biopsy",$D55)),"Liquid-biopsy markers",IF(SUMPRODUCT(--ISNUMBER(SEARCH({"multi-gene","multi-protein"},$D55&amp;"|")))&gt;0,"Multi-gene / multi-protein signatures",IF(SUMPRODUCT(--ISNUMBER(SEARCH({"single gene","single-gene","single protein","single biomarker"},$D55&amp;"|")))&gt;0,"Single-gene / single-protein markers",IF(LOWER(TRIM($D55))="protein","Single-gene / single-protein markers","Pathway, epigenetic, multi-modal &amp; histopathologic markers"))))</f>
        <v>Multi-gene / multi-protein signatures</v>
      </c>
    </row>
    <row r="56" spans="1:29" ht="55.2" x14ac:dyDescent="0.3">
      <c r="A56" s="7">
        <f>'[1]Data extraction'!A54</f>
        <v>53</v>
      </c>
      <c r="B56" s="7" t="str">
        <f>'[1]Data extraction'!B54</f>
        <v>Zhang 2025</v>
      </c>
      <c r="C56" s="8" t="str">
        <f>'[1]Data extraction'!C54</f>
        <v>Complement pathway genes (C1R, C1S, C3, C4B, C7) in tumour microenvironment</v>
      </c>
      <c r="D56" s="8" t="str">
        <f>'[1]Data extraction'!D54</f>
        <v>Multi-gene signature</v>
      </c>
      <c r="E56" s="8" t="str">
        <f>'[1]Data extraction'!E54</f>
        <v>Spatial transcriptomics (NanoString GeoMx DSP)</v>
      </c>
      <c r="F56" s="8">
        <f>'[1]Data extraction'!F54</f>
        <v>36</v>
      </c>
      <c r="G56" s="8" t="str">
        <f>'[1]Data extraction'!H54</f>
        <v>Signature / risk model</v>
      </c>
      <c r="H56" s="8" t="str">
        <f>'[1]Data extraction'!I54</f>
        <v>yes (Tumor stage, treatment status, clinicopathologic variables)</v>
      </c>
      <c r="I56" s="8" t="str">
        <f>'[1]Data extraction'!J54</f>
        <v>Partial validation only; single-nucleus RNA-seq datasets (biological, no independent prognostic cohort)</v>
      </c>
      <c r="J56" s="9" t="str">
        <f t="shared" si="0"/>
        <v>High</v>
      </c>
      <c r="K56" s="9" t="str">
        <f t="shared" si="1"/>
        <v>Low</v>
      </c>
      <c r="L56" s="9" t="str">
        <f>IF(SUMPRODUCT(--ISNUMBER(SEARCH({"proteom","protein","IHC","qPCR","qRT-PCR","experimental","in vitro","RT-PCR","spatial"},$E56&amp;"|"&amp;$I56)))&gt;0,"Low","Moderate")</f>
        <v>Low</v>
      </c>
      <c r="M56" s="9" t="str">
        <f>IF(SUMPRODUCT(--ISNUMBER(SEARCH({"OS","CSS","PFS","DFS","DSS","survival","recurrence"},'[1]Data extraction'!$K54&amp;"|")))&gt;0,"Low","Moderate")</f>
        <v>Low</v>
      </c>
      <c r="N56" s="9" t="str">
        <f>IF(SUMPRODUCT(--ISNUMBER(SEARCH({"clinical covariates","includes stage"},$H56&amp;"|")))&gt;0,"Low",IF(TRIM(LOWER($H56))="no","High","Moderate"))</f>
        <v>Moderate</v>
      </c>
      <c r="O56" s="9" t="str">
        <f t="shared" si="2"/>
        <v>Moderate</v>
      </c>
      <c r="P56" s="10" t="str">
        <f t="shared" si="3"/>
        <v>High</v>
      </c>
      <c r="Q56" s="9" t="str">
        <f t="shared" si="4"/>
        <v>Yes</v>
      </c>
      <c r="R56" s="9" t="str">
        <f t="shared" si="5"/>
        <v>High</v>
      </c>
      <c r="S56" s="9" t="str">
        <f t="shared" si="6"/>
        <v>Low</v>
      </c>
      <c r="T56" s="9" t="str">
        <f t="shared" si="7"/>
        <v>Low</v>
      </c>
      <c r="U56" s="9" t="str">
        <f t="shared" si="8"/>
        <v>High</v>
      </c>
      <c r="V56" s="10" t="str">
        <f t="shared" si="9"/>
        <v>High</v>
      </c>
      <c r="W56" s="9" t="str">
        <f>IF(SUMPRODUCT(--ISNUMBER(SEARCH({"IHC","proteom","qPCR","RT-PCR","serum","circulating","Histopathology"},$E56&amp;"|")))&gt;0,"Low concern (assay clinically deployable)","High concern (research-grade multi-omics)")</f>
        <v>High concern (research-grade multi-omics)</v>
      </c>
      <c r="X56" s="9" t="str">
        <f t="shared" si="10"/>
        <v>Participation, PROBAST analysis</v>
      </c>
      <c r="Y56" s="11">
        <f t="shared" si="11"/>
        <v>36</v>
      </c>
      <c r="Z56" s="11" t="str">
        <f>IF(SUMPRODUCT(--ISNUMBER(SEARCH({"no external","no ext"},$I56&amp;"|")))&gt;0,IF(ISNUMBER(SEARCH("partial",$I56)),"Internal/partial","None"),IF(TRIM(LOWER($I56))="no","None",IF(ISNUMBER(SEARCH("partial",$I56)),"Internal/partial",IF(SUMPRODUCT(--ISNUMBER(SEARCH({"external","GEO","GSE","ICGC","CPTAC","multi-cohort","multi-level","multicenter","trial","TCGA","clinical cohort"},$I56&amp;"|")))&gt;0,"External",IF(SUMPRODUCT(--ISNUMBER(SEARCH({"internal","limited","only"},$I56&amp;"|")))&gt;0,"Internal/partial","Unclear")))))</f>
        <v>Internal/partial</v>
      </c>
      <c r="AA56" s="11">
        <f>IF(SUMPRODUCT(--ISNUMBER(SEARCH({"risk score","model","nomogram","signature","clustering","classifier","classification","LASSO","RSF"},$G56&amp;"|")))&gt;0,1,0)</f>
        <v>1</v>
      </c>
      <c r="AB56" s="11" t="str">
        <f t="shared" si="12"/>
        <v>36</v>
      </c>
      <c r="AC56" s="11" t="str">
        <f>IF(ISNUMBER(SEARCH("liquid biopsy",$D56)),"Liquid-biopsy markers",IF(SUMPRODUCT(--ISNUMBER(SEARCH({"multi-gene","multi-protein"},$D56&amp;"|")))&gt;0,"Multi-gene / multi-protein signatures",IF(SUMPRODUCT(--ISNUMBER(SEARCH({"single gene","single-gene","single protein","single biomarker"},$D56&amp;"|")))&gt;0,"Single-gene / single-protein markers",IF(LOWER(TRIM($D56))="protein","Single-gene / single-protein markers","Pathway, epigenetic, multi-modal &amp; histopathologic markers"))))</f>
        <v>Multi-gene / multi-protein signatures</v>
      </c>
    </row>
    <row r="57" spans="1:29" ht="69" x14ac:dyDescent="0.3">
      <c r="A57" s="7">
        <f>'[1]Data extraction'!A55</f>
        <v>54</v>
      </c>
      <c r="B57" s="7" t="str">
        <f>'[1]Data extraction'!B55</f>
        <v>Wang 2025</v>
      </c>
      <c r="C57" s="8" t="str">
        <f>'[1]Data extraction'!C55</f>
        <v>13-gene autophagy-related signature (EIF4EBP1, HDAC6, GABARAP, CASP4, ATG16L2, BCL2L1, BAG3, ATG4B, TNFSF10, PTK6, ITGA3, BIRC5, BAK1)</v>
      </c>
      <c r="D57" s="8" t="str">
        <f>'[1]Data extraction'!D55</f>
        <v>Multi-gene signature</v>
      </c>
      <c r="E57" s="8" t="str">
        <f>'[1]Data extraction'!E55</f>
        <v>Bulk transcriptomics (+ methylation/CNV/mutation analyses)</v>
      </c>
      <c r="F57" s="8" t="str">
        <f>'[1]Data extraction'!F55</f>
        <v>177 training (TCGA) + 139 validation (GEO)</v>
      </c>
      <c r="G57" s="8" t="str">
        <f>'[1]Data extraction'!H55</f>
        <v>Signature / risk model</v>
      </c>
      <c r="H57" s="8" t="str">
        <f>'[1]Data extraction'!I55</f>
        <v>yes (Clinicopathological variables; exact full list not fully specified)</v>
      </c>
      <c r="I57" s="8" t="str">
        <f>'[1]Data extraction'!J55</f>
        <v>Yes; External validation in GSE183795</v>
      </c>
      <c r="J57" s="9" t="str">
        <f t="shared" si="0"/>
        <v>Moderate</v>
      </c>
      <c r="K57" s="9" t="str">
        <f t="shared" si="1"/>
        <v>Low</v>
      </c>
      <c r="L57" s="9" t="str">
        <f>IF(SUMPRODUCT(--ISNUMBER(SEARCH({"proteom","protein","IHC","qPCR","qRT-PCR","experimental","in vitro","RT-PCR","spatial"},$E57&amp;"|"&amp;$I57)))&gt;0,"Low","Moderate")</f>
        <v>Moderate</v>
      </c>
      <c r="M57" s="9" t="str">
        <f>IF(SUMPRODUCT(--ISNUMBER(SEARCH({"OS","CSS","PFS","DFS","DSS","survival","recurrence"},'[1]Data extraction'!$K55&amp;"|")))&gt;0,"Low","Moderate")</f>
        <v>Low</v>
      </c>
      <c r="N57" s="9" t="str">
        <f>IF(SUMPRODUCT(--ISNUMBER(SEARCH({"clinical covariates","includes stage"},$H57&amp;"|")))&gt;0,"Low",IF(TRIM(LOWER($H57))="no","High","Moderate"))</f>
        <v>Moderate</v>
      </c>
      <c r="O57" s="9" t="str">
        <f t="shared" si="2"/>
        <v>Low</v>
      </c>
      <c r="P57" s="10" t="str">
        <f t="shared" si="3"/>
        <v>Moderate</v>
      </c>
      <c r="Q57" s="9" t="str">
        <f t="shared" si="4"/>
        <v>Yes</v>
      </c>
      <c r="R57" s="9" t="str">
        <f t="shared" si="5"/>
        <v>Unclear</v>
      </c>
      <c r="S57" s="9" t="str">
        <f t="shared" si="6"/>
        <v>Unclear</v>
      </c>
      <c r="T57" s="9" t="str">
        <f t="shared" si="7"/>
        <v>Low</v>
      </c>
      <c r="U57" s="9" t="str">
        <f t="shared" si="8"/>
        <v>Unclear</v>
      </c>
      <c r="V57" s="10" t="str">
        <f t="shared" si="9"/>
        <v>Unclear</v>
      </c>
      <c r="W57" s="9" t="str">
        <f>IF(SUMPRODUCT(--ISNUMBER(SEARCH({"IHC","proteom","qPCR","RT-PCR","serum","circulating","Histopathology"},$E57&amp;"|")))&gt;0,"Low concern (assay clinically deployable)","High concern (research-grade multi-omics)")</f>
        <v>High concern (research-grade multi-omics)</v>
      </c>
      <c r="X57" s="9" t="str">
        <f t="shared" si="10"/>
        <v/>
      </c>
      <c r="Y57" s="11">
        <f t="shared" si="11"/>
        <v>177</v>
      </c>
      <c r="Z57" s="11" t="str">
        <f>IF(SUMPRODUCT(--ISNUMBER(SEARCH({"no external","no ext"},$I57&amp;"|")))&gt;0,IF(ISNUMBER(SEARCH("partial",$I57)),"Internal/partial","None"),IF(TRIM(LOWER($I57))="no","None",IF(ISNUMBER(SEARCH("partial",$I57)),"Internal/partial",IF(SUMPRODUCT(--ISNUMBER(SEARCH({"external","GEO","GSE","ICGC","CPTAC","multi-cohort","multi-level","multicenter","trial","TCGA","clinical cohort"},$I57&amp;"|")))&gt;0,"External",IF(SUMPRODUCT(--ISNUMBER(SEARCH({"internal","limited","only"},$I57&amp;"|")))&gt;0,"Internal/partial","Unclear")))))</f>
        <v>External</v>
      </c>
      <c r="AA57" s="11">
        <f>IF(SUMPRODUCT(--ISNUMBER(SEARCH({"risk score","model","nomogram","signature","clustering","classifier","classification","LASSO","RSF"},$G57&amp;"|")))&gt;0,1,0)</f>
        <v>1</v>
      </c>
      <c r="AB57" s="11" t="str">
        <f t="shared" si="12"/>
        <v>177 training (TCGA) + 139 validation (GEO)</v>
      </c>
      <c r="AC57" s="11" t="str">
        <f>IF(ISNUMBER(SEARCH("liquid biopsy",$D57)),"Liquid-biopsy markers",IF(SUMPRODUCT(--ISNUMBER(SEARCH({"multi-gene","multi-protein"},$D57&amp;"|")))&gt;0,"Multi-gene / multi-protein signatures",IF(SUMPRODUCT(--ISNUMBER(SEARCH({"single gene","single-gene","single protein","single biomarker"},$D57&amp;"|")))&gt;0,"Single-gene / single-protein markers",IF(LOWER(TRIM($D57))="protein","Single-gene / single-protein markers","Pathway, epigenetic, multi-modal &amp; histopathologic markers"))))</f>
        <v>Multi-gene / multi-protein signatures</v>
      </c>
    </row>
    <row r="58" spans="1:29" ht="41.4" x14ac:dyDescent="0.3">
      <c r="A58" s="7">
        <f>'[1]Data extraction'!A56</f>
        <v>55</v>
      </c>
      <c r="B58" s="7" t="str">
        <f>'[1]Data extraction'!B56</f>
        <v>Wang 2025</v>
      </c>
      <c r="C58" s="8" t="str">
        <f>'[1]Data extraction'!C56</f>
        <v>Fibroblast-related 14-gene prognostic signature (risk score model)</v>
      </c>
      <c r="D58" s="8" t="str">
        <f>'[1]Data extraction'!D56</f>
        <v>Multi-gene signature</v>
      </c>
      <c r="E58" s="8" t="str">
        <f>'[1]Data extraction'!E56</f>
        <v>Bulk RNA-seq + scRNA-seq</v>
      </c>
      <c r="F58" s="8" t="str">
        <f>'[1]Data extraction'!F56</f>
        <v>179 (TCGA) + 63 + 66 (GEO)</v>
      </c>
      <c r="G58" s="8" t="str">
        <f>'[1]Data extraction'!H56</f>
        <v>Signature / risk model</v>
      </c>
      <c r="H58" s="8" t="str">
        <f>'[1]Data extraction'!I56</f>
        <v>yes (Age, gender, tumor grade, stage)</v>
      </c>
      <c r="I58" s="8" t="str">
        <f>'[1]Data extraction'!J56</f>
        <v>Yes; External validation in GSE57495 (n=63) and GSE62452 (n=66)</v>
      </c>
      <c r="J58" s="9" t="str">
        <f t="shared" si="0"/>
        <v>Moderate</v>
      </c>
      <c r="K58" s="9" t="str">
        <f t="shared" si="1"/>
        <v>Low</v>
      </c>
      <c r="L58" s="9" t="str">
        <f>IF(SUMPRODUCT(--ISNUMBER(SEARCH({"proteom","protein","IHC","qPCR","qRT-PCR","experimental","in vitro","RT-PCR","spatial"},$E58&amp;"|"&amp;$I58)))&gt;0,"Low","Moderate")</f>
        <v>Moderate</v>
      </c>
      <c r="M58" s="9" t="str">
        <f>IF(SUMPRODUCT(--ISNUMBER(SEARCH({"OS","CSS","PFS","DFS","DSS","survival","recurrence"},'[1]Data extraction'!$K56&amp;"|")))&gt;0,"Low","Moderate")</f>
        <v>Low</v>
      </c>
      <c r="N58" s="9" t="str">
        <f>IF(SUMPRODUCT(--ISNUMBER(SEARCH({"clinical covariates","includes stage"},$H58&amp;"|")))&gt;0,"Low",IF(TRIM(LOWER($H58))="no","High","Moderate"))</f>
        <v>Moderate</v>
      </c>
      <c r="O58" s="9" t="str">
        <f t="shared" si="2"/>
        <v>Low</v>
      </c>
      <c r="P58" s="10" t="str">
        <f t="shared" si="3"/>
        <v>Moderate</v>
      </c>
      <c r="Q58" s="9" t="str">
        <f t="shared" si="4"/>
        <v>Yes</v>
      </c>
      <c r="R58" s="9" t="str">
        <f t="shared" si="5"/>
        <v>Unclear</v>
      </c>
      <c r="S58" s="9" t="str">
        <f t="shared" si="6"/>
        <v>Unclear</v>
      </c>
      <c r="T58" s="9" t="str">
        <f t="shared" si="7"/>
        <v>Low</v>
      </c>
      <c r="U58" s="9" t="str">
        <f t="shared" si="8"/>
        <v>Unclear</v>
      </c>
      <c r="V58" s="10" t="str">
        <f t="shared" si="9"/>
        <v>Unclear</v>
      </c>
      <c r="W58" s="9" t="str">
        <f>IF(SUMPRODUCT(--ISNUMBER(SEARCH({"IHC","proteom","qPCR","RT-PCR","serum","circulating","Histopathology"},$E58&amp;"|")))&gt;0,"Low concern (assay clinically deployable)","High concern (research-grade multi-omics)")</f>
        <v>High concern (research-grade multi-omics)</v>
      </c>
      <c r="X58" s="9" t="str">
        <f t="shared" si="10"/>
        <v/>
      </c>
      <c r="Y58" s="11">
        <f t="shared" si="11"/>
        <v>179</v>
      </c>
      <c r="Z58" s="11" t="str">
        <f>IF(SUMPRODUCT(--ISNUMBER(SEARCH({"no external","no ext"},$I58&amp;"|")))&gt;0,IF(ISNUMBER(SEARCH("partial",$I58)),"Internal/partial","None"),IF(TRIM(LOWER($I58))="no","None",IF(ISNUMBER(SEARCH("partial",$I58)),"Internal/partial",IF(SUMPRODUCT(--ISNUMBER(SEARCH({"external","GEO","GSE","ICGC","CPTAC","multi-cohort","multi-level","multicenter","trial","TCGA","clinical cohort"},$I58&amp;"|")))&gt;0,"External",IF(SUMPRODUCT(--ISNUMBER(SEARCH({"internal","limited","only"},$I58&amp;"|")))&gt;0,"Internal/partial","Unclear")))))</f>
        <v>External</v>
      </c>
      <c r="AA58" s="11">
        <f>IF(SUMPRODUCT(--ISNUMBER(SEARCH({"risk score","model","nomogram","signature","clustering","classifier","classification","LASSO","RSF"},$G58&amp;"|")))&gt;0,1,0)</f>
        <v>1</v>
      </c>
      <c r="AB58" s="11" t="str">
        <f t="shared" si="12"/>
        <v>179 (TCGA) + 63 + 66 (GEO)</v>
      </c>
      <c r="AC58" s="11" t="str">
        <f>IF(ISNUMBER(SEARCH("liquid biopsy",$D58)),"Liquid-biopsy markers",IF(SUMPRODUCT(--ISNUMBER(SEARCH({"multi-gene","multi-protein"},$D58&amp;"|")))&gt;0,"Multi-gene / multi-protein signatures",IF(SUMPRODUCT(--ISNUMBER(SEARCH({"single gene","single-gene","single protein","single biomarker"},$D58&amp;"|")))&gt;0,"Single-gene / single-protein markers",IF(LOWER(TRIM($D58))="protein","Single-gene / single-protein markers","Pathway, epigenetic, multi-modal &amp; histopathologic markers"))))</f>
        <v>Multi-gene / multi-protein signatures</v>
      </c>
    </row>
    <row r="59" spans="1:29" ht="55.2" x14ac:dyDescent="0.3">
      <c r="A59" s="7">
        <f>'[1]Data extraction'!A57</f>
        <v>56</v>
      </c>
      <c r="B59" s="7" t="str">
        <f>'[1]Data extraction'!B57</f>
        <v>Liu 2025</v>
      </c>
      <c r="C59" s="8" t="str">
        <f>'[1]Data extraction'!C57</f>
        <v>ANP32E</v>
      </c>
      <c r="D59" s="8" t="str">
        <f>'[1]Data extraction'!D57</f>
        <v>Single gene</v>
      </c>
      <c r="E59" s="8" t="str">
        <f>'[1]Data extraction'!E57</f>
        <v>Protein (IHC) + transcriptomics (TCGA) + functional assays</v>
      </c>
      <c r="F59" s="8" t="str">
        <f>'[1]Data extraction'!F57</f>
        <v>75 (clinical cohort) + 174 (TCGA)</v>
      </c>
      <c r="G59" s="8" t="str">
        <f>'[1]Data extraction'!H57</f>
        <v>Single biomarker</v>
      </c>
      <c r="H59" s="8" t="str">
        <f>'[1]Data extraction'!I57</f>
        <v>yes (Age, sex, BMI, TNM stage, CEA, CA19-9, CA242, clinical features)</v>
      </c>
      <c r="I59" s="8" t="str">
        <f>'[1]Data extraction'!J57</f>
        <v>Yes; TCGA-PAAD (n=174) external validation + in vitro functional validation</v>
      </c>
      <c r="J59" s="9" t="str">
        <f t="shared" si="0"/>
        <v>High</v>
      </c>
      <c r="K59" s="9" t="str">
        <f t="shared" si="1"/>
        <v>Low</v>
      </c>
      <c r="L59" s="9" t="str">
        <f>IF(SUMPRODUCT(--ISNUMBER(SEARCH({"proteom","protein","IHC","qPCR","qRT-PCR","experimental","in vitro","RT-PCR","spatial"},$E59&amp;"|"&amp;$I59)))&gt;0,"Low","Moderate")</f>
        <v>Low</v>
      </c>
      <c r="M59" s="9" t="str">
        <f>IF(SUMPRODUCT(--ISNUMBER(SEARCH({"OS","CSS","PFS","DFS","DSS","survival","recurrence"},'[1]Data extraction'!$K57&amp;"|")))&gt;0,"Low","Moderate")</f>
        <v>Low</v>
      </c>
      <c r="N59" s="9" t="str">
        <f>IF(SUMPRODUCT(--ISNUMBER(SEARCH({"clinical covariates","includes stage"},$H59&amp;"|")))&gt;0,"Low",IF(TRIM(LOWER($H59))="no","High","Moderate"))</f>
        <v>Moderate</v>
      </c>
      <c r="O59" s="9" t="str">
        <f t="shared" si="2"/>
        <v>Low</v>
      </c>
      <c r="P59" s="10" t="str">
        <f t="shared" si="3"/>
        <v>High</v>
      </c>
      <c r="Q59" s="9" t="str">
        <f t="shared" si="4"/>
        <v>No (prognostic factor only)</v>
      </c>
      <c r="R59" s="9" t="str">
        <f t="shared" si="5"/>
        <v>n/a</v>
      </c>
      <c r="S59" s="9" t="str">
        <f t="shared" si="6"/>
        <v>n/a</v>
      </c>
      <c r="T59" s="9" t="str">
        <f t="shared" si="7"/>
        <v>n/a</v>
      </c>
      <c r="U59" s="9" t="str">
        <f t="shared" si="8"/>
        <v>n/a</v>
      </c>
      <c r="V59" s="10" t="str">
        <f t="shared" si="9"/>
        <v>n/a</v>
      </c>
      <c r="W59" s="9" t="str">
        <f>IF(SUMPRODUCT(--ISNUMBER(SEARCH({"IHC","proteom","qPCR","RT-PCR","serum","circulating","Histopathology"},$E59&amp;"|")))&gt;0,"Low concern (assay clinically deployable)","High concern (research-grade multi-omics)")</f>
        <v>Low concern (assay clinically deployable)</v>
      </c>
      <c r="X59" s="9" t="str">
        <f t="shared" si="10"/>
        <v>Participation</v>
      </c>
      <c r="Y59" s="11">
        <f t="shared" si="11"/>
        <v>75</v>
      </c>
      <c r="Z59" s="11" t="str">
        <f>IF(SUMPRODUCT(--ISNUMBER(SEARCH({"no external","no ext"},$I59&amp;"|")))&gt;0,IF(ISNUMBER(SEARCH("partial",$I59)),"Internal/partial","None"),IF(TRIM(LOWER($I59))="no","None",IF(ISNUMBER(SEARCH("partial",$I59)),"Internal/partial",IF(SUMPRODUCT(--ISNUMBER(SEARCH({"external","GEO","GSE","ICGC","CPTAC","multi-cohort","multi-level","multicenter","trial","TCGA","clinical cohort"},$I59&amp;"|")))&gt;0,"External",IF(SUMPRODUCT(--ISNUMBER(SEARCH({"internal","limited","only"},$I59&amp;"|")))&gt;0,"Internal/partial","Unclear")))))</f>
        <v>External</v>
      </c>
      <c r="AA59" s="11">
        <f>IF(SUMPRODUCT(--ISNUMBER(SEARCH({"risk score","model","nomogram","signature","clustering","classifier","classification","LASSO","RSF"},$G59&amp;"|")))&gt;0,1,0)</f>
        <v>0</v>
      </c>
      <c r="AB59" s="11" t="str">
        <f t="shared" si="12"/>
        <v>75 (clinical cohort) + 174 (TCGA)</v>
      </c>
      <c r="AC59" s="11" t="str">
        <f>IF(ISNUMBER(SEARCH("liquid biopsy",$D59)),"Liquid-biopsy markers",IF(SUMPRODUCT(--ISNUMBER(SEARCH({"multi-gene","multi-protein"},$D59&amp;"|")))&gt;0,"Multi-gene / multi-protein signatures",IF(SUMPRODUCT(--ISNUMBER(SEARCH({"single gene","single-gene","single protein","single biomarker"},$D59&amp;"|")))&gt;0,"Single-gene / single-protein markers",IF(LOWER(TRIM($D59))="protein","Single-gene / single-protein markers","Pathway, epigenetic, multi-modal &amp; histopathologic markers"))))</f>
        <v>Single-gene / single-protein markers</v>
      </c>
    </row>
    <row r="60" spans="1:29" ht="41.4" x14ac:dyDescent="0.3">
      <c r="A60" s="7">
        <f>'[1]Data extraction'!A58</f>
        <v>57</v>
      </c>
      <c r="B60" s="7" t="str">
        <f>'[1]Data extraction'!B58</f>
        <v>Ge 2025</v>
      </c>
      <c r="C60" s="8" t="str">
        <f>'[1]Data extraction'!C58</f>
        <v>Cuproptosis-related signature score (MIR3677, AC068620.2, UPK2, LDHAP7, FAM83A)</v>
      </c>
      <c r="D60" s="8" t="str">
        <f>'[1]Data extraction'!D58</f>
        <v>Multi-gene signature</v>
      </c>
      <c r="E60" s="8" t="str">
        <f>'[1]Data extraction'!E58</f>
        <v>Transcriptomics + proteomics + cfDNA (multi-omics integration)</v>
      </c>
      <c r="F60" s="8" t="str">
        <f>'[1]Data extraction'!F58</f>
        <v>160 (TCGA) + 101 (ICGC)</v>
      </c>
      <c r="G60" s="8" t="str">
        <f>'[1]Data extraction'!H58</f>
        <v>Signature / risk model</v>
      </c>
      <c r="H60" s="8" t="str">
        <f>'[1]Data extraction'!I58</f>
        <v>yes (Age, sex, grade and other clinical covariates)</v>
      </c>
      <c r="I60" s="8" t="str">
        <f>'[1]Data extraction'!J58</f>
        <v>Yes; External validation in ICGC cohort</v>
      </c>
      <c r="J60" s="9" t="str">
        <f t="shared" si="0"/>
        <v>Moderate</v>
      </c>
      <c r="K60" s="9" t="str">
        <f t="shared" si="1"/>
        <v>Low</v>
      </c>
      <c r="L60" s="9" t="str">
        <f>IF(SUMPRODUCT(--ISNUMBER(SEARCH({"proteom","protein","IHC","qPCR","qRT-PCR","experimental","in vitro","RT-PCR","spatial"},$E60&amp;"|"&amp;$I60)))&gt;0,"Low","Moderate")</f>
        <v>Low</v>
      </c>
      <c r="M60" s="9" t="str">
        <f>IF(SUMPRODUCT(--ISNUMBER(SEARCH({"OS","CSS","PFS","DFS","DSS","survival","recurrence"},'[1]Data extraction'!$K58&amp;"|")))&gt;0,"Low","Moderate")</f>
        <v>Low</v>
      </c>
      <c r="N60" s="9" t="str">
        <f>IF(SUMPRODUCT(--ISNUMBER(SEARCH({"clinical covariates","includes stage"},$H60&amp;"|")))&gt;0,"Low",IF(TRIM(LOWER($H60))="no","High","Moderate"))</f>
        <v>Low</v>
      </c>
      <c r="O60" s="9" t="str">
        <f t="shared" si="2"/>
        <v>Low</v>
      </c>
      <c r="P60" s="10" t="str">
        <f t="shared" si="3"/>
        <v>Moderate</v>
      </c>
      <c r="Q60" s="9" t="str">
        <f t="shared" si="4"/>
        <v>Yes</v>
      </c>
      <c r="R60" s="9" t="str">
        <f t="shared" si="5"/>
        <v>Unclear</v>
      </c>
      <c r="S60" s="9" t="str">
        <f t="shared" si="6"/>
        <v>Low</v>
      </c>
      <c r="T60" s="9" t="str">
        <f t="shared" si="7"/>
        <v>Low</v>
      </c>
      <c r="U60" s="9" t="str">
        <f t="shared" si="8"/>
        <v>Unclear</v>
      </c>
      <c r="V60" s="10" t="str">
        <f t="shared" si="9"/>
        <v>Unclear</v>
      </c>
      <c r="W60" s="9" t="str">
        <f>IF(SUMPRODUCT(--ISNUMBER(SEARCH({"IHC","proteom","qPCR","RT-PCR","serum","circulating","Histopathology"},$E60&amp;"|")))&gt;0,"Low concern (assay clinically deployable)","High concern (research-grade multi-omics)")</f>
        <v>Low concern (assay clinically deployable)</v>
      </c>
      <c r="X60" s="9" t="str">
        <f t="shared" si="10"/>
        <v/>
      </c>
      <c r="Y60" s="11">
        <f t="shared" si="11"/>
        <v>160</v>
      </c>
      <c r="Z60" s="11" t="str">
        <f>IF(SUMPRODUCT(--ISNUMBER(SEARCH({"no external","no ext"},$I60&amp;"|")))&gt;0,IF(ISNUMBER(SEARCH("partial",$I60)),"Internal/partial","None"),IF(TRIM(LOWER($I60))="no","None",IF(ISNUMBER(SEARCH("partial",$I60)),"Internal/partial",IF(SUMPRODUCT(--ISNUMBER(SEARCH({"external","GEO","GSE","ICGC","CPTAC","multi-cohort","multi-level","multicenter","trial","TCGA","clinical cohort"},$I60&amp;"|")))&gt;0,"External",IF(SUMPRODUCT(--ISNUMBER(SEARCH({"internal","limited","only"},$I60&amp;"|")))&gt;0,"Internal/partial","Unclear")))))</f>
        <v>External</v>
      </c>
      <c r="AA60" s="11">
        <f>IF(SUMPRODUCT(--ISNUMBER(SEARCH({"risk score","model","nomogram","signature","clustering","classifier","classification","LASSO","RSF"},$G60&amp;"|")))&gt;0,1,0)</f>
        <v>1</v>
      </c>
      <c r="AB60" s="11" t="str">
        <f t="shared" si="12"/>
        <v>160 (TCGA) + 101 (ICGC)</v>
      </c>
      <c r="AC60" s="11" t="str">
        <f>IF(ISNUMBER(SEARCH("liquid biopsy",$D60)),"Liquid-biopsy markers",IF(SUMPRODUCT(--ISNUMBER(SEARCH({"multi-gene","multi-protein"},$D60&amp;"|")))&gt;0,"Multi-gene / multi-protein signatures",IF(SUMPRODUCT(--ISNUMBER(SEARCH({"single gene","single-gene","single protein","single biomarker"},$D60&amp;"|")))&gt;0,"Single-gene / single-protein markers",IF(LOWER(TRIM($D60))="protein","Single-gene / single-protein markers","Pathway, epigenetic, multi-modal &amp; histopathologic markers"))))</f>
        <v>Multi-gene / multi-protein signatures</v>
      </c>
    </row>
    <row r="62" spans="1:29" ht="15.6" x14ac:dyDescent="0.3">
      <c r="A62" s="12" t="s">
        <v>33</v>
      </c>
    </row>
    <row r="63" spans="1:29" ht="46.05" customHeight="1" x14ac:dyDescent="0.3">
      <c r="A63" s="13" t="s">
        <v>32</v>
      </c>
      <c r="B63" s="13"/>
      <c r="C63" s="5" t="s">
        <v>34</v>
      </c>
      <c r="D63" s="5" t="s">
        <v>35</v>
      </c>
      <c r="E63" s="5" t="s">
        <v>36</v>
      </c>
      <c r="F63" s="13" t="s">
        <v>37</v>
      </c>
      <c r="G63" s="13"/>
      <c r="H63" s="5" t="s">
        <v>38</v>
      </c>
      <c r="I63" s="5" t="s">
        <v>39</v>
      </c>
      <c r="J63" s="5" t="s">
        <v>40</v>
      </c>
      <c r="K63" s="5" t="s">
        <v>41</v>
      </c>
      <c r="L63" s="5" t="s">
        <v>42</v>
      </c>
      <c r="M63" s="5" t="s">
        <v>43</v>
      </c>
      <c r="N63" s="5" t="s">
        <v>44</v>
      </c>
      <c r="O63" s="5" t="s">
        <v>45</v>
      </c>
      <c r="P63" s="13" t="s">
        <v>46</v>
      </c>
      <c r="Q63" s="13"/>
      <c r="R63" s="13"/>
      <c r="S63" s="13"/>
      <c r="T63" s="13"/>
      <c r="U63" s="13"/>
      <c r="V63" s="13"/>
      <c r="W63" s="13"/>
      <c r="X63" s="13"/>
    </row>
    <row r="64" spans="1:29" ht="169.95" customHeight="1" x14ac:dyDescent="0.3">
      <c r="A64" s="14" t="s">
        <v>47</v>
      </c>
      <c r="B64" s="15"/>
      <c r="C64" s="9" t="s">
        <v>48</v>
      </c>
      <c r="D64" s="9">
        <f>COUNTIF($AC$4:$AC$60,$A64)</f>
        <v>45</v>
      </c>
      <c r="E64" s="9">
        <f>SUMIF($AC$4:$AC$60,$A64,$Y$4:$Y$60)</f>
        <v>7240</v>
      </c>
      <c r="F64" s="15" t="s">
        <v>49</v>
      </c>
      <c r="G64" s="15"/>
      <c r="H64" s="9" t="s">
        <v>50</v>
      </c>
      <c r="I64" s="16">
        <f>IF(COUNTIFS($AC$4:$AC$60,$A64,$P$4:$P$60,"High")/$D64&gt;=0.5,-2,IF(COUNTIFS($AC$4:$AC$60,$A64,$P$4:$P$60,"High")&gt;0,-1,IF(COUNTIFS($AC$4:$AC$60,$A64,$P$4:$P$60,"Moderate")&gt;0,-1,0)))</f>
        <v>-1</v>
      </c>
      <c r="J64" s="17">
        <v>-1</v>
      </c>
      <c r="K64" s="17">
        <v>0</v>
      </c>
      <c r="L64" s="17">
        <v>-1</v>
      </c>
      <c r="M64" s="17">
        <v>-1</v>
      </c>
      <c r="N64" s="16">
        <f>SUM($I64:$M64)</f>
        <v>-4</v>
      </c>
      <c r="O64" s="18" t="str">
        <f>CHOOSE(MIN(4,MAX(1,1-$N64)),"High","Moderate","Low","Very low")</f>
        <v>Very low</v>
      </c>
      <c r="P64" s="15" t="s">
        <v>51</v>
      </c>
      <c r="Q64" s="15"/>
      <c r="R64" s="15"/>
      <c r="S64" s="15"/>
      <c r="T64" s="15"/>
      <c r="U64" s="15"/>
      <c r="V64" s="15"/>
      <c r="W64" s="15"/>
      <c r="X64" s="15"/>
    </row>
    <row r="65" spans="1:24" ht="169.95" customHeight="1" x14ac:dyDescent="0.3">
      <c r="A65" s="14" t="s">
        <v>52</v>
      </c>
      <c r="B65" s="15"/>
      <c r="C65" s="9" t="s">
        <v>48</v>
      </c>
      <c r="D65" s="9">
        <f>COUNTIF($AC$4:$AC$60,$A65)</f>
        <v>10</v>
      </c>
      <c r="E65" s="9">
        <f>SUMIF($AC$4:$AC$60,$A65,$Y$4:$Y$60)</f>
        <v>447</v>
      </c>
      <c r="F65" s="15" t="s">
        <v>53</v>
      </c>
      <c r="G65" s="15"/>
      <c r="H65" s="9" t="s">
        <v>50</v>
      </c>
      <c r="I65" s="16">
        <f>IF(COUNTIFS($AC$4:$AC$60,$A65,$P$4:$P$60,"High")/$D65&gt;=0.5,-2,IF(COUNTIFS($AC$4:$AC$60,$A65,$P$4:$P$60,"High")&gt;0,-1,IF(COUNTIFS($AC$4:$AC$60,$A65,$P$4:$P$60,"Moderate")&gt;0,-1,0)))</f>
        <v>-2</v>
      </c>
      <c r="J65" s="17">
        <v>-1</v>
      </c>
      <c r="K65" s="17">
        <v>0</v>
      </c>
      <c r="L65" s="17">
        <v>-1</v>
      </c>
      <c r="M65" s="17">
        <v>-1</v>
      </c>
      <c r="N65" s="16">
        <f>SUM($I65:$M65)</f>
        <v>-5</v>
      </c>
      <c r="O65" s="18" t="str">
        <f>CHOOSE(MIN(4,MAX(1,1-$N65)),"High","Moderate","Low","Very low")</f>
        <v>Very low</v>
      </c>
      <c r="P65" s="15" t="s">
        <v>54</v>
      </c>
      <c r="Q65" s="15"/>
      <c r="R65" s="15"/>
      <c r="S65" s="15"/>
      <c r="T65" s="15"/>
      <c r="U65" s="15"/>
      <c r="V65" s="15"/>
      <c r="W65" s="15"/>
      <c r="X65" s="15"/>
    </row>
    <row r="66" spans="1:24" ht="169.95" customHeight="1" x14ac:dyDescent="0.3">
      <c r="A66" s="14" t="s">
        <v>55</v>
      </c>
      <c r="B66" s="15"/>
      <c r="C66" s="9" t="s">
        <v>56</v>
      </c>
      <c r="D66" s="9">
        <f>COUNTIF($AC$4:$AC$60,$A66)</f>
        <v>2</v>
      </c>
      <c r="E66" s="9">
        <f>SUMIF($AC$4:$AC$60,$A66,$Y$4:$Y$60)</f>
        <v>25</v>
      </c>
      <c r="F66" s="15" t="s">
        <v>57</v>
      </c>
      <c r="G66" s="15"/>
      <c r="H66" s="9" t="s">
        <v>50</v>
      </c>
      <c r="I66" s="16">
        <f>IF(COUNTIFS($AC$4:$AC$60,$A66,$P$4:$P$60,"High")/$D66&gt;=0.5,-2,IF(COUNTIFS($AC$4:$AC$60,$A66,$P$4:$P$60,"High")&gt;0,-1,IF(COUNTIFS($AC$4:$AC$60,$A66,$P$4:$P$60,"Moderate")&gt;0,-1,0)))</f>
        <v>-2</v>
      </c>
      <c r="J66" s="17">
        <v>-1</v>
      </c>
      <c r="K66" s="17">
        <v>0</v>
      </c>
      <c r="L66" s="17">
        <v>-1</v>
      </c>
      <c r="M66" s="17">
        <v>-1</v>
      </c>
      <c r="N66" s="16">
        <f>SUM($I66:$M66)</f>
        <v>-5</v>
      </c>
      <c r="O66" s="18" t="str">
        <f>CHOOSE(MIN(4,MAX(1,1-$N66)),"High","Moderate","Low","Very low")</f>
        <v>Very low</v>
      </c>
      <c r="P66" s="15" t="s">
        <v>58</v>
      </c>
      <c r="Q66" s="15"/>
      <c r="R66" s="15"/>
      <c r="S66" s="15"/>
      <c r="T66" s="15"/>
      <c r="U66" s="15"/>
      <c r="V66" s="15"/>
      <c r="W66" s="15"/>
      <c r="X66" s="15"/>
    </row>
    <row r="67" spans="1:24" ht="169.95" customHeight="1" x14ac:dyDescent="0.3">
      <c r="A67" s="14" t="s">
        <v>59</v>
      </c>
      <c r="B67" s="15"/>
      <c r="C67" s="9" t="s">
        <v>60</v>
      </c>
      <c r="D67" s="9">
        <f>$C$101</f>
        <v>14</v>
      </c>
      <c r="E67" s="9">
        <f>$C$102</f>
        <v>930</v>
      </c>
      <c r="F67" s="15" t="s">
        <v>61</v>
      </c>
      <c r="G67" s="15"/>
      <c r="H67" s="9" t="s">
        <v>62</v>
      </c>
      <c r="I67" s="16">
        <f>IF(COUNTIF($P$82:$P$95,"Critical")/$D67&gt;=0.5,-2,IF(COUNTIF($P$82:$P$95,"Critical")+COUNTIF($P$82:$P$95,"High")&gt;0,-1,0))</f>
        <v>-2</v>
      </c>
      <c r="J67" s="17">
        <v>-1</v>
      </c>
      <c r="K67" s="17">
        <v>-2</v>
      </c>
      <c r="L67" s="17">
        <v>-2</v>
      </c>
      <c r="M67" s="17">
        <v>-1</v>
      </c>
      <c r="N67" s="16">
        <f>SUM($I67:$M67)</f>
        <v>-8</v>
      </c>
      <c r="O67" s="18" t="str">
        <f>CHOOSE(MIN(4,MAX(1,1-$N67)),"High","Moderate","Low","Very low")</f>
        <v>Very low</v>
      </c>
      <c r="P67" s="15" t="s">
        <v>63</v>
      </c>
      <c r="Q67" s="15"/>
      <c r="R67" s="15"/>
      <c r="S67" s="15"/>
      <c r="T67" s="15"/>
      <c r="U67" s="15"/>
      <c r="V67" s="15"/>
      <c r="W67" s="15"/>
      <c r="X67" s="15"/>
    </row>
    <row r="68" spans="1:24" x14ac:dyDescent="0.3">
      <c r="A68" s="19" t="s">
        <v>64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</row>
    <row r="69" spans="1:24" x14ac:dyDescent="0.3">
      <c r="A69" s="21" t="s">
        <v>65</v>
      </c>
    </row>
    <row r="70" spans="1:24" ht="15.6" x14ac:dyDescent="0.3">
      <c r="A70" s="12" t="s">
        <v>66</v>
      </c>
    </row>
    <row r="71" spans="1:24" ht="31.95" customHeight="1" x14ac:dyDescent="0.3">
      <c r="A71" s="13" t="s">
        <v>67</v>
      </c>
      <c r="B71" s="13"/>
      <c r="C71" s="5" t="s">
        <v>68</v>
      </c>
      <c r="D71" s="5" t="s">
        <v>69</v>
      </c>
    </row>
    <row r="72" spans="1:24" x14ac:dyDescent="0.3">
      <c r="A72" s="22" t="s">
        <v>70</v>
      </c>
      <c r="B72" s="23"/>
      <c r="C72" s="24">
        <f>COUNTIF($P$4:$P$60,"Low")</f>
        <v>0</v>
      </c>
      <c r="D72" s="24">
        <f>COUNTIF($V$4:$V$60,"Low")</f>
        <v>0</v>
      </c>
    </row>
    <row r="73" spans="1:24" x14ac:dyDescent="0.3">
      <c r="A73" s="25" t="s">
        <v>71</v>
      </c>
      <c r="B73" s="23"/>
      <c r="C73" s="24">
        <f>COUNTIF($P$4:$P$60,"Moderate")</f>
        <v>29</v>
      </c>
      <c r="D73" s="24">
        <f>COUNTIF($V$4:$V$60,"Unclear")</f>
        <v>25</v>
      </c>
    </row>
    <row r="74" spans="1:24" x14ac:dyDescent="0.3">
      <c r="A74" s="26" t="s">
        <v>72</v>
      </c>
      <c r="B74" s="23"/>
      <c r="C74" s="24">
        <f>COUNTIF($P$4:$P$60,"High")</f>
        <v>28</v>
      </c>
      <c r="D74" s="24">
        <f>COUNTIF($V$4:$V$60,"High")</f>
        <v>21</v>
      </c>
    </row>
    <row r="75" spans="1:24" x14ac:dyDescent="0.3">
      <c r="A75" s="23" t="s">
        <v>73</v>
      </c>
      <c r="B75" s="23"/>
      <c r="C75" s="24" t="s">
        <v>74</v>
      </c>
      <c r="D75" s="24">
        <f>COUNTIF($V$4:$V$60,"n/a")</f>
        <v>11</v>
      </c>
    </row>
    <row r="76" spans="1:24" x14ac:dyDescent="0.3">
      <c r="A76" s="27" t="s">
        <v>75</v>
      </c>
      <c r="B76" s="27"/>
      <c r="C76" s="28">
        <f>SUM($C$72:$C$74)</f>
        <v>57</v>
      </c>
      <c r="D76" s="28">
        <f>SUM($D$72:$D$75)</f>
        <v>57</v>
      </c>
    </row>
    <row r="78" spans="1:24" ht="15.6" x14ac:dyDescent="0.3">
      <c r="A78" s="12" t="s">
        <v>76</v>
      </c>
    </row>
    <row r="79" spans="1:24" x14ac:dyDescent="0.3">
      <c r="A79" s="19" t="s">
        <v>77</v>
      </c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</row>
    <row r="81" spans="1:25" ht="52.05" customHeight="1" x14ac:dyDescent="0.3">
      <c r="A81" s="13" t="s">
        <v>78</v>
      </c>
      <c r="B81" s="13"/>
      <c r="C81" s="5" t="s">
        <v>79</v>
      </c>
      <c r="D81" s="5" t="s">
        <v>9</v>
      </c>
      <c r="E81" s="13" t="s">
        <v>80</v>
      </c>
      <c r="F81" s="13"/>
      <c r="G81" s="5" t="s">
        <v>81</v>
      </c>
      <c r="H81" s="5" t="s">
        <v>82</v>
      </c>
      <c r="I81" s="5" t="s">
        <v>83</v>
      </c>
      <c r="J81" s="5" t="s">
        <v>84</v>
      </c>
      <c r="K81" s="5" t="s">
        <v>85</v>
      </c>
      <c r="L81" s="5" t="s">
        <v>86</v>
      </c>
      <c r="M81" s="5" t="s">
        <v>87</v>
      </c>
      <c r="N81" s="5" t="s">
        <v>16</v>
      </c>
      <c r="O81" s="5" t="s">
        <v>88</v>
      </c>
      <c r="P81" s="5" t="s">
        <v>89</v>
      </c>
      <c r="Q81" s="5" t="s">
        <v>90</v>
      </c>
      <c r="R81" s="13" t="s">
        <v>91</v>
      </c>
      <c r="S81" s="13"/>
      <c r="T81" s="13" t="s">
        <v>92</v>
      </c>
      <c r="U81" s="13"/>
      <c r="V81" s="13"/>
      <c r="W81" s="13"/>
      <c r="X81" s="13"/>
      <c r="Y81" s="6" t="s">
        <v>93</v>
      </c>
    </row>
    <row r="82" spans="1:25" ht="94.95" customHeight="1" x14ac:dyDescent="0.3">
      <c r="A82" s="29" t="str">
        <f>'[1]Data extraction clinical.gov'!A2</f>
        <v>NCT01726582</v>
      </c>
      <c r="B82" s="29"/>
      <c r="C82" s="8" t="str">
        <f>'[1]Data extraction clinical.gov'!B2</f>
        <v>Single-arm</v>
      </c>
      <c r="D82" s="8">
        <f>'[1]Data extraction clinical.gov'!C2</f>
        <v>130</v>
      </c>
      <c r="E82" s="29" t="str">
        <f>'[1]Data extraction clinical.gov'!D2</f>
        <v>Personalized periop (chemo/CRT/surgery)</v>
      </c>
      <c r="F82" s="29"/>
      <c r="G82" s="8" t="str">
        <f>'[1]Data extraction clinical.gov'!E2</f>
        <v>Resectable/Borderline</v>
      </c>
      <c r="H82" s="8" t="str">
        <f>'[1]Data extraction clinical.gov'!F2</f>
        <v>Completion to surgery (feasibility)</v>
      </c>
      <c r="I82" s="8" t="str">
        <f>'[1]Data extraction clinical.gov'!G2</f>
        <v>108/130 (83.1%)</v>
      </c>
      <c r="J82" s="9" t="str">
        <f t="shared" ref="J82:J95" si="13">IF(ISNUMBER(SEARCH("non-randomi",$C82)),"ROBINS-I",IF(ISNUMBER(SEARCH("randomi",$C82)),"RoB 2","ROBINS-I"))</f>
        <v>ROBINS-I</v>
      </c>
      <c r="K82" s="30" t="s">
        <v>94</v>
      </c>
      <c r="L82" s="30" t="s">
        <v>95</v>
      </c>
      <c r="M82" s="30" t="s">
        <v>96</v>
      </c>
      <c r="N82" s="30" t="s">
        <v>95</v>
      </c>
      <c r="O82" s="30" t="s">
        <v>96</v>
      </c>
      <c r="P82" s="10" t="str">
        <f t="shared" ref="P82:P95" si="14">IF(COUNTIF($K82:$O82,"Critical")&gt;0,"Critical",IF(COUNTIF($K82:$O82,"Serious")&gt;0,"Serious",IF(COUNTIF($K82:$O82,"High")&gt;0,"High",IF(COUNTIF($K82:$O82,"Some concerns")&gt;0,"Some concerns",IF(COUNTIF($K82:$O82,"Moderate")&gt;0,"Moderate","Low")))))</f>
        <v>Critical</v>
      </c>
      <c r="Q82" s="9" t="str">
        <f t="shared" ref="Q82:Q95" si="15">IF(ISNUMBER(SEARCH("non-randomi",$C82)),"No (single-arm / non-randomised)",IF(ISNUMBER(SEARCH("randomi",$C82)),"Yes","No (single-arm)"))</f>
        <v>No (single-arm)</v>
      </c>
      <c r="R82" s="15" t="s">
        <v>97</v>
      </c>
      <c r="S82" s="15"/>
      <c r="T82" s="29" t="str">
        <f>'[1]Data extraction clinical.gov'!J2</f>
        <v>Single-arm
Feasibility endpoint
Selection bias (resected)
Heterogeneous treatment
No comparator
No HR</v>
      </c>
      <c r="U82" s="29"/>
      <c r="V82" s="29"/>
      <c r="W82" s="29"/>
      <c r="X82" s="29"/>
      <c r="Y82" s="9">
        <v>130</v>
      </c>
    </row>
    <row r="83" spans="1:25" ht="94.95" customHeight="1" x14ac:dyDescent="0.3">
      <c r="A83" s="29" t="str">
        <f>'[1]Data extraction clinical.gov'!A3</f>
        <v>NCT00536874</v>
      </c>
      <c r="B83" s="29"/>
      <c r="C83" s="8" t="str">
        <f>'[1]Data extraction clinical.gov'!B3</f>
        <v>Single-arm</v>
      </c>
      <c r="D83" s="8">
        <f>'[1]Data extraction clinical.gov'!C3</f>
        <v>35</v>
      </c>
      <c r="E83" s="29" t="str">
        <f>'[1]Data extraction clinical.gov'!D3</f>
        <v>Gemcitabine + Oxaliplatin (neoadjuvant)</v>
      </c>
      <c r="F83" s="29"/>
      <c r="G83" s="8" t="str">
        <f>'[1]Data extraction clinical.gov'!E3</f>
        <v>Resectable</v>
      </c>
      <c r="H83" s="8" t="str">
        <f>'[1]Data extraction clinical.gov'!F3</f>
        <v>OS rate (18 mo)</v>
      </c>
      <c r="I83" s="8" t="str">
        <f>'[1]Data extraction clinical.gov'!G3</f>
        <v>63% (45–76)</v>
      </c>
      <c r="J83" s="9" t="str">
        <f t="shared" si="13"/>
        <v>ROBINS-I</v>
      </c>
      <c r="K83" s="30" t="s">
        <v>94</v>
      </c>
      <c r="L83" s="30" t="s">
        <v>96</v>
      </c>
      <c r="M83" s="30" t="s">
        <v>96</v>
      </c>
      <c r="N83" s="30" t="s">
        <v>95</v>
      </c>
      <c r="O83" s="30" t="s">
        <v>96</v>
      </c>
      <c r="P83" s="10" t="str">
        <f t="shared" si="14"/>
        <v>Critical</v>
      </c>
      <c r="Q83" s="9" t="str">
        <f t="shared" si="15"/>
        <v>No (single-arm)</v>
      </c>
      <c r="R83" s="15" t="s">
        <v>98</v>
      </c>
      <c r="S83" s="15"/>
      <c r="T83" s="29" t="str">
        <f>'[1]Data extraction clinical.gov'!J3</f>
        <v>Single-arm
Small N (35)
OS rate (no HR)
Resectable-only (selection bias)
No comparator</v>
      </c>
      <c r="U83" s="29"/>
      <c r="V83" s="29"/>
      <c r="W83" s="29"/>
      <c r="X83" s="29"/>
      <c r="Y83" s="9">
        <v>35</v>
      </c>
    </row>
    <row r="84" spans="1:25" ht="94.95" customHeight="1" x14ac:dyDescent="0.3">
      <c r="A84" s="29" t="str">
        <f>'[1]Data extraction clinical.gov'!A4</f>
        <v>NCT01926197</v>
      </c>
      <c r="B84" s="29"/>
      <c r="C84" s="8" t="str">
        <f>'[1]Data extraction clinical.gov'!B4</f>
        <v>Randomized</v>
      </c>
      <c r="D84" s="8" t="str">
        <f>'[1]Data extraction clinical.gov'!C4</f>
        <v>13/12</v>
      </c>
      <c r="E84" s="29" t="str">
        <f>'[1]Data extraction clinical.gov'!D4</f>
        <v>mFOLFIRINOX vs mFOLFIRINOX+SBRT</v>
      </c>
      <c r="F84" s="29"/>
      <c r="G84" s="8" t="str">
        <f>'[1]Data extraction clinical.gov'!E4</f>
        <v>Locally advanced (unresectable)</v>
      </c>
      <c r="H84" s="8" t="str">
        <f>'[1]Data extraction clinical.gov'!F4</f>
        <v>PFS (median)</v>
      </c>
      <c r="I84" s="8" t="str">
        <f>'[1]Data extraction clinical.gov'!G4</f>
        <v>6.5 vs 8.4 mo</v>
      </c>
      <c r="J84" s="9" t="str">
        <f t="shared" si="13"/>
        <v>RoB 2</v>
      </c>
      <c r="K84" s="30" t="s">
        <v>99</v>
      </c>
      <c r="L84" s="30" t="s">
        <v>99</v>
      </c>
      <c r="M84" s="30" t="s">
        <v>99</v>
      </c>
      <c r="N84" s="30" t="s">
        <v>99</v>
      </c>
      <c r="O84" s="30" t="s">
        <v>100</v>
      </c>
      <c r="P84" s="10" t="str">
        <f t="shared" si="14"/>
        <v>High</v>
      </c>
      <c r="Q84" s="9" t="str">
        <f t="shared" si="15"/>
        <v>Yes</v>
      </c>
      <c r="R84" s="15" t="s">
        <v>101</v>
      </c>
      <c r="S84" s="15"/>
      <c r="T84" s="29" t="str">
        <f>'[1]Data extraction clinical.gov'!J4</f>
        <v>Small sample (n=25)
No HR / p-values
High variability
Event-based toxicity
Limited generalizability</v>
      </c>
      <c r="U84" s="29"/>
      <c r="V84" s="29"/>
      <c r="W84" s="29"/>
      <c r="X84" s="29"/>
      <c r="Y84" s="9">
        <v>25</v>
      </c>
    </row>
    <row r="85" spans="1:25" ht="94.95" customHeight="1" x14ac:dyDescent="0.3">
      <c r="A85" s="29" t="str">
        <f>'[1]Data extraction clinical.gov'!A5</f>
        <v>NCT00810719</v>
      </c>
      <c r="B85" s="29"/>
      <c r="C85" s="8" t="str">
        <f>'[1]Data extraction clinical.gov'!B5</f>
        <v>Single-arm</v>
      </c>
      <c r="D85" s="8">
        <f>'[1]Data extraction clinical.gov'!C5</f>
        <v>30</v>
      </c>
      <c r="E85" s="29" t="str">
        <f>'[1]Data extraction clinical.gov'!D5</f>
        <v>Gemcitabine + Erlotinib</v>
      </c>
      <c r="F85" s="29"/>
      <c r="G85" s="8" t="str">
        <f>'[1]Data extraction clinical.gov'!E5</f>
        <v>Advanced/Metastatic</v>
      </c>
      <c r="H85" s="8" t="str">
        <f>'[1]Data extraction clinical.gov'!F5</f>
        <v>PFS (median)</v>
      </c>
      <c r="I85" s="8" t="str">
        <f>'[1]Data extraction clinical.gov'!G5</f>
        <v>2.07 mo (1.87–5.50)</v>
      </c>
      <c r="J85" s="9" t="str">
        <f t="shared" si="13"/>
        <v>ROBINS-I</v>
      </c>
      <c r="K85" s="30" t="s">
        <v>94</v>
      </c>
      <c r="L85" s="30" t="s">
        <v>96</v>
      </c>
      <c r="M85" s="30" t="s">
        <v>96</v>
      </c>
      <c r="N85" s="30" t="s">
        <v>96</v>
      </c>
      <c r="O85" s="30" t="s">
        <v>96</v>
      </c>
      <c r="P85" s="10" t="str">
        <f t="shared" si="14"/>
        <v>Critical</v>
      </c>
      <c r="Q85" s="9" t="str">
        <f t="shared" si="15"/>
        <v>No (single-arm)</v>
      </c>
      <c r="R85" s="15" t="s">
        <v>101</v>
      </c>
      <c r="S85" s="15"/>
      <c r="T85" s="29" t="str">
        <f>'[1]Data extraction clinical.gov'!J5</f>
        <v>Single-arm
Small N (30)
Advanced disease (poor prognosis)
No comparator
Low PFS / OS</v>
      </c>
      <c r="U85" s="29"/>
      <c r="V85" s="29"/>
      <c r="W85" s="29"/>
      <c r="X85" s="29"/>
      <c r="Y85" s="9">
        <v>30</v>
      </c>
    </row>
    <row r="86" spans="1:25" ht="94.95" customHeight="1" x14ac:dyDescent="0.3">
      <c r="A86" s="29" t="str">
        <f>'[1]Data extraction clinical.gov'!A6</f>
        <v>NCT00769483</v>
      </c>
      <c r="B86" s="29"/>
      <c r="C86" s="8" t="str">
        <f>'[1]Data extraction clinical.gov'!B6</f>
        <v>Phase I/II, non-randomized, multi-arm</v>
      </c>
      <c r="D86" s="8" t="str">
        <f>'[1]Data extraction clinical.gov'!C6</f>
        <v>~15/arm</v>
      </c>
      <c r="E86" s="29" t="str">
        <f>'[1]Data extraction clinical.gov'!D6</f>
        <v>MK-0646 + Gem ± Erlotinib</v>
      </c>
      <c r="F86" s="29"/>
      <c r="G86" s="8" t="str">
        <f>'[1]Data extraction clinical.gov'!E6</f>
        <v>Stage IV (metastatic)</v>
      </c>
      <c r="H86" s="8" t="str">
        <f>'[1]Data extraction clinical.gov'!F6</f>
        <v>MTD + PFS (time to progression/death)</v>
      </c>
      <c r="I86" s="8" t="str">
        <f>'[1]Data extraction clinical.gov'!G6</f>
        <v>MTD: 10 mg/kg (Gem), 5 mg/kg (Gem+Erl); PFS: ~1.8–2.0 mo</v>
      </c>
      <c r="J86" s="9" t="str">
        <f t="shared" si="13"/>
        <v>ROBINS-I</v>
      </c>
      <c r="K86" s="30" t="s">
        <v>94</v>
      </c>
      <c r="L86" s="30" t="s">
        <v>95</v>
      </c>
      <c r="M86" s="30" t="s">
        <v>95</v>
      </c>
      <c r="N86" s="30" t="s">
        <v>96</v>
      </c>
      <c r="O86" s="30" t="s">
        <v>95</v>
      </c>
      <c r="P86" s="10" t="str">
        <f t="shared" si="14"/>
        <v>Critical</v>
      </c>
      <c r="Q86" s="9" t="str">
        <f t="shared" si="15"/>
        <v>No (single-arm / non-randomised)</v>
      </c>
      <c r="R86" s="15" t="s">
        <v>102</v>
      </c>
      <c r="S86" s="15"/>
      <c r="T86" s="29" t="str">
        <f>'[1]Data extraction clinical.gov'!J6</f>
        <v>Small sample size (n≈15/arm)
Phase I/II design (exploratory)
No powered comparison
Metastatic population (poor prognosis baseline)
Very low PFS (~2 mo)
No biomarker-driven selection (despite IGF axis target)
Missing biomarker correlation data</v>
      </c>
      <c r="U86" s="29"/>
      <c r="V86" s="29"/>
      <c r="W86" s="29"/>
      <c r="X86" s="29"/>
      <c r="Y86" s="9">
        <v>45</v>
      </c>
    </row>
    <row r="87" spans="1:25" ht="94.95" customHeight="1" x14ac:dyDescent="0.3">
      <c r="A87" s="29" t="str">
        <f>'[1]Data extraction clinical.gov'!A7</f>
        <v>NCT00365144</v>
      </c>
      <c r="B87" s="29"/>
      <c r="C87" s="8" t="str">
        <f>'[1]Data extraction clinical.gov'!B7</f>
        <v>Single-arm</v>
      </c>
      <c r="D87" s="8">
        <f>'[1]Data extraction clinical.gov'!C7</f>
        <v>36</v>
      </c>
      <c r="E87" s="29" t="str">
        <f>'[1]Data extraction clinical.gov'!D7</f>
        <v>Bevacizumab + Erlotinib</v>
      </c>
      <c r="F87" s="29"/>
      <c r="G87" s="8" t="str">
        <f>'[1]Data extraction clinical.gov'!E7</f>
        <v>Metastatic, gemcitabine-refractory</v>
      </c>
      <c r="H87" s="8" t="str">
        <f>'[1]Data extraction clinical.gov'!F7</f>
        <v>OS rate (6 mo) + safety</v>
      </c>
      <c r="I87" s="8" t="str">
        <f>'[1]Data extraction clinical.gov'!G7</f>
        <v>8/36 (22.2%)</v>
      </c>
      <c r="J87" s="9" t="str">
        <f t="shared" si="13"/>
        <v>ROBINS-I</v>
      </c>
      <c r="K87" s="30" t="s">
        <v>94</v>
      </c>
      <c r="L87" s="30" t="s">
        <v>96</v>
      </c>
      <c r="M87" s="30" t="s">
        <v>96</v>
      </c>
      <c r="N87" s="30" t="s">
        <v>95</v>
      </c>
      <c r="O87" s="30" t="s">
        <v>96</v>
      </c>
      <c r="P87" s="10" t="str">
        <f t="shared" si="14"/>
        <v>Critical</v>
      </c>
      <c r="Q87" s="9" t="str">
        <f t="shared" si="15"/>
        <v>No (single-arm)</v>
      </c>
      <c r="R87" s="15" t="s">
        <v>103</v>
      </c>
      <c r="S87" s="15"/>
      <c r="T87" s="29" t="str">
        <f>'[1]Data extraction clinical.gov'!J7</f>
        <v>Single-arm
Heavily pretreated / refractory population
No comparator
Dual primary outcome structure
Small sample
TTP reported in days, όχι HR
Toxicity reported mostly as counts, όχι always standardized patient-level severity summary</v>
      </c>
      <c r="U87" s="29"/>
      <c r="V87" s="29"/>
      <c r="W87" s="29"/>
      <c r="X87" s="29"/>
      <c r="Y87" s="9">
        <v>36</v>
      </c>
    </row>
    <row r="88" spans="1:25" ht="94.95" customHeight="1" x14ac:dyDescent="0.3">
      <c r="A88" s="29" t="str">
        <f>'[1]Data extraction clinical.gov'!A8</f>
        <v>NCT00550836</v>
      </c>
      <c r="B88" s="29"/>
      <c r="C88" s="8" t="str">
        <f>'[1]Data extraction clinical.gov'!B8</f>
        <v>Randomized</v>
      </c>
      <c r="D88" s="8" t="str">
        <f>'[1]Data extraction clinical.gov'!C8</f>
        <v>46 / 46</v>
      </c>
      <c r="E88" s="29" t="str">
        <f>'[1]Data extraction clinical.gov'!D8</f>
        <v>Gemcitabine+Erlotinib vs +Panitumumab</v>
      </c>
      <c r="F88" s="29"/>
      <c r="G88" s="8" t="str">
        <f>'[1]Data extraction clinical.gov'!E8</f>
        <v>Metastatic</v>
      </c>
      <c r="H88" s="8" t="str">
        <f>'[1]Data extraction clinical.gov'!F8</f>
        <v>OS (median; Arm B vs Arm A)</v>
      </c>
      <c r="I88" s="8" t="str">
        <f>'[1]Data extraction clinical.gov'!G8</f>
        <v>4.2 vs 8.3 mo; p=0.36</v>
      </c>
      <c r="J88" s="9" t="str">
        <f t="shared" si="13"/>
        <v>RoB 2</v>
      </c>
      <c r="K88" s="30" t="s">
        <v>99</v>
      </c>
      <c r="L88" s="30" t="s">
        <v>99</v>
      </c>
      <c r="M88" s="30" t="s">
        <v>104</v>
      </c>
      <c r="N88" s="30" t="s">
        <v>99</v>
      </c>
      <c r="O88" s="30" t="s">
        <v>104</v>
      </c>
      <c r="P88" s="10" t="str">
        <f t="shared" si="14"/>
        <v>Some concerns</v>
      </c>
      <c r="Q88" s="9" t="str">
        <f t="shared" si="15"/>
        <v>Yes</v>
      </c>
      <c r="R88" s="15" t="s">
        <v>101</v>
      </c>
      <c r="S88" s="15"/>
      <c r="T88" s="29" t="str">
        <f>'[1]Data extraction clinical.gov'!J8</f>
        <v>Small phase II sample
Open-label
No HR reported
Wide uncertainty around medians
High toxicity burden in both arms
ORR did not improve despite numerically longer OS/PFS in Arm B</v>
      </c>
      <c r="U88" s="29"/>
      <c r="V88" s="29"/>
      <c r="W88" s="29"/>
      <c r="X88" s="29"/>
      <c r="Y88" s="9">
        <v>92</v>
      </c>
    </row>
    <row r="89" spans="1:25" ht="94.95" customHeight="1" x14ac:dyDescent="0.3">
      <c r="A89" s="29" t="str">
        <f>'[1]Data extraction clinical.gov'!A9</f>
        <v>NCT03941093</v>
      </c>
      <c r="B89" s="29"/>
      <c r="C89" s="8" t="str">
        <f>'[1]Data extraction clinical.gov'!B9</f>
        <v>Randomized, double-blind</v>
      </c>
      <c r="D89" s="8" t="str">
        <f>'[1]Data extraction clinical.gov'!C9</f>
        <v>143 / 141</v>
      </c>
      <c r="E89" s="29" t="str">
        <f>'[1]Data extraction clinical.gov'!D9</f>
        <v>Pamrevlumab + G/nab-P or FOLFIRINOX vs Placebo + G/nab-P or FOLFIRINOX</v>
      </c>
      <c r="F89" s="29"/>
      <c r="G89" s="8" t="str">
        <f>'[1]Data extraction clinical.gov'!E9</f>
        <v>Locally advanced unresectable</v>
      </c>
      <c r="H89" s="8" t="str">
        <f>'[1]Data extraction clinical.gov'!F9</f>
        <v>OS</v>
      </c>
      <c r="I89" s="8" t="str">
        <f>'[1]Data extraction clinical.gov'!G9</f>
        <v>17.25 vs 17.94 mo; HR 1.08 (0.83–1.41); p=0.5487</v>
      </c>
      <c r="J89" s="9" t="str">
        <f t="shared" si="13"/>
        <v>RoB 2</v>
      </c>
      <c r="K89" s="30" t="s">
        <v>104</v>
      </c>
      <c r="L89" s="30" t="s">
        <v>104</v>
      </c>
      <c r="M89" s="30" t="s">
        <v>104</v>
      </c>
      <c r="N89" s="30" t="s">
        <v>104</v>
      </c>
      <c r="O89" s="30" t="s">
        <v>99</v>
      </c>
      <c r="P89" s="10" t="str">
        <f t="shared" si="14"/>
        <v>Some concerns</v>
      </c>
      <c r="Q89" s="9" t="str">
        <f t="shared" si="15"/>
        <v>Yes</v>
      </c>
      <c r="R89" s="15" t="s">
        <v>101</v>
      </c>
      <c r="S89" s="15"/>
      <c r="T89" s="29" t="str">
        <f>'[1]Data extraction clinical.gov'!J9</f>
        <v>Mixed backbone chemotherapy (G/nab-P or FOLFIRINOX)
Composite EFS endpoint
ORR registry formatting bug
No efficacy signal despite large sample
Unresectable-only population, so limited generalizability outside LAPC</v>
      </c>
      <c r="U89" s="29"/>
      <c r="V89" s="29"/>
      <c r="W89" s="29"/>
      <c r="X89" s="29"/>
      <c r="Y89" s="9">
        <v>284</v>
      </c>
    </row>
    <row r="90" spans="1:25" ht="94.95" customHeight="1" x14ac:dyDescent="0.3">
      <c r="A90" s="29" t="str">
        <f>'[1]Data extraction clinical.gov'!A10</f>
        <v>NCT00408564</v>
      </c>
      <c r="B90" s="29"/>
      <c r="C90" s="8" t="str">
        <f>'[1]Data extraction clinical.gov'!B10</f>
        <v>Single-arm</v>
      </c>
      <c r="D90" s="8" t="str">
        <f>'[1]Data extraction clinical.gov'!C10</f>
        <v>38–39</v>
      </c>
      <c r="E90" s="29" t="str">
        <f>'[1]Data extraction clinical.gov'!D10</f>
        <v>Gemcitabine + Oxaliplatin + Cetuximab → reassessment → surgery or RT/capecitabine</v>
      </c>
      <c r="F90" s="29"/>
      <c r="G90" s="8" t="str">
        <f>'[1]Data extraction clinical.gov'!E10</f>
        <v>Locally advanced unresectable, nonmetastatic</v>
      </c>
      <c r="H90" s="8" t="str">
        <f>'[1]Data extraction clinical.gov'!F10</f>
        <v>PFS rate at 6 mo</v>
      </c>
      <c r="I90" s="8" t="str">
        <f>'[1]Data extraction clinical.gov'!G10</f>
        <v>82% (70–95)</v>
      </c>
      <c r="J90" s="9" t="str">
        <f t="shared" si="13"/>
        <v>ROBINS-I</v>
      </c>
      <c r="K90" s="30" t="s">
        <v>94</v>
      </c>
      <c r="L90" s="30" t="s">
        <v>95</v>
      </c>
      <c r="M90" s="30" t="s">
        <v>95</v>
      </c>
      <c r="N90" s="30" t="s">
        <v>95</v>
      </c>
      <c r="O90" s="30" t="s">
        <v>95</v>
      </c>
      <c r="P90" s="10" t="str">
        <f t="shared" si="14"/>
        <v>Critical</v>
      </c>
      <c r="Q90" s="9" t="str">
        <f t="shared" si="15"/>
        <v>No (single-arm)</v>
      </c>
      <c r="R90" s="15" t="s">
        <v>101</v>
      </c>
      <c r="S90" s="15"/>
      <c r="T90" s="29" t="str">
        <f>'[1]Data extraction clinical.gov'!J10</f>
        <v>Single-arm
No comparator
Primary endpoint based on time-point proportion, όχι HR/median PFS
Different analyzed N across endpoints (38 vs 39)
ORR registry formatting bug
Response duration and CA19-9 endpoints not collected
Multimodality pathway after induction adds heterogeneity</v>
      </c>
      <c r="U90" s="29"/>
      <c r="V90" s="29"/>
      <c r="W90" s="29"/>
      <c r="X90" s="29"/>
      <c r="Y90" s="9">
        <v>39</v>
      </c>
    </row>
    <row r="91" spans="1:25" ht="94.95" customHeight="1" x14ac:dyDescent="0.3">
      <c r="A91" s="29" t="str">
        <f>'[1]Data extraction clinical.gov'!A11</f>
        <v>NCT00521404</v>
      </c>
      <c r="B91" s="29"/>
      <c r="C91" s="8" t="str">
        <f>'[1]Data extraction clinical.gov'!B11</f>
        <v>Single-arm</v>
      </c>
      <c r="D91" s="8">
        <f>'[1]Data extraction clinical.gov'!C11</f>
        <v>61</v>
      </c>
      <c r="E91" s="29" t="str">
        <f>'[1]Data extraction clinical.gov'!D11</f>
        <v>CS-1008 (anti-DR5) + gemcitabine</v>
      </c>
      <c r="F91" s="29"/>
      <c r="G91" s="8" t="str">
        <f>'[1]Data extraction clinical.gov'!E11</f>
        <v>Unresectable / metastatic (chemo-naïve)</v>
      </c>
      <c r="H91" s="8" t="str">
        <f>'[1]Data extraction clinical.gov'!F11</f>
        <v>PFS rate at 16 weeks</v>
      </c>
      <c r="I91" s="8" t="str">
        <f>'[1]Data extraction clinical.gov'!G11</f>
        <v>52.5% (39.3–64.1)</v>
      </c>
      <c r="J91" s="9" t="str">
        <f t="shared" si="13"/>
        <v>ROBINS-I</v>
      </c>
      <c r="K91" s="30" t="s">
        <v>94</v>
      </c>
      <c r="L91" s="30" t="s">
        <v>96</v>
      </c>
      <c r="M91" s="30" t="s">
        <v>95</v>
      </c>
      <c r="N91" s="30" t="s">
        <v>95</v>
      </c>
      <c r="O91" s="30" t="s">
        <v>95</v>
      </c>
      <c r="P91" s="10" t="str">
        <f t="shared" si="14"/>
        <v>Critical</v>
      </c>
      <c r="Q91" s="9" t="str">
        <f t="shared" si="15"/>
        <v>No (single-arm)</v>
      </c>
      <c r="R91" s="15" t="s">
        <v>101</v>
      </c>
      <c r="S91" s="15"/>
      <c r="T91" s="29" t="str">
        <f>'[1]Data extraction clinical.gov'!J11</f>
        <v>Single-arm (no comparator)
Time-point endpoint (not median PFS ή HR)
Per-protocol analysis (selection bias)
High “unknown response” (~18%)
Registry data inconsistencies (major formatting errors)
Mixed population (resectable + metastatic in eligibility αλλά τελικά unresectable/metastatic analyzed)</v>
      </c>
      <c r="U91" s="29"/>
      <c r="V91" s="29"/>
      <c r="W91" s="29"/>
      <c r="X91" s="29"/>
      <c r="Y91" s="9">
        <v>61</v>
      </c>
    </row>
    <row r="92" spans="1:25" ht="94.95" customHeight="1" x14ac:dyDescent="0.3">
      <c r="A92" s="29" t="str">
        <f>'[1]Data extraction clinical.gov'!A12</f>
        <v>NCT00417976</v>
      </c>
      <c r="B92" s="29"/>
      <c r="C92" s="8" t="str">
        <f>'[1]Data extraction clinical.gov'!B12</f>
        <v>Single-arm</v>
      </c>
      <c r="D92" s="8" t="str">
        <f>'[1]Data extraction clinical.gov'!C12</f>
        <v>39–40</v>
      </c>
      <c r="E92" s="29" t="str">
        <f>'[1]Data extraction clinical.gov'!D12</f>
        <v>Bevacizumab + Gemcitabine + infusional 5-FU</v>
      </c>
      <c r="F92" s="29"/>
      <c r="G92" s="8" t="str">
        <f>'[1]Data extraction clinical.gov'!E12</f>
        <v>Stage III–IV</v>
      </c>
      <c r="H92" s="8" t="str">
        <f>'[1]Data extraction clinical.gov'!F12</f>
        <v>PFS rate at 6 mo</v>
      </c>
      <c r="I92" s="8">
        <f>'[1]Data extraction clinical.gov'!G12</f>
        <v>0.49</v>
      </c>
      <c r="J92" s="9" t="str">
        <f t="shared" si="13"/>
        <v>ROBINS-I</v>
      </c>
      <c r="K92" s="30" t="s">
        <v>94</v>
      </c>
      <c r="L92" s="30" t="s">
        <v>96</v>
      </c>
      <c r="M92" s="30" t="s">
        <v>95</v>
      </c>
      <c r="N92" s="30" t="s">
        <v>95</v>
      </c>
      <c r="O92" s="30" t="s">
        <v>95</v>
      </c>
      <c r="P92" s="10" t="str">
        <f t="shared" si="14"/>
        <v>Critical</v>
      </c>
      <c r="Q92" s="9" t="str">
        <f t="shared" si="15"/>
        <v>No (single-arm)</v>
      </c>
      <c r="R92" s="15" t="s">
        <v>101</v>
      </c>
      <c r="S92" s="15"/>
      <c r="T92" s="29" t="str">
        <f>'[1]Data extraction clinical.gov'!J12</f>
        <v>Single-arm (no comparator)
No CI for primary endpoint 
No OS / median PFS reported
Small sample size
Mixed stage (III + IV → heterogeneity)
No biomarker stratification</v>
      </c>
      <c r="U92" s="29"/>
      <c r="V92" s="29"/>
      <c r="W92" s="29"/>
      <c r="X92" s="29"/>
      <c r="Y92" s="9">
        <v>40</v>
      </c>
    </row>
    <row r="93" spans="1:25" ht="94.95" customHeight="1" x14ac:dyDescent="0.3">
      <c r="A93" s="29" t="str">
        <f>'[1]Data extraction clinical.gov'!A13</f>
        <v>NCT00499486</v>
      </c>
      <c r="B93" s="29"/>
      <c r="C93" s="8" t="str">
        <f>'[1]Data extraction clinical.gov'!B13</f>
        <v>Single-arm</v>
      </c>
      <c r="D93" s="8">
        <f>'[1]Data extraction clinical.gov'!C13</f>
        <v>31</v>
      </c>
      <c r="E93" s="29" t="str">
        <f>'[1]Data extraction clinical.gov'!D13</f>
        <v>Sirolimus monotherapy</v>
      </c>
      <c r="F93" s="29"/>
      <c r="G93" s="8" t="str">
        <f>'[1]Data extraction clinical.gov'!E13</f>
        <v>Advanced PDAC, post-gemcitabine (refractory)</v>
      </c>
      <c r="H93" s="8" t="str">
        <f>'[1]Data extraction clinical.gov'!F13</f>
        <v>OS rate at 6 months</v>
      </c>
      <c r="I93" s="8">
        <f>'[1]Data extraction clinical.gov'!G13</f>
        <v>0.26</v>
      </c>
      <c r="J93" s="9" t="str">
        <f t="shared" si="13"/>
        <v>ROBINS-I</v>
      </c>
      <c r="K93" s="30" t="s">
        <v>94</v>
      </c>
      <c r="L93" s="30" t="s">
        <v>96</v>
      </c>
      <c r="M93" s="30" t="s">
        <v>96</v>
      </c>
      <c r="N93" s="30" t="s">
        <v>95</v>
      </c>
      <c r="O93" s="30" t="s">
        <v>96</v>
      </c>
      <c r="P93" s="10" t="str">
        <f t="shared" si="14"/>
        <v>Critical</v>
      </c>
      <c r="Q93" s="9" t="str">
        <f t="shared" si="15"/>
        <v>No (single-arm)</v>
      </c>
      <c r="R93" s="15" t="s">
        <v>101</v>
      </c>
      <c r="S93" s="15"/>
      <c r="T93" s="29" t="str">
        <f>'[1]Data extraction clinical.gov'!J13</f>
        <v>Single-arm
Small sample (n=31)
Gemcitabine-refractory → worst prognosis group
Selection bias (ECOG 0–1)</v>
      </c>
      <c r="U93" s="29"/>
      <c r="V93" s="29"/>
      <c r="W93" s="29"/>
      <c r="X93" s="29"/>
      <c r="Y93" s="9">
        <v>31</v>
      </c>
    </row>
    <row r="94" spans="1:25" ht="94.95" customHeight="1" x14ac:dyDescent="0.3">
      <c r="A94" s="29" t="str">
        <f>'[1]Data extraction clinical.gov'!A14</f>
        <v>NCT01560949</v>
      </c>
      <c r="B94" s="29"/>
      <c r="C94" s="8" t="str">
        <f>'[1]Data extraction clinical.gov'!B14</f>
        <v>Single-arm</v>
      </c>
      <c r="D94" s="8">
        <f>'[1]Data extraction clinical.gov'!C14</f>
        <v>33</v>
      </c>
      <c r="E94" s="29" t="str">
        <f>'[1]Data extraction clinical.gov'!D14</f>
        <v>mFOLFIRINOX → gemcitabine-based CRT → surgery</v>
      </c>
      <c r="F94" s="29"/>
      <c r="G94" s="8" t="str">
        <f>'[1]Data extraction clinical.gov'!E14</f>
        <v>Borderline resectable / high-risk resectable</v>
      </c>
      <c r="H94" s="8" t="str">
        <f>'[1]Data extraction clinical.gov'!F14</f>
        <v>Resectability rate</v>
      </c>
      <c r="I94" s="8" t="str">
        <f>'[1]Data extraction clinical.gov'!G14</f>
        <v>15/33 (45.5%)</v>
      </c>
      <c r="J94" s="9" t="str">
        <f t="shared" si="13"/>
        <v>ROBINS-I</v>
      </c>
      <c r="K94" s="30" t="s">
        <v>94</v>
      </c>
      <c r="L94" s="30" t="s">
        <v>95</v>
      </c>
      <c r="M94" s="30" t="s">
        <v>95</v>
      </c>
      <c r="N94" s="30" t="s">
        <v>95</v>
      </c>
      <c r="O94" s="30" t="s">
        <v>95</v>
      </c>
      <c r="P94" s="10" t="str">
        <f t="shared" si="14"/>
        <v>Critical</v>
      </c>
      <c r="Q94" s="9" t="str">
        <f t="shared" si="15"/>
        <v>No (single-arm)</v>
      </c>
      <c r="R94" s="15" t="s">
        <v>105</v>
      </c>
      <c r="S94" s="15"/>
      <c r="T94" s="29" t="str">
        <f>'[1]Data extraction clinical.gov'!J14</f>
        <v>Single-arm
Registry percentage/count formatting errors
Small sample
Mixed high-risk resectable + borderline resectable population
Survival and recurrence strongly influenced by post-selection to surgery
DFS CI not estimable at upper bound</v>
      </c>
      <c r="U94" s="29"/>
      <c r="V94" s="29"/>
      <c r="W94" s="29"/>
      <c r="X94" s="29"/>
      <c r="Y94" s="9">
        <v>33</v>
      </c>
    </row>
    <row r="95" spans="1:25" ht="94.95" customHeight="1" x14ac:dyDescent="0.3">
      <c r="A95" s="29" t="str">
        <f>'[1]Data extraction clinical.gov'!A15</f>
        <v>NCT01146054</v>
      </c>
      <c r="B95" s="29"/>
      <c r="C95" s="8" t="str">
        <f>'[1]Data extraction clinical.gov'!B15</f>
        <v>Single-arm</v>
      </c>
      <c r="D95" s="8">
        <f>'[1]Data extraction clinical.gov'!C15</f>
        <v>49</v>
      </c>
      <c r="E95" s="29" t="str">
        <f>'[1]Data extraction clinical.gov'!D15</f>
        <v>SBRT + Gemcitabine</v>
      </c>
      <c r="F95" s="29"/>
      <c r="G95" s="8" t="str">
        <f>'[1]Data extraction clinical.gov'!E15</f>
        <v>Locally advanced unresectable, nonmetastatic</v>
      </c>
      <c r="H95" s="8" t="str">
        <f>'[1]Data extraction clinical.gov'!F15</f>
        <v>Late GI toxicity ≥Grade 2 at 1 year</v>
      </c>
      <c r="I95" s="8" t="str">
        <f>'[1]Data extraction clinical.gov'!G15</f>
        <v>5/49 (10.2%)</v>
      </c>
      <c r="J95" s="9" t="str">
        <f t="shared" si="13"/>
        <v>ROBINS-I</v>
      </c>
      <c r="K95" s="30" t="s">
        <v>94</v>
      </c>
      <c r="L95" s="30" t="s">
        <v>95</v>
      </c>
      <c r="M95" s="30" t="s">
        <v>96</v>
      </c>
      <c r="N95" s="30" t="s">
        <v>95</v>
      </c>
      <c r="O95" s="30" t="s">
        <v>96</v>
      </c>
      <c r="P95" s="10" t="str">
        <f t="shared" si="14"/>
        <v>Critical</v>
      </c>
      <c r="Q95" s="9" t="str">
        <f t="shared" si="15"/>
        <v>No (single-arm)</v>
      </c>
      <c r="R95" s="15" t="s">
        <v>106</v>
      </c>
      <c r="S95" s="15"/>
      <c r="T95" s="29" t="str">
        <f>'[1]Data extraction clinical.gov'!J15</f>
        <v>Single-arm
No comparator
Primary endpoint is safety, not efficacy
Toxicity reported as counts, not full comparative risk framework
Locally advanced-only population
Good local control metric (FFLP) but no direct comparator for systemic outcomes</v>
      </c>
      <c r="U95" s="29"/>
      <c r="V95" s="29"/>
      <c r="W95" s="29"/>
      <c r="X95" s="29"/>
      <c r="Y95" s="9">
        <v>49</v>
      </c>
    </row>
    <row r="97" spans="1:3" x14ac:dyDescent="0.3">
      <c r="A97" s="27" t="s">
        <v>107</v>
      </c>
      <c r="B97" s="27"/>
      <c r="C97" s="31"/>
    </row>
    <row r="98" spans="1:3" x14ac:dyDescent="0.3">
      <c r="A98" s="23" t="s">
        <v>108</v>
      </c>
      <c r="B98" s="23"/>
      <c r="C98" s="24">
        <f>COUNTIF($P$82:$P$95,"Critical")</f>
        <v>11</v>
      </c>
    </row>
    <row r="99" spans="1:3" x14ac:dyDescent="0.3">
      <c r="A99" s="23" t="s">
        <v>109</v>
      </c>
      <c r="B99" s="23"/>
      <c r="C99" s="24">
        <f>COUNTIF($P$82:$P$95,"High")</f>
        <v>1</v>
      </c>
    </row>
    <row r="100" spans="1:3" x14ac:dyDescent="0.3">
      <c r="A100" s="23" t="s">
        <v>110</v>
      </c>
      <c r="B100" s="23"/>
      <c r="C100" s="24">
        <f>COUNTIF($P$82:$P$95,"Some concerns")</f>
        <v>2</v>
      </c>
    </row>
    <row r="101" spans="1:3" x14ac:dyDescent="0.3">
      <c r="A101" s="27" t="s">
        <v>111</v>
      </c>
      <c r="B101" s="27"/>
      <c r="C101" s="28">
        <f>SUM($C$98:$C$100)</f>
        <v>14</v>
      </c>
    </row>
    <row r="102" spans="1:3" x14ac:dyDescent="0.3">
      <c r="A102" s="27" t="s">
        <v>112</v>
      </c>
      <c r="B102" s="27"/>
      <c r="C102" s="28">
        <f>SUM($Y$82:$Y$95)</f>
        <v>930</v>
      </c>
    </row>
  </sheetData>
  <mergeCells count="89">
    <mergeCell ref="A97:B97"/>
    <mergeCell ref="A98:B98"/>
    <mergeCell ref="A99:B99"/>
    <mergeCell ref="A100:B100"/>
    <mergeCell ref="A101:B101"/>
    <mergeCell ref="A102:B102"/>
    <mergeCell ref="A94:B94"/>
    <mergeCell ref="E94:F94"/>
    <mergeCell ref="R94:S94"/>
    <mergeCell ref="T94:X94"/>
    <mergeCell ref="A95:B95"/>
    <mergeCell ref="E95:F95"/>
    <mergeCell ref="R95:S95"/>
    <mergeCell ref="T95:X95"/>
    <mergeCell ref="A92:B92"/>
    <mergeCell ref="E92:F92"/>
    <mergeCell ref="R92:S92"/>
    <mergeCell ref="T92:X92"/>
    <mergeCell ref="A93:B93"/>
    <mergeCell ref="E93:F93"/>
    <mergeCell ref="R93:S93"/>
    <mergeCell ref="T93:X93"/>
    <mergeCell ref="A90:B90"/>
    <mergeCell ref="E90:F90"/>
    <mergeCell ref="R90:S90"/>
    <mergeCell ref="T90:X90"/>
    <mergeCell ref="A91:B91"/>
    <mergeCell ref="E91:F91"/>
    <mergeCell ref="R91:S91"/>
    <mergeCell ref="T91:X91"/>
    <mergeCell ref="A88:B88"/>
    <mergeCell ref="E88:F88"/>
    <mergeCell ref="R88:S88"/>
    <mergeCell ref="T88:X88"/>
    <mergeCell ref="A89:B89"/>
    <mergeCell ref="E89:F89"/>
    <mergeCell ref="R89:S89"/>
    <mergeCell ref="T89:X89"/>
    <mergeCell ref="A86:B86"/>
    <mergeCell ref="E86:F86"/>
    <mergeCell ref="R86:S86"/>
    <mergeCell ref="T86:X86"/>
    <mergeCell ref="A87:B87"/>
    <mergeCell ref="E87:F87"/>
    <mergeCell ref="R87:S87"/>
    <mergeCell ref="T87:X87"/>
    <mergeCell ref="A84:B84"/>
    <mergeCell ref="E84:F84"/>
    <mergeCell ref="R84:S84"/>
    <mergeCell ref="T84:X84"/>
    <mergeCell ref="A85:B85"/>
    <mergeCell ref="E85:F85"/>
    <mergeCell ref="R85:S85"/>
    <mergeCell ref="T85:X85"/>
    <mergeCell ref="A82:B82"/>
    <mergeCell ref="E82:F82"/>
    <mergeCell ref="R82:S82"/>
    <mergeCell ref="T82:X82"/>
    <mergeCell ref="A83:B83"/>
    <mergeCell ref="E83:F83"/>
    <mergeCell ref="R83:S83"/>
    <mergeCell ref="T83:X83"/>
    <mergeCell ref="A73:B73"/>
    <mergeCell ref="A74:B74"/>
    <mergeCell ref="A75:B75"/>
    <mergeCell ref="A76:B76"/>
    <mergeCell ref="A79:X79"/>
    <mergeCell ref="A81:B81"/>
    <mergeCell ref="E81:F81"/>
    <mergeCell ref="R81:S81"/>
    <mergeCell ref="T81:X81"/>
    <mergeCell ref="A67:B67"/>
    <mergeCell ref="F67:G67"/>
    <mergeCell ref="P67:X67"/>
    <mergeCell ref="A68:X68"/>
    <mergeCell ref="A71:B71"/>
    <mergeCell ref="A72:B72"/>
    <mergeCell ref="A65:B65"/>
    <mergeCell ref="F65:G65"/>
    <mergeCell ref="P65:X65"/>
    <mergeCell ref="A66:B66"/>
    <mergeCell ref="F66:G66"/>
    <mergeCell ref="P66:X66"/>
    <mergeCell ref="A63:B63"/>
    <mergeCell ref="F63:G63"/>
    <mergeCell ref="P63:X63"/>
    <mergeCell ref="A64:B64"/>
    <mergeCell ref="F64:G64"/>
    <mergeCell ref="P64:X64"/>
  </mergeCells>
  <conditionalFormatting sqref="J4:V60">
    <cfRule type="containsText" dxfId="17" priority="1" operator="containsText" text="High">
      <formula>NOT(ISERROR(SEARCH("High",J4)))</formula>
    </cfRule>
    <cfRule type="containsText" dxfId="16" priority="2" operator="containsText" text="Moderate">
      <formula>NOT(ISERROR(SEARCH("Moderate",J4)))</formula>
    </cfRule>
    <cfRule type="containsText" dxfId="15" priority="3" operator="containsText" text="Low">
      <formula>NOT(ISERROR(SEARCH("Low",J4)))</formula>
    </cfRule>
    <cfRule type="containsText" dxfId="14" priority="4" operator="containsText" text="Very low">
      <formula>NOT(ISERROR(SEARCH("Very low",J4)))</formula>
    </cfRule>
  </conditionalFormatting>
  <conditionalFormatting sqref="K82:P95">
    <cfRule type="containsText" dxfId="13" priority="9" operator="containsText" text="Critical">
      <formula>NOT(ISERROR(SEARCH("Critical",K82)))</formula>
    </cfRule>
    <cfRule type="containsText" dxfId="12" priority="10" operator="containsText" text="Serious">
      <formula>NOT(ISERROR(SEARCH("Serious",K82)))</formula>
    </cfRule>
    <cfRule type="containsText" dxfId="11" priority="11" operator="containsText" text="High">
      <formula>NOT(ISERROR(SEARCH("High",K82)))</formula>
    </cfRule>
    <cfRule type="containsText" dxfId="10" priority="12" operator="containsText" text="Some concerns">
      <formula>NOT(ISERROR(SEARCH("Some concerns",K82)))</formula>
    </cfRule>
    <cfRule type="containsText" dxfId="9" priority="13" operator="containsText" text="Moderate">
      <formula>NOT(ISERROR(SEARCH("Moderate",K82)))</formula>
    </cfRule>
    <cfRule type="containsText" dxfId="8" priority="14" operator="containsText" text="Low">
      <formula>NOT(ISERROR(SEARCH("Low",K82)))</formula>
    </cfRule>
  </conditionalFormatting>
  <conditionalFormatting sqref="O64:O67">
    <cfRule type="containsText" dxfId="7" priority="5" operator="containsText" text="Very low">
      <formula>NOT(ISERROR(SEARCH("Very low",O64)))</formula>
    </cfRule>
    <cfRule type="containsText" dxfId="6" priority="6" operator="containsText" text="High">
      <formula>NOT(ISERROR(SEARCH("High",O64)))</formula>
    </cfRule>
    <cfRule type="containsText" dxfId="5" priority="7" operator="containsText" text="Moderate">
      <formula>NOT(ISERROR(SEARCH("Moderate",O64)))</formula>
    </cfRule>
    <cfRule type="containsText" dxfId="4" priority="8" operator="containsText" text="Low">
      <formula>NOT(ISERROR(SEARCH("Low",O64)))</formula>
    </cfRule>
  </conditionalFormatting>
  <conditionalFormatting sqref="O67">
    <cfRule type="containsText" dxfId="3" priority="15" operator="containsText" text="Very low">
      <formula>NOT(ISERROR(SEARCH("Very low",O67)))</formula>
    </cfRule>
    <cfRule type="containsText" dxfId="2" priority="16" operator="containsText" text="High">
      <formula>NOT(ISERROR(SEARCH("High",O67)))</formula>
    </cfRule>
    <cfRule type="containsText" dxfId="1" priority="17" operator="containsText" text="Moderate">
      <formula>NOT(ISERROR(SEARCH("Moderate",O67)))</formula>
    </cfRule>
    <cfRule type="containsText" dxfId="0" priority="18" operator="containsText" text="Low">
      <formula>NOT(ISERROR(SEARCH("Low",O67)))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RoB &amp; 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Vassiliki Tarara</dc:creator>
  <cp:lastModifiedBy>Vassiliki Tarara</cp:lastModifiedBy>
  <dcterms:created xsi:type="dcterms:W3CDTF">2026-10-01T16:23:17Z</dcterms:created>
  <dcterms:modified xsi:type="dcterms:W3CDTF">2026-10-01T16:24:04Z</dcterms:modified>
</cp:coreProperties>
</file>