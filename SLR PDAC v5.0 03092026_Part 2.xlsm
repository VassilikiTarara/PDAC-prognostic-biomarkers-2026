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persons/person1.xml" ContentType="application/vnd.ms-excel.person+xml"/>
  <Override PartName="/xl/persons/person2.xml" ContentType="application/vnd.ms-excel.person+xml"/>
  <Override PartName="/xl/persons/person0.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1ED2BDFB-DF81-4C2A-853E-C083D05293D9}" xr6:coauthVersionLast="47" xr6:coauthVersionMax="47" xr10:uidLastSave="{00000000-0000-0000-0000-000000000000}"/>
  <bookViews>
    <workbookView xWindow="28692" yWindow="-108" windowWidth="29016" windowHeight="15696" tabRatio="839" firstSheet="1" activeTab="1" xr2:uid="{F59202BE-E279-4C5F-B4CE-3552F1A80E46}"/>
  </bookViews>
  <sheets>
    <sheet name="LAB data" sheetId="54" state="hidden" r:id="rId1"/>
    <sheet name="EXTERNAL VALIDATION " sheetId="33" r:id="rId2"/>
    <sheet name="cohort_summary" sheetId="36" r:id="rId3"/>
    <sheet name="GSE71729_validation_dataset" sheetId="37" r:id="rId4"/>
    <sheet name="signature_coefficients" sheetId="38" r:id="rId5"/>
    <sheet name="survival_results" sheetId="48" r:id="rId6"/>
    <sheet name="cox_univariable" sheetId="40" r:id="rId7"/>
    <sheet name="cox_median_split" sheetId="41" r:id="rId8"/>
    <sheet name="cox_multivariable" sheetId="42" r:id="rId9"/>
    <sheet name="km_medians" sheetId="43" r:id="rId10"/>
    <sheet name="logrank_test" sheetId="44" r:id="rId11"/>
    <sheet name="model_performance (2)" sheetId="39" r:id="rId12"/>
    <sheet name="signature_expression" sheetId="47" r:id="rId13"/>
    <sheet name="expression_wide" sheetId="45" r:id="rId14"/>
    <sheet name="expression_long" sheetId="46" r:id="rId15"/>
    <sheet name="DATA-3 review list" sheetId="59" state="hidden" r:id="rId16"/>
  </sheets>
  <definedNames>
    <definedName name="_xlnm._FilterDatabase" localSheetId="2" hidden="1">cohort_summary!$A$1:$B$10</definedName>
    <definedName name="_xlnm._FilterDatabase" localSheetId="14" hidden="1">expression_long!$A$1:$G$626</definedName>
    <definedName name="_xlnm._FilterDatabase" localSheetId="0" hidden="1">'LAB data'!$A$1:$I$42</definedName>
    <definedName name="_xlnm._FilterDatabase" localSheetId="10" hidden="1">logrank_test!$A$1:$D$2</definedName>
  </definedNames>
  <calcPr calcId="191029"/>
</workbook>
</file>

<file path=xl/calcChain.xml><?xml version="1.0" encoding="utf-8"?>
<calcChain xmlns="http://schemas.openxmlformats.org/spreadsheetml/2006/main">
  <c r="S21" i="37" l="1"/>
  <c r="T21" i="37" s="1"/>
  <c r="S20" i="37"/>
  <c r="T20" i="37" s="1"/>
  <c r="S19" i="37"/>
  <c r="T19" i="37" s="1"/>
  <c r="S18" i="37"/>
  <c r="T18" i="37" s="1"/>
  <c r="V21" i="37"/>
  <c r="U21" i="37"/>
  <c r="R21" i="37"/>
  <c r="Q21" i="37"/>
  <c r="V20" i="37"/>
  <c r="U20" i="37"/>
  <c r="R20" i="37"/>
  <c r="Q20" i="37"/>
  <c r="V19" i="37"/>
  <c r="U19" i="37"/>
  <c r="R19" i="37"/>
  <c r="Q19" i="37"/>
  <c r="V18" i="37"/>
  <c r="U18" i="37"/>
  <c r="R18" i="37"/>
  <c r="Q18" i="37"/>
  <c r="V17" i="37"/>
  <c r="U17" i="37"/>
  <c r="R17" i="37"/>
  <c r="Q17" i="37"/>
  <c r="P21" i="37"/>
  <c r="P20" i="37"/>
  <c r="P19" i="37"/>
  <c r="P18" i="37"/>
  <c r="P17" i="37"/>
  <c r="S13" i="37"/>
  <c r="S12" i="37"/>
  <c r="S11" i="37"/>
  <c r="S10" i="37"/>
  <c r="R9" i="37"/>
  <c r="Q9" i="37"/>
  <c r="R8" i="37"/>
  <c r="Q8" i="37"/>
  <c r="S8" i="37" s="1"/>
  <c r="R7" i="37"/>
  <c r="Q7" i="37"/>
  <c r="R6" i="37"/>
  <c r="Q6" i="37"/>
  <c r="R5" i="37"/>
  <c r="Q5" i="37"/>
  <c r="S17" i="37" l="1"/>
  <c r="T17"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G6" authorId="0" shapeId="0" xr:uid="{5AAFDD6F-595B-4AA9-8A0F-362D74235578}">
      <text>
        <r>
          <rPr>
            <b/>
            <sz val="9"/>
            <color indexed="81"/>
            <rFont val="Tahoma"/>
            <charset val="1"/>
          </rPr>
          <t xml:space="preserve">User: </t>
        </r>
        <r>
          <rPr>
            <sz val="8"/>
            <color indexed="81"/>
            <rFont val="Tahoma"/>
            <family val="2"/>
          </rPr>
          <t>bioinformatic analysis of patient/public datasets is not considered an in vivo experimental model</t>
        </r>
        <r>
          <rPr>
            <sz val="9"/>
            <color indexed="81"/>
            <rFont val="Tahoma"/>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6A5CF7-AA74-4F62-A7FD-16184A75EF69}" keepAlive="1" name="Query - GSM1843893_54018" description="Connection to the 'GSM1843893_54018' query in the workbook." type="5" refreshedVersion="8" background="1" saveData="1">
    <dbPr connection="Provider=Microsoft.Mashup.OleDb.1;Data Source=$Workbook$;Location=GSM1843893_54018;Extended Properties=&quot;&quot;" command="SELECT * FROM [GSM1843893_54018]"/>
  </connection>
</connections>
</file>

<file path=xl/sharedStrings.xml><?xml version="1.0" encoding="utf-8"?>
<sst xmlns="http://schemas.openxmlformats.org/spreadsheetml/2006/main" count="3429" uniqueCount="652">
  <si>
    <t>YES</t>
  </si>
  <si>
    <t>Year</t>
  </si>
  <si>
    <t>Biomarker</t>
  </si>
  <si>
    <t>Validation</t>
  </si>
  <si>
    <t>yes</t>
  </si>
  <si>
    <t>No</t>
  </si>
  <si>
    <t>Yes</t>
  </si>
  <si>
    <t>Proteomics</t>
  </si>
  <si>
    <t>178 in training (TCGA-PAAD)</t>
  </si>
  <si>
    <t>269 in merged TCGA-ICGC cohort</t>
  </si>
  <si>
    <t>177 TCGA PDAC used for model development</t>
  </si>
  <si>
    <t>Transcriptomics</t>
  </si>
  <si>
    <t>Six-gene mitophagy-related signature (PAPPA, NBPF12, CXCL11, CKLF-CMTM1, CCDC6, AHNAK)</t>
  </si>
  <si>
    <t>Not clearly reported</t>
  </si>
  <si>
    <t>178 PAAD cases with survival data (89 training, 89 testing)</t>
  </si>
  <si>
    <t>Transcriptomics (lncRNA-focused) + functional cell assays</t>
  </si>
  <si>
    <t>11-gene ITH-related prognostic signature</t>
  </si>
  <si>
    <t>315 for model/prognostic analyses</t>
  </si>
  <si>
    <t>Ferroptosis-related 3-gene signature (NOTCH2, KRT18, H1-2); key single biomarker: NOTCH2</t>
  </si>
  <si>
    <t>Single-cell RNA-seq + bulk RNA-seq</t>
  </si>
  <si>
    <t>353 after excluding incomplete clinical data</t>
  </si>
  <si>
    <t>Bulk transcriptomics (RNA-seq)</t>
  </si>
  <si>
    <t>18-gene immune-related prognostic signature; key highlighted gene: IL6R</t>
  </si>
  <si>
    <t>SERPINE1</t>
  </si>
  <si>
    <t>Bulk transcriptomics (RNA expression)</t>
  </si>
  <si>
    <t>6-gene PCD-related signature: ITGA3, CDCP1, IL1RAP, CLU, PBK, PLAU</t>
  </si>
  <si>
    <t>Proteomics, transcriptomics, mutation analysis</t>
  </si>
  <si>
    <t>KRAS protein level, KRAS mRNA expression, KRAS mutation status/subtype</t>
  </si>
  <si>
    <t>No external validation</t>
  </si>
  <si>
    <t>LCM cohort: n=20; IHC cohort: n=353; TCGA: n=177</t>
  </si>
  <si>
    <t>RAD51AP1 (DNA repair–associated protein)</t>
  </si>
  <si>
    <t>RAD51AP1 is tumor-specific, increases from normal → PanIN → PDAC, and correlates with aggressiveness, EMT, and metastasis</t>
  </si>
  <si>
    <t>Bulk transcriptomics + scRNA-seq + immunogenomics</t>
  </si>
  <si>
    <t>62,326 cells after QC; TCGA cohort used for modeling</t>
  </si>
  <si>
    <t>snRNA-seq + spatial transcriptomics + bulk RNA-seq</t>
  </si>
  <si>
    <t>Transcriptomics (RNA-seq)</t>
  </si>
  <si>
    <t>P4HA1; CCDC148; UCA1; TMPRSS11E + tumor stage</t>
  </si>
  <si>
    <t>4-gene + stage model stratifies PDAC survival effectively</t>
  </si>
  <si>
    <t>Partial validation only</t>
  </si>
  <si>
    <t>Genomics + transcriptomics (WGS + bulk RNA-seq)</t>
  </si>
  <si>
    <t>93 PDAC patients in primary IHC prognostic cohort</t>
  </si>
  <si>
    <t>PAUF (pancreatic adenocarcinoma upregulated factor; ZG16B-related protein product)</t>
  </si>
  <si>
    <t>178 patients (TCGA-PAAD primary cohort)</t>
  </si>
  <si>
    <t>Six BA-related prognostic genes: SERPINB5, CALU, TFRC, LY6D, SFRP1, GBP2</t>
  </si>
  <si>
    <t>Yes (internal + external dataset validation)</t>
  </si>
  <si>
    <t>178 patients (TCGA cohort)</t>
  </si>
  <si>
    <t>TIPARP (PARP7) expression</t>
  </si>
  <si>
    <t>Clinical cohort n=65; TCGA survival cohort n=143</t>
  </si>
  <si>
    <t>Tertiary lymphoid structures (TLS), specifically intratumoral TLS (iTLS)</t>
  </si>
  <si>
    <t>Training: TCGA-PAAD; Validation: PACA-CA &amp; PACA-AU</t>
  </si>
  <si>
    <t>Hypoxia score; 13-gene signature (LYZ, PLAU, INSIG2, KRTCAP2 etc.)</t>
  </si>
  <si>
    <t>YES → external validation (ICGC cohorts)</t>
  </si>
  <si>
    <t>Model predicts prognosis + immune suppression + drug resistance; KRTCAP2 key pan-cancer gene</t>
  </si>
  <si>
    <t>Discovery: TCGA; Validation: GEO + CPTAC</t>
  </si>
  <si>
    <t>scRNA-seq + bulk RNA-seq + machine learning</t>
  </si>
  <si>
    <t>SHCBP1, CEP55, GMNN, CDCA5, FAM111B (CSCLPI genes)</t>
  </si>
  <si>
    <t>YES (GEO + CPTAC)</t>
  </si>
  <si>
    <t>CSCLPI reflects CSC biology, prognosis, and therapy response</t>
  </si>
  <si>
    <t>Training: TCGA/GTEx; Validation: GEO</t>
  </si>
  <si>
    <t>Bulk RNA-seq / immunogenomic signature analysis</t>
  </si>
  <si>
    <t>23 ISGS-based features in RS model</t>
  </si>
  <si>
    <t>Subtype 1 had worse prognosis and higher TIDE; RS had moderate prognostic performance</t>
  </si>
  <si>
    <t>ST3GAL2, SLCO1B3, PTGES, PRKACA</t>
  </si>
  <si>
    <t>DCBLD2, OCIAD2, SAMD9</t>
  </si>
  <si>
    <t>LY6D (stem-like gastric-like cell state marker)</t>
  </si>
  <si>
    <t>Yes (strong multi-level validation)</t>
  </si>
  <si>
    <t>Yes (external validation across multiple GEO/TCGA cohorts)</t>
  </si>
  <si>
    <t>Partial validation</t>
  </si>
  <si>
    <t>BM-related gene signature (including LAMA3, ITGA3, ITGB6); SPP1+ TAMs</t>
  </si>
  <si>
    <t>Transcriptomics focused on cuproptosis-related lncRNAs</t>
  </si>
  <si>
    <t>Cuproptosis-related lncRNA prognostic model; key lncRNAs LINC00900 and AC078820.1</t>
  </si>
  <si>
    <t>N</t>
  </si>
  <si>
    <t>Zhang 2025</t>
  </si>
  <si>
    <t>Yu 2025</t>
  </si>
  <si>
    <t>Wang 2025</t>
  </si>
  <si>
    <t>Liu 2025</t>
  </si>
  <si>
    <t>Ge 2025</t>
  </si>
  <si>
    <t>Chen 2025</t>
  </si>
  <si>
    <t>SLC43A1</t>
  </si>
  <si>
    <t>SLC16A10</t>
  </si>
  <si>
    <t>PRSS3</t>
  </si>
  <si>
    <t>FKBP11</t>
  </si>
  <si>
    <t>AMY2B</t>
  </si>
  <si>
    <t>Gene</t>
  </si>
  <si>
    <t>CI_high</t>
  </si>
  <si>
    <t>CI_low</t>
  </si>
  <si>
    <t>HR</t>
  </si>
  <si>
    <t>Low</t>
  </si>
  <si>
    <t>High</t>
  </si>
  <si>
    <t>Concordance</t>
  </si>
  <si>
    <t>Model</t>
  </si>
  <si>
    <t>2</t>
  </si>
  <si>
    <t>3</t>
  </si>
  <si>
    <t>1</t>
  </si>
  <si>
    <t>41</t>
  </si>
  <si>
    <t>357</t>
  </si>
  <si>
    <t>Primary tumor tissue only</t>
  </si>
  <si>
    <t>63</t>
  </si>
  <si>
    <t>High-risk patients</t>
  </si>
  <si>
    <t>62</t>
  </si>
  <si>
    <t>Low-risk patients</t>
  </si>
  <si>
    <t>-0.455137</t>
  </si>
  <si>
    <t>Median risk score cutoff</t>
  </si>
  <si>
    <t>Censored</t>
  </si>
  <si>
    <t>84</t>
  </si>
  <si>
    <t>Events</t>
  </si>
  <si>
    <t>125</t>
  </si>
  <si>
    <t>Primary tumors with OS data</t>
  </si>
  <si>
    <t>Total GEO samples</t>
  </si>
  <si>
    <t>GSE71729</t>
  </si>
  <si>
    <t>GEO dataset</t>
  </si>
  <si>
    <t>Value</t>
  </si>
  <si>
    <t>Metric</t>
  </si>
  <si>
    <t>Primary</t>
  </si>
  <si>
    <t>Pancreas</t>
  </si>
  <si>
    <t>GSM1844249</t>
  </si>
  <si>
    <t>GSM1844241</t>
  </si>
  <si>
    <t>GSM1844240</t>
  </si>
  <si>
    <t>GSM1844239</t>
  </si>
  <si>
    <t>GSM1844238</t>
  </si>
  <si>
    <t>GSM1844237</t>
  </si>
  <si>
    <t>GSM1844236</t>
  </si>
  <si>
    <t>GSM1844235</t>
  </si>
  <si>
    <t>GSM1844234</t>
  </si>
  <si>
    <t>GSM1844233</t>
  </si>
  <si>
    <t>GSM1844232</t>
  </si>
  <si>
    <t>GSM1844231</t>
  </si>
  <si>
    <t>GSM1844230</t>
  </si>
  <si>
    <t>GSM1844229</t>
  </si>
  <si>
    <t>GSM1844228</t>
  </si>
  <si>
    <t>GSM1844227</t>
  </si>
  <si>
    <t>GSM1844226</t>
  </si>
  <si>
    <t>GSM1844225</t>
  </si>
  <si>
    <t>GSM1844224</t>
  </si>
  <si>
    <t>GSM1844223</t>
  </si>
  <si>
    <t>GSM1844222</t>
  </si>
  <si>
    <t>GSM1844221</t>
  </si>
  <si>
    <t>GSM1844220</t>
  </si>
  <si>
    <t>GSM1844219</t>
  </si>
  <si>
    <t>GSM1844218</t>
  </si>
  <si>
    <t>GSM1844217</t>
  </si>
  <si>
    <t>GSM1844216</t>
  </si>
  <si>
    <t>GSM1844215</t>
  </si>
  <si>
    <t>GSM1844214</t>
  </si>
  <si>
    <t>GSM1844213</t>
  </si>
  <si>
    <t>GSM1844212</t>
  </si>
  <si>
    <t>GSM1844211</t>
  </si>
  <si>
    <t>GSM1844210</t>
  </si>
  <si>
    <t>GSM1844209</t>
  </si>
  <si>
    <t>GSM1844208</t>
  </si>
  <si>
    <t>GSM1844207</t>
  </si>
  <si>
    <t>GSM1844206</t>
  </si>
  <si>
    <t>GSM1844205</t>
  </si>
  <si>
    <t>GSM1844204</t>
  </si>
  <si>
    <t>GSM1844203</t>
  </si>
  <si>
    <t>GSM1844202</t>
  </si>
  <si>
    <t>GSM1844201</t>
  </si>
  <si>
    <t>GSM1844200</t>
  </si>
  <si>
    <t>GSM1844199</t>
  </si>
  <si>
    <t>GSM1844198</t>
  </si>
  <si>
    <t>GSM1844196</t>
  </si>
  <si>
    <t>GSM1844194</t>
  </si>
  <si>
    <t>GSM1844193</t>
  </si>
  <si>
    <t>GSM1844192</t>
  </si>
  <si>
    <t>GSM1844191</t>
  </si>
  <si>
    <t>GSM1844190</t>
  </si>
  <si>
    <t>GSM1844189</t>
  </si>
  <si>
    <t>GSM1844188</t>
  </si>
  <si>
    <t>GSM1844187</t>
  </si>
  <si>
    <t>GSM1844186</t>
  </si>
  <si>
    <t>GSM1844185</t>
  </si>
  <si>
    <t>GSM1844182</t>
  </si>
  <si>
    <t>GSM1844181</t>
  </si>
  <si>
    <t>GSM1844180</t>
  </si>
  <si>
    <t>GSM1844179</t>
  </si>
  <si>
    <t>GSM1844178</t>
  </si>
  <si>
    <t>GSM1844177</t>
  </si>
  <si>
    <t>GSM1844175</t>
  </si>
  <si>
    <t>GSM1844174</t>
  </si>
  <si>
    <t>GSM1844173</t>
  </si>
  <si>
    <t>GSM1844172</t>
  </si>
  <si>
    <t>GSM1844171</t>
  </si>
  <si>
    <t>GSM1844170</t>
  </si>
  <si>
    <t>GSM1844169</t>
  </si>
  <si>
    <t>GSM1844168</t>
  </si>
  <si>
    <t>GSM1844167</t>
  </si>
  <si>
    <t>GSM1844166</t>
  </si>
  <si>
    <t>GSM1844165</t>
  </si>
  <si>
    <t>GSM1844164</t>
  </si>
  <si>
    <t>GSM1844163</t>
  </si>
  <si>
    <t>GSM1844162</t>
  </si>
  <si>
    <t>GSM1844161</t>
  </si>
  <si>
    <t>GSM1844160</t>
  </si>
  <si>
    <t>GSM1844159</t>
  </si>
  <si>
    <t>GSM1844158</t>
  </si>
  <si>
    <t>GSM1844157</t>
  </si>
  <si>
    <t>GSM1844156</t>
  </si>
  <si>
    <t>GSM1844155</t>
  </si>
  <si>
    <t>GSM1844154</t>
  </si>
  <si>
    <t>GSM1844153</t>
  </si>
  <si>
    <t>GSM1844152</t>
  </si>
  <si>
    <t>GSM1844151</t>
  </si>
  <si>
    <t>GSM1844150</t>
  </si>
  <si>
    <t>GSM1844149</t>
  </si>
  <si>
    <t>GSM1844148</t>
  </si>
  <si>
    <t>GSM1844147</t>
  </si>
  <si>
    <t>GSM1844146</t>
  </si>
  <si>
    <t>GSM1844145</t>
  </si>
  <si>
    <t>GSM1844144</t>
  </si>
  <si>
    <t>GSM1844143</t>
  </si>
  <si>
    <t>GSM1844142</t>
  </si>
  <si>
    <t>GSM1844141</t>
  </si>
  <si>
    <t>GSM1844140</t>
  </si>
  <si>
    <t>GSM1844139</t>
  </si>
  <si>
    <t>GSM1844138</t>
  </si>
  <si>
    <t>GSM1844137</t>
  </si>
  <si>
    <t>GSM1844136</t>
  </si>
  <si>
    <t>GSM1844135</t>
  </si>
  <si>
    <t>GSM1844134</t>
  </si>
  <si>
    <t>GSM1844133</t>
  </si>
  <si>
    <t>GSM1844132</t>
  </si>
  <si>
    <t>GSM1844131</t>
  </si>
  <si>
    <t>GSM1844130</t>
  </si>
  <si>
    <t>GSM1844129</t>
  </si>
  <si>
    <t>GSM1844128</t>
  </si>
  <si>
    <t>GSM1844126</t>
  </si>
  <si>
    <t>GSM1844125</t>
  </si>
  <si>
    <t>GSM1844124</t>
  </si>
  <si>
    <t>GSM1844123</t>
  </si>
  <si>
    <t>GSM1844122</t>
  </si>
  <si>
    <t>GSM1844121</t>
  </si>
  <si>
    <t>GSM1844120</t>
  </si>
  <si>
    <t>GSM1844119</t>
  </si>
  <si>
    <t>GSM1844118</t>
  </si>
  <si>
    <t>GSM1844117</t>
  </si>
  <si>
    <t>GSM1844116</t>
  </si>
  <si>
    <t>GSM1844115</t>
  </si>
  <si>
    <t>GSM1844114</t>
  </si>
  <si>
    <t>GSM1844113</t>
  </si>
  <si>
    <t>GSM1844112</t>
  </si>
  <si>
    <t>risk_group</t>
  </si>
  <si>
    <t>risk_score</t>
  </si>
  <si>
    <t>OS_event</t>
  </si>
  <si>
    <t>OS_time</t>
  </si>
  <si>
    <t>stroma_subtype</t>
  </si>
  <si>
    <t>tumor_subtype</t>
  </si>
  <si>
    <t>tissue_type</t>
  </si>
  <si>
    <t>tissue_site</t>
  </si>
  <si>
    <t>sample_id</t>
  </si>
  <si>
    <t>beta</t>
  </si>
  <si>
    <t>gene</t>
  </si>
  <si>
    <t>External validation summary</t>
  </si>
  <si>
    <t>Dataset: GSE71729</t>
  </si>
  <si>
    <t>Primary tumors with OS data: 125</t>
  </si>
  <si>
    <t>Events: 84</t>
  </si>
  <si>
    <t>Censored: 41</t>
  </si>
  <si>
    <t>Median risk cutoff: -0.455137</t>
  </si>
  <si>
    <t>Main model results</t>
  </si>
  <si>
    <t>Univariable continuous HR = 1.1655 (0.8765-1.5499), p = 0.2922, C-index = 0.5477</t>
  </si>
  <si>
    <t>Multivariable continuous HR = 1.2461 (0.9339-1.6626), p = 0.1348, C-index = 0.6022</t>
  </si>
  <si>
    <t>Log-rank p-value (High vs Low) = 0.04362</t>
  </si>
  <si>
    <t>risk_groupHigh</t>
  </si>
  <si>
    <t>External validation - median split</t>
  </si>
  <si>
    <t>External validation - multivariable</t>
  </si>
  <si>
    <t>External validation - univariable</t>
  </si>
  <si>
    <t>P_value</t>
  </si>
  <si>
    <t>z</t>
  </si>
  <si>
    <t>SE</t>
  </si>
  <si>
    <t>Term</t>
  </si>
  <si>
    <t>Univariable continuous score</t>
  </si>
  <si>
    <t>Median split (High vs Low)</t>
  </si>
  <si>
    <t>stroma_subtypeActivated</t>
  </si>
  <si>
    <t>Multivariable continuous score + subtype + stroma</t>
  </si>
  <si>
    <t>stroma_subtypeNormal</t>
  </si>
  <si>
    <t>tumor_subtypeBasal</t>
  </si>
  <si>
    <t>risk_group=High</t>
  </si>
  <si>
    <t>risk_group=Low</t>
  </si>
  <si>
    <t>upper</t>
  </si>
  <si>
    <t>lower</t>
  </si>
  <si>
    <t>median</t>
  </si>
  <si>
    <t>strata</t>
  </si>
  <si>
    <t>High vs Low risk group</t>
  </si>
  <si>
    <t>df</t>
  </si>
  <si>
    <t>Chisq</t>
  </si>
  <si>
    <t>Comparison</t>
  </si>
  <si>
    <t>expression</t>
  </si>
  <si>
    <t>(multi-cohort integration across GEO and TCGA datasets)</t>
  </si>
  <si>
    <t>First author</t>
  </si>
  <si>
    <t>Yang et al.</t>
  </si>
  <si>
    <t>UNC93B1 / cGAS-STING signaling in PDAC</t>
  </si>
  <si>
    <t>Wang et al.</t>
  </si>
  <si>
    <t>Esculin-associated mechanisms of drug resistance in PDAC</t>
  </si>
  <si>
    <t>Manoukian et al.</t>
  </si>
  <si>
    <t>Estrogen-mediated stromal regulation in PDAC</t>
  </si>
  <si>
    <t>Liu et al.</t>
  </si>
  <si>
    <t>PRSS23-mediated Hippo-YAP signaling in PDAC progression</t>
  </si>
  <si>
    <t>Liang et al.</t>
  </si>
  <si>
    <t>CD4+ T cell-derived six-gene prognostic signature in PDAC</t>
  </si>
  <si>
    <t>Li et al.</t>
  </si>
  <si>
    <t>Mitochondrial unfolded protein response-related prognostic signature in PDAC</t>
  </si>
  <si>
    <t>Campos et al.</t>
  </si>
  <si>
    <t>STAT3/integrin signaling axis in PDAC initiation and progression</t>
  </si>
  <si>
    <t>Chen et al.</t>
  </si>
  <si>
    <t>PLAAT2 as a prognostic biomarker and mediator of chemoresistance in PDAC</t>
  </si>
  <si>
    <t>Lactate-associated MCU as a driver of PDAC proliferation, migration, and invasion</t>
  </si>
  <si>
    <t>ITGB5-mediated biomechanical regulation of PDAC stroma and its association with tumor progression and prognosis</t>
  </si>
  <si>
    <t>Gulbey et al.</t>
  </si>
  <si>
    <t>Argonaute family members as potential biomarkers in pancreatic adenocarcinoma</t>
  </si>
  <si>
    <t>Ge et al.</t>
  </si>
  <si>
    <t>Gao et al.</t>
  </si>
  <si>
    <t>Spatial transcriptomic characterization of lactate metabolism in the PDAC microenvironment</t>
  </si>
  <si>
    <t>Chianese et al.</t>
  </si>
  <si>
    <t>Glycolytic heterogeneity and metabolic-targeted therapeutic vulnerabilities in PDAC</t>
  </si>
  <si>
    <t>Zhou et al.</t>
  </si>
  <si>
    <t>Liver metastasis- and basement membrane-related transcriptomic signature in PDAC</t>
  </si>
  <si>
    <t>Zhang et al.</t>
  </si>
  <si>
    <t>MCMBP as a prognostic and immune-related biomarker in PDAC via the JAK-STAT3 pathway</t>
  </si>
  <si>
    <t>Tumor-associated tertiary lymphoid structure genes as prognostic biomarkers in PDAC</t>
  </si>
  <si>
    <t>DNA damage and repair-related prognostic markers identified through single-cell and bulk RNA sequencing in PDAC</t>
  </si>
  <si>
    <t>Yuan et al.</t>
  </si>
  <si>
    <t>Centrosome amplification-related prognostic model and tumor microenvironment stratification in PDAC</t>
  </si>
  <si>
    <t>Yu et al.</t>
  </si>
  <si>
    <t>APOBEC mutagenesis in PDAC progression and therapeutic response stratification</t>
  </si>
  <si>
    <t>PCDH1-mediated regulation of PDAC proliferation, migration, and stemness through PI3K-Akt signaling</t>
  </si>
  <si>
    <t>FOXM1-JUP signaling as a dual oncogenic driver of PDAC tumorigenesis and therapeutic resistance</t>
  </si>
  <si>
    <t>Xiong et al.</t>
  </si>
  <si>
    <t>Manganese metabolism-related prognostic gene signature in PDAC</t>
  </si>
  <si>
    <t>Wu et al.</t>
  </si>
  <si>
    <t>Efferocytosis-associated 14-gene prognostic panel in PDAC</t>
  </si>
  <si>
    <t>Prognostic and therapeutic relevance of the ALDH family in PDAC</t>
  </si>
  <si>
    <t>ADGRG6 as a prognostic biomarker in PDAC</t>
  </si>
  <si>
    <t>Efferocytosis-associated prognostic biomarkers and identification of P2RY6 as a therapeutic target in PDAC</t>
  </si>
  <si>
    <t>PHLDA1⁺ fibroblasts as prognostic biomarkers and mediators of PDAC biology</t>
  </si>
  <si>
    <t>Immune-related prognostic nomogram for PDAC</t>
  </si>
  <si>
    <t>Programmed cell death-related machine learning prognostic model in PDAC</t>
  </si>
  <si>
    <t>Shu et al.</t>
  </si>
  <si>
    <t>ARHGAP11A as a prognostic biomarker and therapeutic target in PDAC</t>
  </si>
  <si>
    <t>Qiu et al.</t>
  </si>
  <si>
    <t>DEAD/H-box RNA helicase 10 as a regulator of PDAC proliferation via RRM2</t>
  </si>
  <si>
    <t>Qin et al.</t>
  </si>
  <si>
    <t>EDC4-mediated multidrug chemosensitivity in PDAC using GR50-based profiling</t>
  </si>
  <si>
    <t>Ma et al.</t>
  </si>
  <si>
    <t>Immunogenic cell death-related prognostic signature and AJM1 biomarker identification in PDAC</t>
  </si>
  <si>
    <t>Noggin-mediated PDAC proliferation through EGFR/HER2 upregulation</t>
  </si>
  <si>
    <t>Immunosuppressive tumor microenvironment associated with PDAC liver metastasis</t>
  </si>
  <si>
    <t>Liao et al.</t>
  </si>
  <si>
    <t>Necrotizing apoptosis-related subpopulation classification and immunotherapy response prediction in PDAC</t>
  </si>
  <si>
    <t>Dendritic cell-related prognostic signature and KCTD14-TNF signaling axis in PDAC</t>
  </si>
  <si>
    <t>Guan et al.</t>
  </si>
  <si>
    <t>IGFBP-based prognostic score and immune microenvironment interactions in PDAC</t>
  </si>
  <si>
    <t>Molecular basal-like PDAC subtype identification and A2ML1-mediated epithelial-mesenchymal transition</t>
  </si>
  <si>
    <t>ER stress-related transcription factor prognostic signature in PDAC</t>
  </si>
  <si>
    <t>Du et al.</t>
  </si>
  <si>
    <t>SCAMP1-mediated PDAC progression through miR-106a-5p/AGK signaling</t>
  </si>
  <si>
    <t>4 PDAC cell lines (PANC-1, BxPC-3, Capan-1, SW1990</t>
  </si>
  <si>
    <t xml:space="preserve">Experiment </t>
  </si>
  <si>
    <t>qRT, sh-UNC93B1, CCK-8, wound healing, transwell and colony formation assays</t>
  </si>
  <si>
    <t>In vivo</t>
  </si>
  <si>
    <t>flow cytometry for cell cycle analysis and molecular profiling of the cGAS-STING pathway, senescence markers (e.g., p16^INK4a), and epithelial-mesenchymal transition (EMT)-related genes</t>
  </si>
  <si>
    <t xml:space="preserve">xenograft model - tumor growth </t>
  </si>
  <si>
    <t xml:space="preserve">In vitro </t>
  </si>
  <si>
    <t xml:space="preserve">Study </t>
  </si>
  <si>
    <t>Result</t>
  </si>
  <si>
    <t>* Capan-1 cells showed the highest endogenous UNC93B1 expression among tested PDAC cell lines.
* Stable UNC93B1 knockdown achieved ~82% reduction in UNC93B1 expression.
* UNC93B1 silencing reduced proliferation by 22.3% at 72 h (P &lt; 0.05).
* Migration was reduced by 29.6% in wound healing assays (P &lt; 0.05).
* Colony formation decreased by 342 colonies following UNC93B1 knockdown (P &lt; 0.01).
* UNC93B1 depletion induced an 8.9% increase in G1-phase arrest (P &lt; 0.05).
* STING, IFN-β, CXCL10, and p16INK4a expression increased after knockdown.
* EMT reversal was observed, with decreased VIM and increased CDH1 expression.
* Xenograft tumors showed significantly reduced volume and weight after UNC93B1 silencing (P &lt; 0.01).
* IHC confirmed reduced UNC93B1 and increased STING/CXCL10 signaling in vivo.
* H-151 treatment partially restored proliferation, migration, and clonogenicity in UNC93B1-knockdown cells.</t>
  </si>
  <si>
    <t>RT-qPCR</t>
  </si>
  <si>
    <t>9-gene-LASSO risk model, to identify resistance-associated PDAC subtypes and proposes esculin as a potential multi-target compound capable of reducing chemoresistance through reduction of TP53-, EP300-, and PIAS1-related pathways</t>
  </si>
  <si>
    <t>PS-1 stellate cells, BJ fibroblasts, patient-derived CAFs, NIH/3T3, C3H/10T1/2, PSN1 PDAC cells, P411/P067 organoids</t>
  </si>
  <si>
    <t>β-estradiol treatment, CLEC3B/Clec3b &amp; SLC25A44 knockdown, qRT-PCR, flow cytometry, conditioned medium assays, cocultures, EMT analysis</t>
  </si>
  <si>
    <t>Human PDAC tissues/TMAs/serum, PDAC tissue homogenates, PDX tumors, KPC mouse tumors, PDAC patients</t>
  </si>
  <si>
    <t>IHC, Picrosirius red collagen staining, LC/MS-MS estrogen detection, ELISA, magnetic resonance elastography, stromal/histologic analyses</t>
  </si>
  <si>
    <t>* Estrogen made fibroblasts more tumor-restrictive
* CLEC3B helped maintain “good” CAF states
* Loss of CLEC3B made tumors more aggressive
* Tumor cells became more mesenchymal/invasive after CLEC3B loss
* Female PDAC tumors had more supportive stroma
* PDAC cells synthesized their own estrogen
* BCAA metabolism helped produce estrogen
* Estrogen signaling associated with better prognosis</t>
  </si>
  <si>
    <t>PDAC cell lines</t>
  </si>
  <si>
    <t>PRSS23 knockdown, proliferation/migration assays, RNA-seq, western blot, protein interaction assays</t>
  </si>
  <si>
    <t>Mouse xenograft &amp; metastasis models + human PDAC tissues</t>
  </si>
  <si>
    <t>PRSS23 promoted YAP activation, proliferation and metastasis; PRSS23 silencing reduced tumor growth and restored Hippo signaling</t>
  </si>
  <si>
    <t>Metastasis experiments</t>
  </si>
  <si>
    <t>H6C7, CAPAN-1, PANC-1 cell lines</t>
  </si>
  <si>
    <t>qRT-PCR, Western blot validation of 6-gene signature</t>
  </si>
  <si>
    <t>CD4⁺ T-cell–derived 6-gene signature predicted prognosis; high-risk tumors showed immune exclusion, stromal activation, checkpoint upregulation, and poorer survival</t>
  </si>
  <si>
    <t>PANC-1 and BxPC-3 pancreatic cancer cell lines</t>
  </si>
  <si>
    <t>Rotenone-induced UPRmt activation, CEBPB knockdown, qRT-PCR, Western blot, CCK-8 proliferation assay, wound healing migration assay</t>
  </si>
  <si>
    <t>A 3-gene MRS signature was built: CAT, CEBPB, PRKN. High-MRS patients had worse OS, more advanced stage/grade, colder immune microenvironment, higher TMB/TIDE scores, and activation of p53/glycolysis pathways. CEBPB knockdown reduced proliferation and migration.</t>
  </si>
  <si>
    <t>BxPC-3 PDAC cells, HEK293 cells</t>
  </si>
  <si>
    <t>qRT-PCR of AGO1-4 expression</t>
  </si>
  <si>
    <t>AGO2 was overexpressed in PDAC and associated with poor prognosis and immune infiltration</t>
  </si>
  <si>
    <t>ASPC-1, MIA-PACA2, PANC-1, SW1990, HPDE cells; human PDAC tissue samples</t>
  </si>
  <si>
    <t>RT-PCR, qRT-PCR, Western blot, immunohistochemistry (IHC)</t>
  </si>
  <si>
    <t>Lactate metabolism–related genes were associated with poor prognosis and immune suppression in PDAC; PIGR and LYZ emerged as potential biomarkers; lactate metabolism promoted aggressive tumor behavior</t>
  </si>
  <si>
    <t>PL45, SW1990, PANC-1, HPAF-II, MIAPaCa-2, HPDE6c7 cells; human PDAC organoids</t>
  </si>
  <si>
    <t>Oxamate/gemcitabine treatment, MTT viability, Seahorse metabolic assays, Western blot, colony formation, transwell migration, live-cell imaging, organoid growth assays, proteomics/metabolomics/lipidomics</t>
  </si>
  <si>
    <t>CAM assay using MIAPaCa-2-derived tumors</t>
  </si>
  <si>
    <t>Oxamate efficacy and toxicity testing</t>
  </si>
  <si>
    <t>Glycolytic heterogeneity in PDAC was linked to prognosis and treatment response. High-glycolytic tumors/cell models showed distinct metabolic programs, and glycolytic inhibition with oxamate reduced tumor cell viability, migration, colony formation, and organoid growth, supporting glycolysis-based patient stratification.</t>
  </si>
  <si>
    <t>CAFs (cancer-associated fibroblasts) and pancreatic cancer cells</t>
  </si>
  <si>
    <t>COL7A1 knockdown in CAFs followed by migration and gemcitabine chemosensitivity assays</t>
  </si>
  <si>
    <t>The study developed a 6-gene prognostic signature related to liver metastasis and basement membrane remodeling in PDAC (COL7A1, ITGA6, ITGA7, ITGB5, ITGB7, NTN4). High-risk patients exhibited poorer survival, higher tumor mutation burden, a more immunosuppressive microenvironment (increased Tregs and M0 macrophages, reduced CD8+ T cells), and lower predicted responses to chemotherapy and immunotherapy. Additionally, COL7A1 was predominantly expressed in CAFs, and its knockdown reduced pancreatic cancer cell migration and increased gemcitabine sensitivity.</t>
  </si>
  <si>
    <t>HPNE, MIA PaCa-2, BxPC-3, PANC-1, Capan-2, AsPC-1, Jurkat T cells, PAAD tissue microarray</t>
  </si>
  <si>
    <t>MCMBP overexpression/knockdown, Western blot, cell cycle analysis, colony formation assay, migration/invasion Transwell assays, co-culture with Jurkat T cells, IFN-γ ELISA, immunohistochemistry</t>
  </si>
  <si>
    <t>High MCMBP expression promoted PDAC progression, immune suppression, and PD-L1/JAK-STAT3 activation, while MCMBP knockdown inhibited tumor cell growth and invasion.</t>
  </si>
  <si>
    <t>PANC-1, MiaPaCa-2, AsPC-1, T3M4, Patu8988, hTERT-HPNE, Jurkat cells</t>
  </si>
  <si>
    <t>DNASE1L3 overexpression, Western blot, CCK-8 proliferation, colony formation, Transwell migration, Luminex cytokine assay, Jurkat co-culture</t>
  </si>
  <si>
    <t>20 paired human PDAC and adjacent normal tissues</t>
  </si>
  <si>
    <t>IHC for DNASE1L3, RAMP2, IL33; multiplex immunofluorescence for DNASE1L3, CD20, CD3 and TLS assessment</t>
  </si>
  <si>
    <t>High TLS score predicted better prognosis and immune-active TME. DNASE1L3 was lower in PDAC tumors, and its overexpression reduced PDAC proliferation/migration while increasing immune-related cytokines and reducing T-cell exhaustion markers.</t>
  </si>
  <si>
    <t>SW1990, PATU-8988T PDAC cells</t>
  </si>
  <si>
    <t>LY6D knockdown (siRNA), RT-qPCR, EdU proliferation assay, cell cycle assay, apoptosis/caspase-3 assay, γ-H2AX and 53BP1 immunofluorescence</t>
  </si>
  <si>
    <t>A 16-gene DDR prognostic signature predicted prognosis, immune status, immunotherapy response, and drug sensitivity in PDAC. LY6D knockdown inhibited proliferation, induced apoptosis, and increased DNA damage.</t>
  </si>
  <si>
    <t>Patient-derived pancreatic cancer and paired normal tissue samples</t>
  </si>
  <si>
    <t>qRT-PCR for IFI27, KIF20A, KLK10, SPINK7, TOP2A expression</t>
  </si>
  <si>
    <t>The 5-gene centrosome amplification signature predicted poor prognosis, immune suppression, chemoresistance, and aggressive tumor biology. IFI27, KIF20A, KLK10, and TOP2A were upregulated in PAAD tissues, while SPINK7 was not significantly changed.</t>
  </si>
  <si>
    <t>KPC pancreatic cancer cells; murine CAFs; PBMC co-culture system; scRNA-seq datasets (GSE217845, GSE155698)</t>
  </si>
  <si>
    <t>qPCR (Snail1, Snail2, N-cadherin, ZEB1); Western blot (CD73, ACTA2, COL1A1, TGFB1, PDGFB, glycolysis markers); CCK-8 proliferation assay; Seahorse ECAR/OCR; flow cytometry for Tregs/CD8 T cells</t>
  </si>
  <si>
    <t>Subcutaneous KPC xenograft mouse model (C57BL/6J); human PAAD cohorts; multi-cohort WES datasets</t>
  </si>
  <si>
    <t>Tumor burden/weight analysis; Ki67 and TUNEL staining; flow cytometry of tumor immune cells; multiplex IF; immune microenvironment remodeling after irinotecan</t>
  </si>
  <si>
    <t>APOBEC mutagenesis (especially APOBEC1/APOBEC3A-driven signatures) was associated with genomic instability, KRAS-driven progression, immunosuppressive remodeling, CAF activation, reduced CD8+ T-cell infiltration, and poor prognosis in PAAD. A machine-learning APOBEC risk model predicted survival, while irinotecan emerged as the strongest negative correlate of APOBEC-associated risk and experimentally reduced tumor proliferation, CAF activation, glycolysis, Tregs, and tumor burden both in vitro and in vivo.</t>
  </si>
  <si>
    <t>HPNE, HPAC, SW1990, PATU8988T, CFPAC1, BxPC3, PANC-1</t>
  </si>
  <si>
    <t>PCDH1 knockdown, qRT-PCR, MTT, colony formation, Transwell, wound healing, flow cytometry for CD24/CD133, sphere formation, IGF-1 rescue</t>
  </si>
  <si>
    <t>6 paired human PDAC and adjacent normal tissues</t>
  </si>
  <si>
    <t>IHC for PCDH1 expression; no animal in vivo experiment</t>
  </si>
  <si>
    <t>PCDH1 was overexpressed in PDAC and linked to poor prognosis, stemness, immune exclusion, and drug response. PCDH1 knockdown reduced proliferation, migration, colony formation, CD24/CD133 stem-like cells, and sphere formation, partly through PI3K/AKT inhibition.</t>
  </si>
  <si>
    <t>HPNE, HPDE, AsPC-1, BxPC-3, Capan-2, CFPAC-1, HPAC, HPAF-II, MIA PaCa-2, PANC-1, PL45, PK-59, Panc02</t>
  </si>
  <si>
    <t>JUP/FOXM1 knockdown or overexpression, CCK-8, colony formation, EdU, wound healing, Transwell invasion, RT-qPCR, Western blot, ChIP, luciferase assay, GEM/OXA resistance assays</t>
  </si>
  <si>
    <t>Human PDAC/PanIN tissues; ADM, PanIN, KPC/KC mouse models; subcutaneous, orthotopic, and liver metastasis mouse models</t>
  </si>
  <si>
    <t>IHC/IF for JUP/FOXM1/Ki67/CA199; tumor growth and weight; liver metastasis; in vivo gemcitabine/oxaliplatin treatment response</t>
  </si>
  <si>
    <t>FOXM1 activates JUP transcription. High JUP promotes PDAC growth, invasion, metastasis, and gemcitabine/oxaliplatin resistance, while JUP knockdown suppresses these effects.</t>
  </si>
  <si>
    <t>Primary CAFs from PDAC tissues; CFPAC-1; Mia PaCa-2</t>
  </si>
  <si>
    <t>ITGB5 knockdown in CAFs; conditioned medium/co-culture with PDAC cells; CCK-8, colony formation, EdU, Transwell migration/invasion; AFM, SEM, Western blot for COL1A1/α-SMA</t>
  </si>
  <si>
    <t>Human PDAC tissues; nude mouse xenografts; KPC mouse model</t>
  </si>
  <si>
    <t>MRE, AFM, Masson staining, IHC for ITGB5/α-SMA/Ki67; tumor growth/weight; gemcitabine, cilengitide, and combination treatment</t>
  </si>
  <si>
    <t>High CAF activity → stiffer PDAC tumors.
Stiffer tumors → more collagen, more α-SMA, more Ki67, worse prognosis.
ITGB5 was highly expressed in CAFs, especially in high-stiffness tumors.
ITGB5 knockdown in CAFs reduced tumor-cell proliferation, migration, invasion, and colony formation.
ITGB5 knockdown reduced CAF stiffness and fibrosis markers.
In mice, targeting ITGB5 reduced tumor stiffness, fibrosis, and tumor growth.
Cilengitide + gemcitabine reduced stiffness/fibrosis and improved survival best.</t>
  </si>
  <si>
    <t>Cell-based functional assays</t>
  </si>
  <si>
    <t>CCK-8/MTT proliferation assays, colony formation, wound healing, Transwell migration/invasion, sphere formation, EdU, RT-qPCR, Western blot, flow cytometry, siRNA/shRNA knockdown, overexpression, luciferase reporter assays, ChIP assays</t>
  </si>
  <si>
    <t>Enhanced proliferation, migration, invasion, stemness, stromal remodeling, immune exclusion, fibrosis, biomechanical stiffening, chemoresistance, tumor growth/metastasis, and poorer survival/prognosis depending on the pathway/gene studied</t>
  </si>
  <si>
    <t>LGALS3 correlated with ASPH and efferocytosis-related genes; helped identify ASPH as tumor-cell-specific efferocytosis-related target</t>
  </si>
  <si>
    <t>BxPC-3 pancreatic cancer cells</t>
  </si>
  <si>
    <t>LGALS3 overexpression model; RNA/protein validation and RNA-seq comparison</t>
  </si>
  <si>
    <t>BxPC-3, Capan-1, AsPC-1, Su.86.86, MIA PaCa-2, PANC-1</t>
  </si>
  <si>
    <t>qPCR and Western blot for ALDH3A1 expression</t>
  </si>
  <si>
    <t>ALDH3A1 highly expressed in tumor cells vs normal pancreas</t>
  </si>
  <si>
    <t>AsPC-1, CFPAC-1, MIA PaCa-2, BxPC-3, PANC-1, hTERT-HPNE</t>
  </si>
  <si>
    <t>RT-qPCR / Western blot for ADGRG6 expression</t>
  </si>
  <si>
    <t>Nude mice with CFPAC-1 xenografts</t>
  </si>
  <si>
    <t>Subcutaneous tumor xenograft assay after ADGRG6 knockdown</t>
  </si>
  <si>
    <t>ADGRG6 knockdown suppressed PAAD tumor growth</t>
  </si>
  <si>
    <t>HPNE, CAPAN-1, MIA-PaCa2, PANC-1, BxPC-3, AsPC-1</t>
  </si>
  <si>
    <t>qPCR / Western blot for ADAM9, P2RY6, CD36</t>
  </si>
  <si>
    <t>P2RY6 was upregulated in PDAC and associated with poor prognosis</t>
  </si>
  <si>
    <t>PATU-8988, PANC-1, CAFs</t>
  </si>
  <si>
    <t>PHLDA1 knockdown / validation by qPCR and WB</t>
  </si>
  <si>
    <t>PHLDA1 was enriched in CAFs and linked to poor prognosis</t>
  </si>
  <si>
    <t>Murine peritoneal macrophages</t>
  </si>
  <si>
    <t>Treated with IL-4 + anti-IL6R or IgG to test M2-like polarization</t>
  </si>
  <si>
    <t>Nomogram predicted prognosis better than TNM stage</t>
  </si>
  <si>
    <t>qRT-PCR validation only; no functional mechanistic assays</t>
  </si>
  <si>
    <t>Expression validation consistent with bioinformatic findings</t>
  </si>
  <si>
    <t>ARHGAP11A promotes proliferation, cell-cycle progression, and apoptosis resistance in PDAC cells</t>
  </si>
  <si>
    <t>Knockdown and overexpression assays; proliferation, apoptosis, and cell-cycle assays</t>
  </si>
  <si>
    <t>PANC-1, AsPC-1 (expression also evaluated in MIA PaCa-2, SW1990, BxPC-1)</t>
  </si>
  <si>
    <t>shRNA-mediated DDX10 knockdown, CCK-8 proliferation assay, colony formation, wound-healing, transwell migration/invasion, apoptosis flow cytometry, RNA-seq, proteomics, western blot, RRM2 rescue experiments</t>
  </si>
  <si>
    <t>Female BALB/c nude mouse subcutaneous xenograft model using PANC-1 cells</t>
  </si>
  <si>
    <t>DDX10 promotes pancreatic cancer proliferation, migration, invasion, and apoptosis resistance, partly through upregulation of RRM2</t>
  </si>
  <si>
    <t xml:space="preserve">tumour growth and progression </t>
  </si>
  <si>
    <t>HPAF2, PATU8988T, MIA PaCa-2, T3M4, PANC-1, AsPC-1, SW1990, BxPC-3; functional validation mainly in MIA PaCa-2 and AsPC-1</t>
  </si>
  <si>
    <t>GR50 drug profiling with gemcitabine, nab-paclitaxel, irinotecan, 5-FU and cisplatin; EDC4 knockdown/overexpression; SRB proliferation/viability assays; IC50 drug-response assays; qRT-PCR; western blot</t>
  </si>
  <si>
    <t>Female BALB/c nude mouse subcutaneous xenograft model using EDC4-overexpressing AsPC-1 cells and EDC4-knockdown MIA PaCa-2 cells, treated with mFOLFIRINOX or gemcitabine/nab-paclitaxel</t>
  </si>
  <si>
    <t>EDC4 enhanced multidrug chemosensitivity in PDAC; EDC4 knockdown increased proliferation and chemoresistance, whereas EDC4 overexpression suppressed growth and improved chemotherapy response, possibly through MATN3 and SGCE downregulation</t>
  </si>
  <si>
    <t>multidrug chemosensitivity and chemoresistance in pancreatic cancer</t>
  </si>
  <si>
    <t>Mia PaCa-2, PANC-1 pancreatic cancer cell lines</t>
  </si>
  <si>
    <t>Noggin overexpression; cell proliferation assay; wound healing migration assay; transwell invasion assay; EGFR/HER2 inhibitor treatment (gefitinib, CP724714); western blot and qPCR for EGFR/HER2, MYC, CCND1, AKT/ERK signaling</t>
  </si>
  <si>
    <t>Noggin was overexpressed in pancreatic cancer tissues and associated with poor survival. Noggin overexpression increased proliferation of Mia PaCa-2 and PANC-1 cells, upregulated EGFR/HER2 and downstream AKT/ERK signaling, while EGFR/HER2 inhibitors reduced Noggin-induced proliferation. No major effect on migration or invasion was observed.</t>
  </si>
  <si>
    <t>AsPC-1 pancreatic cancer cells</t>
  </si>
  <si>
    <t>siAJM1 knockdown followed by CCK-8 proliferation assay, EdU incorporation assay, and colony formation assay</t>
  </si>
  <si>
    <t>AJM1 expression was lower in tumor tissues than adjacent tissues. AJM1 knockdown increased proliferation and colony formation of AsPC-1 cells, suggesting AJM1 acts as a tumor-suppressive/protective gene in PAAD.</t>
  </si>
  <si>
    <t>L3.6p1</t>
  </si>
  <si>
    <t>snRNA-seq/ST</t>
  </si>
  <si>
    <t>PDAC contains EMT-like metastatic dissemination cell states that interact with the tumor microenvironment to promote metastasis, while CITED4 appears to contribute to this metastatic program</t>
  </si>
  <si>
    <t>HPDE6-C7
CFPAC-1</t>
  </si>
  <si>
    <t>qPCR expression validation</t>
  </si>
  <si>
    <t>The seven-gene necroptosis-related signature (CHST11, SLC16A1, RHOF, ANO6, PAH, MAN1C1, and SPRR1B) successfully stratified PDAC patients by prognosis, tumor aggressiveness, immune microenvironment characteristics, and predicted drug sensitivity. CHST11 may serve as a potential prognostic biomarker and therapeutic target in pancreatic ductal adenocarcinoma (PDAC).</t>
  </si>
  <si>
    <t>CAPAN-1
PANC-1</t>
  </si>
  <si>
    <t>KCTD14 knockdown, functional assays</t>
  </si>
  <si>
    <t>PANC-1</t>
  </si>
  <si>
    <t>siRNA against IGFBP3</t>
  </si>
  <si>
    <t>High IGFBP3
→ immune exclusion
→ fewer CD8 T cells
→ worse prognosis
→ πιθανή resistance to immunotherapy</t>
  </si>
  <si>
    <t>KCTD14
   ↓
TNF/TNFR1 signaling
   ↓
tumor progression + immune modulation       (biological validation KCTD14)</t>
  </si>
  <si>
    <t>H6C7, T3M-4, PANC-1, BxPC-3, Capan-2; patient-derived PC organoids</t>
  </si>
  <si>
    <t>A2ML1 knockdown in T3M-4 and A2ML1 overexpression in PANC-1; CCK-8, colony formation, wound healing, Transwell migration/invasion, apoptosis/cell-cycle flow cytometry, EMT marker WB/IF, Co-IP with LZTR1, Ras activation, ubiquitination assays</t>
  </si>
  <si>
    <t>A2ML1 was overexpressed in PC tissues/cell lines and promoted proliferation, migration, invasion, EMT, apoptosis resistance, and cell-cycle progression; mechanistically, it interacted with LZTR1 and activated KRAS/MAPK signaling</t>
  </si>
  <si>
    <t xml:space="preserve">PC cell lines </t>
  </si>
  <si>
    <t>IRF6 promotes pancreatic cancer cell survival, while its depletion induces ER stress and apoptosis.</t>
  </si>
  <si>
    <t>IRF6 knockdown</t>
  </si>
  <si>
    <t>SCAMP1 knockdown/overexpression, CCK-8, colony formation, Transwell invasion, EMT western blot, luciferase assays, RIP assay, rescue experiments</t>
  </si>
  <si>
    <t>Nude mouse xenograft model</t>
  </si>
  <si>
    <t>shSCAMP1 Panc-1 xenografts in NOD/SCID mice</t>
  </si>
  <si>
    <t>SCAMP1 promoted proliferation, invasion, EMT, tumor growth, and 5-FU resistance through the miR-106a-5p/AGK axis</t>
  </si>
  <si>
    <t>MCU knockdown using shRNA/plasmids; qRT-PCR, western blot, CCK-8, colony formation, transwell migration/invasion, sphere formation, lactate assay, NAD+/NADH assay</t>
  </si>
  <si>
    <t xml:space="preserve">Panc-1, BxPC-3 </t>
  </si>
  <si>
    <t xml:space="preserve">BxPC-3 and Capan-1 </t>
  </si>
  <si>
    <t>MCU promoted PDAC proliferation, migration, invasion, stemness, glycolysis, and lactate production; MCU knockdown reduced malignant behavior and attenuated the Warburg/lactate phenotype</t>
  </si>
  <si>
    <t>MiaPaCa-2 and CFPAC-1 pancreatic cancer cell lines</t>
  </si>
  <si>
    <t>PLAAT2 knockdown; proliferation, migration, invasion, oxaliplatin sensitivity assays; qRT-PCR and IHC validation in paired tissues</t>
  </si>
  <si>
    <t>PLAAT2 silencing suppressed proliferation, migration, and invasion and increased oxaliplatin sensitivity (reduced IC₅₀); PLAAT2 was overexpressed in PDAC tissues and associated with poor prognosis and immune dysregulation</t>
  </si>
  <si>
    <t>PDAC cell lines under hypoxia or oncostatin-M stimulation</t>
  </si>
  <si>
    <t>phospho-STAT3 ChIP-seq, enhancer/chromatin accessibility analysis, gene expression studies, single-cell transcriptomic integration</t>
  </si>
  <si>
    <t>STAT3 directly induced ITGB3 through stress-responsive enhancers; ITGB3 promoted adaptive/aggressive PDAC states associated with hypoxia, oxidative stress, chemotherapy resistance, and basal-like phenotype; an 18-gene STAT3 adaptive-response signature stratified survival outcomes</t>
  </si>
  <si>
    <t>Study</t>
  </si>
  <si>
    <t>N analysed</t>
  </si>
  <si>
    <t>Diagnostic check — does the risk score track the Moffitt tumour subtype?</t>
  </si>
  <si>
    <t>tumor_subtype = 1</t>
  </si>
  <si>
    <t>tumor_subtype = 2</t>
  </si>
  <si>
    <t>Test / difference</t>
  </si>
  <si>
    <t>n</t>
  </si>
  <si>
    <t>Death rate</t>
  </si>
  <si>
    <t>Mean risk score</t>
  </si>
  <si>
    <t>SD of risk score</t>
  </si>
  <si>
    <t>Standardised difference (Cohen's d)</t>
  </si>
  <si>
    <t>All formulas read the 125 primary tumours in A2:N126 of this sheet. Subtype is stored as TEXT in column D ("1" / "2"), so the criteria below compare against text. The group with the shorter mean survival and the higher death rate is the basal-like one.</t>
  </si>
  <si>
    <t>Mean OS (months)</t>
  </si>
  <si>
    <t>Welch t statistic</t>
  </si>
  <si>
    <t>Welch degrees of freedom</t>
  </si>
  <si>
    <t>Two-sided p value (risk score by subtype)</t>
  </si>
  <si>
    <t>Per-gene mean expression by subtype (is any single panel member subtype-driven?)</t>
  </si>
  <si>
    <t>Mean, subtype 1</t>
  </si>
  <si>
    <t>Mean, subtype 2</t>
  </si>
  <si>
    <t>Cohen's d</t>
  </si>
  <si>
    <t>Two-sided p</t>
  </si>
  <si>
    <t>SD subtype 1</t>
  </si>
  <si>
    <t>SD subtype 2</t>
  </si>
  <si>
    <t>Subtype coding: the codes in column D are unlabelled. Group "2" (n = 36, 29% of the cohort) has the shorter mean survival (11.7 vs 18.4 months) and the higher death rate (75.0% vs 64.0%), matching the basal-like label and the HR 1.93 for tumor_subtypeBasal in 'cox_multivariable'. Group "1" is therefore classical, group "2" basal-like.</t>
  </si>
  <si>
    <t>Interpretation: the risk score does not differ meaningfully between subtypes (d = 0.22, p = 0.284) and, if anything, is slightly HIGHER in the better-prognosis classical group — the opposite of what a basal-like surrogate would show. No single panel protein differs by subtype (all p &gt;= 0.07). The score is therefore neither a proxy for the Moffitt subtype nor collinear with it; it simply carries no prognostic signal in this cohort.</t>
  </si>
  <si>
    <t>DATA-3 — studies coded "independent prognostic biomarker = yes" that are ABSENT from the evidence table</t>
  </si>
  <si>
    <t>Reference list only. Nothing here has been added to 'Data extraction 2' or to any analysis. Produced so the author can decide, per QC log DATA-3, whether these belong in the evidence table or whether an undocumented inclusion criterion was applied. Column AC coding is as corrected under AA-7.</t>
  </si>
  <si>
    <t>Data extraction row</t>
  </si>
  <si>
    <t>Omics / platform</t>
  </si>
  <si>
    <t>Main finding</t>
  </si>
  <si>
    <t>Shi 2026</t>
  </si>
  <si>
    <t>Single-cell transcriptomics + bulk RNA-seq + epigenomics (AT</t>
  </si>
  <si>
    <t>Not explicitly stated; includes multiple scRNA-seq datasets,</t>
  </si>
  <si>
    <t>LY6D marks a persistent stem-like gastric cell state that emerges early, drives tumorigenesis, and promotes metastasis through OXP</t>
  </si>
  <si>
    <t>Pei 2026</t>
  </si>
  <si>
    <t>Disulfidptosis-related gene (DRG) signature; key genes: RPN1, PML; model genes: NDUFA11, M</t>
  </si>
  <si>
    <t>Transcriptomics (bulk RNA-seq) and single-cell transcriptomi</t>
  </si>
  <si>
    <t>DRG-based ML prognostic model stratifies PDAC patients into high- and low-risk survival groups; RPN1 and PML identified as key pro</t>
  </si>
  <si>
    <t>Lu 2026</t>
  </si>
  <si>
    <t>Palmitoylation-related gene signature (PRGS, 7 genes: DCBLD2, CXCL5, ASPH, LAMC2, KRT6A, T</t>
  </si>
  <si>
    <t>Transcriptomics + single-cell RNA-seq + mutational profiling</t>
  </si>
  <si>
    <t>A novel palmitoylation-related molecular classification identifies two PDAC subtypes and a 7-gene PRGS that predicts prognosis and</t>
  </si>
  <si>
    <t>Kuang 2026</t>
  </si>
  <si>
    <t>7-gene SASP prognostic signature: ANGPTL4, DKK1, EREG, IGFBP3, IL18, MMP13, PLAU; plus SAS</t>
  </si>
  <si>
    <t>Bulk transcriptomics, CNV, scRNA-seq, immunoinformatics, mut</t>
  </si>
  <si>
    <t>SASP-based clustering identified two prognostically distinct molecular subtypes, and a 7-gene SASP signature stratified prognosis,</t>
  </si>
  <si>
    <t>Jin 2026</t>
  </si>
  <si>
    <t>SEMA3 family genes; 9-gene prognostic signature derived from SEMA3-related DEGs; key drive</t>
  </si>
  <si>
    <t>Bulk transcriptomics + single-cell RNA-seq + spatial transcr</t>
  </si>
  <si>
    <t>SEMA3-based clustering identified two PDAC subtypes with distinct survival and immune microenvironments; a 9-gene risk model strat</t>
  </si>
  <si>
    <t>Cai 2026</t>
  </si>
  <si>
    <t>Six-gene mitophagy-related signature stratified PDAC patients into prognostic groups and correlated with immune microenvironment d</t>
  </si>
  <si>
    <t>Zhu 2025</t>
  </si>
  <si>
    <t>Six ICD-associated lncRNA prognostic signature: ZEB2-AS1, AC099792.1, LINC01091, LINC02613</t>
  </si>
  <si>
    <t>A six-lncRNA ICD-associated signature stratified PAAD patients into prognostic groups; low-risk patients showed more immune-active</t>
  </si>
  <si>
    <t>Zhao 2025</t>
  </si>
  <si>
    <t>178 TCGA cases for training; 69 GEO cases for external valid</t>
  </si>
  <si>
    <t>An 11-gene ITH-related signature stratified PDAC patients by survival, with high-risk patients showing worse outcomes, distinct im</t>
  </si>
  <si>
    <t>A ferroptosis-related 3-gene signature predicted poor prognosis; NOTCH2 emerged as the dominant component, was overexpressed in pa</t>
  </si>
  <si>
    <t xml:space="preserve">16-gene DNA damage and repair-related prognostic risk score model; key experimental gene: </t>
  </si>
  <si>
    <t xml:space="preserve">scRNA-seq: 30,483 cells after QC; TCGA/GEO survival cohorts </t>
  </si>
  <si>
    <t>A 16-gene DDR-related model showed strong prognostic performance in training and validation cohorts; high- and low-risk groups dif</t>
  </si>
  <si>
    <t>STING signaling pathway-derived 6-gene prognostic signature: DTX4, IFI16, MAVS, PRKDC, ZDH</t>
  </si>
  <si>
    <t xml:space="preserve">STING-pathway activity defines biologically distinct PAAD subtypes; the 6-gene STING-related signature stratifies survival; IFIT2 </t>
  </si>
  <si>
    <t>7-gene mCAF-related prognostic signature (USP36, KLF5, MT2A, KDM6B, PHLDA1, REL, DDIT4); k</t>
  </si>
  <si>
    <t>Bulk transcriptomics; scRNA-seq; spatial transcriptomics; pa</t>
  </si>
  <si>
    <t>TCGA training n=176; scRNA analysis based on 56,853 tumor ce</t>
  </si>
  <si>
    <t>mCAFs were the CAF subtype most strongly associated with poor prognosis; a 7-gene mCAF-derived model robustly stratified pancreati</t>
  </si>
  <si>
    <t>TCGA analyzed n=172 PDAC; ICGC analyzed n=113 PDAC; local va</t>
  </si>
  <si>
    <t>Risk signature showed strong predictive performance (AUC up to 0.827; C-index 0.76–0.79), outperforming TNM staging; IL6R identifi</t>
  </si>
  <si>
    <t>Bulk transcriptomics; scRNA-seq; methylation; somatic mutati</t>
  </si>
  <si>
    <t xml:space="preserve">TCGA n=123 for main clinical/prognostic analyses; scRNA-seq </t>
  </si>
  <si>
    <t>SERPINE1 is consistently upregulated in PDAC, enriched in fibroblasts especially myCAF/iCAF, associated with poor prognosis, immun</t>
  </si>
  <si>
    <t>1034 transcriptomic samples; additional 18 paired clinical s</t>
  </si>
  <si>
    <t>A 6-gene programmed cell death (PCD) signature robustly stratifies patients into high- and low-risk groups with significant surviv</t>
  </si>
  <si>
    <t>Stålberg 2025</t>
  </si>
  <si>
    <t>Proteomics: 41 PDAC; Transcriptomics: 38 PDAC; Survival anal</t>
  </si>
  <si>
    <t xml:space="preserve">KRAS mRNA and protein were both higher in PDAC than benign pancreas, but only KRAS protein level and KRAS mutation subtype showed </t>
  </si>
  <si>
    <t>Rezagholizadeh 2025</t>
  </si>
  <si>
    <t>Bulk transcriptomics, LCM-based cell-specific transcriptomic</t>
  </si>
  <si>
    <t>Yes (multi-level validation: in-silico + RT-qPCR + IHC + TCG</t>
  </si>
  <si>
    <t>Nie 2025</t>
  </si>
  <si>
    <t>Mitochondria-related 12-gene prognostic signature; mechanistic emphasis on CAMK2A and THEM</t>
  </si>
  <si>
    <t>Bulk transcriptomics, single-cell transcriptomics, immunohis</t>
  </si>
  <si>
    <t>TCGA training cohort and multiple external validation datase</t>
  </si>
  <si>
    <t>Yes; validated in four independent public datasets, a retros</t>
  </si>
  <si>
    <t>A mitochondria-related 12-gene signature robustly predicts PDAC survival and outperforms 7 published signatures and 101 machine-le</t>
  </si>
  <si>
    <t>Luo 2025</t>
  </si>
  <si>
    <t>Innate immune barrier gene signature (84 genes); key genes: UBASH3B, ITGB6, COL17A1, MMP28</t>
  </si>
  <si>
    <t>TCGA ~178 used for modelling; validation across 3 GEO cohort</t>
  </si>
  <si>
    <t>Yes (multi-cohort validation + scRNA validation + GEPIA vali</t>
  </si>
  <si>
    <t>RSF-based immune gene model stratifies prognosis; UBASH3B identified as novel prognostic gene negatively regulating NK cell activa</t>
  </si>
  <si>
    <t>CITED4 (primary); MDRG signature (MT-CO3, CIRBP, PDGFC, MT2A, CITED4, MT-CO2, CLDN1); SPP1</t>
  </si>
  <si>
    <t>Internal validation via TCGA; biological validation via IHC,</t>
  </si>
  <si>
    <t>Metastatic dissemination cells drive PDAC liver metastasis via EMT and immune suppression; CITED4 promotes invasion, metastasis, a</t>
  </si>
  <si>
    <t>Lin 2025</t>
  </si>
  <si>
    <t>Lansbergen 2025</t>
  </si>
  <si>
    <t>KRAS mutational status as key biomarker; integrated molecular classifier of KRAS wild-type</t>
  </si>
  <si>
    <t>108 FOLFIRINOX-treated patients with successful WGS in pretr</t>
  </si>
  <si>
    <t>Yes, but mainly internal/prospective cohort validation of in</t>
  </si>
  <si>
    <t>KRAS wild-type tumors formed a distinct subgroup (12%) with longer OS on FOLFIRINOX (17.7 vs 7.8 months), more targetable alterati</t>
  </si>
  <si>
    <t>Kim 2025</t>
  </si>
  <si>
    <t>Protein expression by immunohistochemistry with transcript/p</t>
  </si>
  <si>
    <t>PAUF is overexpressed in PDAC, strongly associated with nodal metastasis, and high protein expression predicts shorter survival; t</t>
  </si>
  <si>
    <t>Kang 2025</t>
  </si>
  <si>
    <t>Transcriptomics (bulk RNA-seq), single-cell RNA-seq, in sili</t>
  </si>
  <si>
    <t>6-gene BA-related signature robustly predicts survival; high RS associated with worse OS, higher TMB, immune alterations, and diff</t>
  </si>
  <si>
    <t>Jiang 2025</t>
  </si>
  <si>
    <t>Transcriptomics, single-cell RNA-seq, Mendelian randomizatio</t>
  </si>
  <si>
    <t xml:space="preserve">Yes (multi-level validation: TCGA + scRNA + MR + functional </t>
  </si>
  <si>
    <t xml:space="preserve">TIPARP overexpression promotes proliferation, invasion, migration; knockdown suppresses tumor growth; MR shows causal association </t>
  </si>
  <si>
    <t>Hu 2025</t>
  </si>
  <si>
    <t>Histopathology, immunohistochemistry, bulk RNA-seq bioinform</t>
  </si>
  <si>
    <t>iTLS+ patients had significantly better survival and showed higher B-cell, T-cell, and plasma-cell infiltration, whereas TLS− tumo</t>
  </si>
  <si>
    <t>Han 2025</t>
  </si>
  <si>
    <t>Microenvironmental/stromal and immune markers including MFAP4, EGR3, KRT8, monocyte infilt</t>
  </si>
  <si>
    <t>Digital spatial transcriptomics, immunohistochemistry, immun</t>
  </si>
  <si>
    <t xml:space="preserve">48 total analyzed; NAT response subgroup: CAP score 2 n=10, </t>
  </si>
  <si>
    <t>No external validation cohort; internal comparison across UF</t>
  </si>
  <si>
    <t>MFAP4, EGR3, and KRT8 in stromal compartments plus CD3/CD4/CD8 infiltration may act as predictive indicators of NAT response; high</t>
  </si>
  <si>
    <t>Transcriptomics + single-cell transcriptomics + functional v</t>
  </si>
  <si>
    <t>Yes (multi-cohort validation + experimental validation of IT</t>
  </si>
  <si>
    <t>A BM-related gene signature stratifies PDAC into prognostic subtypes, while SPP1+ TAMs promote tumor progression via ITGB6-mediate</t>
  </si>
  <si>
    <t>scRNA-seq + bulk RNA-seq (hypoxia hallmark genes from MSigDB</t>
  </si>
  <si>
    <t>Fang 2025</t>
  </si>
  <si>
    <t>Duo 2025</t>
  </si>
  <si>
    <t>A cuproptosis-related lncRNA model predicts prognosis in pancreatic cancer, and LINC00900 and AC078820.1 emerge as key survival-as</t>
  </si>
  <si>
    <t>Deng 2025</t>
  </si>
  <si>
    <t xml:space="preserve">Lipid metabolism-related transcriptomics; bulk RNA-seq with </t>
  </si>
  <si>
    <t>N_analyzed not fully consistent across sections; model devel</t>
  </si>
  <si>
    <t>Main finding was that a 4-gene lipid-metabolism signature stratified postoperative PAAD patients into high- and low-risk groups wi</t>
  </si>
  <si>
    <t>Cui 2025</t>
  </si>
  <si>
    <t>Transcriptomics (bulk + single-cell), RNA-seq after gene kno</t>
  </si>
  <si>
    <t>TCGA cohort analyzed after filtering; exact final n not cons</t>
  </si>
  <si>
    <t>DCBLD2, OCIAD2, and SAMD9 are novel independent prognostic biomarkers; OCIAD2 plays a functional oncogenic role via JAK-STAT and c</t>
  </si>
  <si>
    <t>Disulfidptosis-related prognostic signature / DPS (8-gene signature: SLC3A2, HMGA1, S100A2</t>
  </si>
  <si>
    <t>Bulk transcriptomics, single-cell transcriptomics, spatial t</t>
  </si>
  <si>
    <t xml:space="preserve">1250 bulk samples included after filtering; 582 RNA-array + </t>
  </si>
  <si>
    <t>High DPS predicted poor prognosis, reduced immune-cell infiltration, higher TIDE score, lower sensitivity to immune checkpoint blo</t>
  </si>
  <si>
    <t>M2 macrophage-related 6-gene prognostic signature: CCL2, CD9, FBP1, LIMS1, LYZ, TGFBI; als</t>
  </si>
  <si>
    <t xml:space="preserve">scRNA-seq, bulk RNA expression, SNV, CNV, clinical survival </t>
  </si>
  <si>
    <t>TCGA-PDAC training cohort: 153 PDAC cases with OS&gt;0; externa</t>
  </si>
  <si>
    <t>A 6-gene M2 macrophage-related signature predicts poor prognosis in PDAC, associates with higher TMB, KRAS/TP53 mutations, lower C</t>
  </si>
  <si>
    <t>Aref 2025</t>
  </si>
  <si>
    <t>20-protein diagnostic panel; four proteomic prognostic subtypes; 18-protein prognostic ris</t>
  </si>
  <si>
    <t>115 tumor samples and 61 matched adjacent normal samples aft</t>
  </si>
  <si>
    <t>Identified a 20-protein diagnostic panel, four prognostic proteomic subtypes, and an 18-protein risk score independently associate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</si>
</sst>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5" formatCode="0.0000"/>
    <numFmt numFmtId="166" formatCode="0.000E+00"/>
    <numFmt numFmtId="168" formatCode="0.0%"/>
    <numFmt numFmtId="169" formatCode="0.000"/>
    <numFmt numFmtId="170" formatCode="0.0"/>
  </numFmts>
  <fonts count="3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Calibri"/>
      <family val="2"/>
      <scheme val="minor"/>
    </font>
    <font>
      <sz val="11"/>
      <color rgb="FF000000"/>
      <name val="Calibri"/>
      <family val="2"/>
      <scheme val="minor"/>
    </font>
    <font>
      <b/>
      <sz val="11"/>
      <color rgb="FF000000"/>
      <name val="Calibri"/>
      <family val="2"/>
      <scheme val="minor"/>
    </font>
    <font>
      <sz val="11"/>
      <color rgb="FF000000"/>
      <name val="Calibri"/>
      <family val="2"/>
    </font>
    <font>
      <b/>
      <sz val="11"/>
      <color rgb="FFFFFFFF"/>
      <name val="Calibri"/>
      <family val="2"/>
    </font>
    <font>
      <b/>
      <sz val="8"/>
      <color theme="1"/>
      <name val="Calibri"/>
      <family val="2"/>
      <scheme val="minor"/>
    </font>
    <font>
      <sz val="9"/>
      <color indexed="81"/>
      <name val="Tahoma"/>
      <charset val="1"/>
    </font>
    <font>
      <b/>
      <sz val="9"/>
      <color indexed="81"/>
      <name val="Tahoma"/>
      <charset val="1"/>
    </font>
    <font>
      <sz val="8"/>
      <color indexed="81"/>
      <name val="Tahoma"/>
      <family val="2"/>
    </font>
    <font>
      <i/>
      <sz val="10"/>
      <color rgb="FF555555"/>
      <name val="Calibri"/>
      <family val="2"/>
      <scheme val="minor"/>
    </font>
    <font>
      <b/>
      <sz val="10"/>
      <color rgb="FF1F4E5F"/>
      <name val="Calibri"/>
      <family val="2"/>
      <scheme val="minor"/>
    </font>
    <font>
      <b/>
      <sz val="12"/>
      <color rgb="FF1F4E5F"/>
      <name val="Calibri"/>
      <family val="2"/>
      <scheme val="minor"/>
    </font>
    <font>
      <i/>
      <sz val="11"/>
      <color theme="1"/>
      <name val="Calibri"/>
      <family val="2"/>
      <scheme val="minor"/>
    </font>
    <font>
      <b/>
      <sz val="14"/>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462300"/>
        <bgColor indexed="64"/>
      </patternFill>
    </fill>
    <fill>
      <patternFill patternType="solid">
        <fgColor rgb="FFFFFBEF"/>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rgb="FFD9E1F2"/>
      </bottom>
      <diagonal/>
    </border>
    <border>
      <left/>
      <right/>
      <top/>
      <bottom style="thin">
        <color rgb="FF1F1F1F"/>
      </bottom>
      <diagonal/>
    </border>
    <border>
      <left/>
      <right/>
      <top/>
      <bottom style="thick">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9" fillId="0" borderId="0"/>
  </cellStyleXfs>
  <cellXfs count="34">
    <xf numFmtId="0" fontId="0" fillId="0" borderId="0" xfId="0"/>
    <xf numFmtId="0" fontId="0" fillId="33" borderId="0" xfId="0" applyFill="1"/>
    <xf numFmtId="0" fontId="18" fillId="33" borderId="0" xfId="0" applyFont="1" applyFill="1" applyAlignment="1">
      <alignment vertical="top" wrapText="1"/>
    </xf>
    <xf numFmtId="0" fontId="19" fillId="33" borderId="0" xfId="42" applyFill="1"/>
    <xf numFmtId="0" fontId="20" fillId="33" borderId="0" xfId="42" applyFont="1" applyFill="1"/>
    <xf numFmtId="0" fontId="16" fillId="33" borderId="0" xfId="0" applyFont="1" applyFill="1"/>
    <xf numFmtId="0" fontId="22" fillId="34" borderId="12" xfId="42" applyFont="1" applyFill="1" applyBorder="1" applyAlignment="1">
      <alignment horizontal="center"/>
    </xf>
    <xf numFmtId="0" fontId="21" fillId="33" borderId="11" xfId="42" applyFont="1" applyFill="1" applyBorder="1" applyAlignment="1">
      <alignment vertical="center"/>
    </xf>
    <xf numFmtId="0" fontId="22" fillId="34" borderId="0" xfId="42" applyFont="1" applyFill="1" applyAlignment="1">
      <alignment horizontal="center"/>
    </xf>
    <xf numFmtId="0" fontId="21" fillId="33" borderId="0" xfId="42" applyFont="1" applyFill="1" applyAlignment="1">
      <alignment vertical="center"/>
    </xf>
    <xf numFmtId="165" fontId="21" fillId="33" borderId="0" xfId="42" applyNumberFormat="1" applyFont="1" applyFill="1" applyAlignment="1">
      <alignment vertical="center"/>
    </xf>
    <xf numFmtId="165" fontId="21" fillId="33" borderId="11" xfId="42" applyNumberFormat="1" applyFont="1" applyFill="1" applyBorder="1" applyAlignment="1">
      <alignment vertical="center"/>
    </xf>
    <xf numFmtId="166" fontId="21" fillId="33" borderId="11" xfId="42" applyNumberFormat="1" applyFont="1" applyFill="1" applyBorder="1" applyAlignment="1">
      <alignment vertical="center"/>
    </xf>
    <xf numFmtId="166" fontId="21" fillId="33" borderId="0" xfId="42" applyNumberFormat="1" applyFont="1" applyFill="1" applyAlignment="1">
      <alignment vertical="center"/>
    </xf>
    <xf numFmtId="1" fontId="21" fillId="33" borderId="0" xfId="42" applyNumberFormat="1" applyFont="1" applyFill="1" applyAlignment="1">
      <alignment vertical="center"/>
    </xf>
    <xf numFmtId="0" fontId="18" fillId="33" borderId="10" xfId="0" applyFont="1" applyFill="1" applyBorder="1" applyAlignment="1">
      <alignment vertical="top" wrapText="1"/>
    </xf>
    <xf numFmtId="0" fontId="23" fillId="33" borderId="0" xfId="0" applyFont="1" applyFill="1" applyAlignment="1">
      <alignment vertical="top" wrapText="1"/>
    </xf>
    <xf numFmtId="0" fontId="23" fillId="35" borderId="0" xfId="0" applyFont="1" applyFill="1" applyAlignment="1">
      <alignment vertical="top" wrapText="1"/>
    </xf>
    <xf numFmtId="0" fontId="23" fillId="35" borderId="10" xfId="0" applyFont="1" applyFill="1" applyBorder="1" applyAlignment="1">
      <alignment vertical="top" wrapText="1"/>
    </xf>
    <xf numFmtId="0" fontId="29" fillId="33" borderId="0" xfId="42" applyFont="1" applyFill="1"/>
    <xf numFmtId="0" fontId="27" fillId="33" borderId="0" xfId="42" applyFont="1" applyFill="1"/>
    <xf numFmtId="168" fontId="19" fillId="33" borderId="0" xfId="42" applyNumberFormat="1" applyFill="1"/>
    <xf numFmtId="169" fontId="20" fillId="33" borderId="0" xfId="42" applyNumberFormat="1" applyFont="1" applyFill="1"/>
    <xf numFmtId="169" fontId="19" fillId="33" borderId="0" xfId="42" applyNumberFormat="1" applyFill="1"/>
    <xf numFmtId="165" fontId="19" fillId="33" borderId="0" xfId="42" applyNumberFormat="1" applyFill="1"/>
    <xf numFmtId="2" fontId="19" fillId="33" borderId="0" xfId="42" applyNumberFormat="1" applyFill="1"/>
    <xf numFmtId="170" fontId="19" fillId="33" borderId="0" xfId="42" applyNumberFormat="1" applyFill="1"/>
    <xf numFmtId="165" fontId="20" fillId="33" borderId="0" xfId="42" applyNumberFormat="1" applyFont="1" applyFill="1"/>
    <xf numFmtId="0" fontId="28" fillId="33" borderId="0" xfId="42" applyFont="1" applyFill="1"/>
    <xf numFmtId="0" fontId="14" fillId="33" borderId="0" xfId="0" applyFont="1" applyFill="1"/>
    <xf numFmtId="0" fontId="16" fillId="0" borderId="13" xfId="0" applyFont="1" applyBorder="1"/>
    <xf numFmtId="0" fontId="31" fillId="0" borderId="0" xfId="0" applyFont="1"/>
    <xf numFmtId="0" fontId="27" fillId="33" borderId="0" xfId="42" applyFont="1" applyFill="1" applyAlignment="1">
      <alignment wrapText="1"/>
    </xf>
    <xf numFmtId="0" fontId="30"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98960EB9-1599-4F65-83A4-F69D094227A7}"/>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patternType="solid">
          <fgColor rgb="FFFFFBEF"/>
          <bgColor rgb="FF000000"/>
        </patternFill>
      </fill>
    </dxf>
  </dxfs>
  <tableStyles count="0" defaultTableStyle="TableStyleMedium2" defaultPivotStyle="PivotStyleLight16"/>
  <colors>
    <mruColors>
      <color rgb="FFFFFBEF"/>
      <color rgb="FFFFEDB3"/>
      <color rgb="FF536D5A"/>
      <color rgb="FF462300"/>
      <color rgb="FF333300"/>
      <color rgb="FF663300"/>
      <color rgb="FF660033"/>
      <color rgb="FFFFFFFF"/>
      <color rgb="FF485656"/>
      <color rgb="FF57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55"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8" Type="http://schemas.microsoft.com/office/2017/10/relationships/person" Target="persons/person1.xml"/><Relationship Id="rId5" Type="http://schemas.openxmlformats.org/officeDocument/2006/relationships/worksheet" Target="worksheets/sheet5.xml"/><Relationship Id="rId15" Type="http://schemas.openxmlformats.org/officeDocument/2006/relationships/worksheet" Target="worksheets/sheet15.xml"/><Relationship Id="rId57" Type="http://schemas.microsoft.com/office/2017/10/relationships/person" Target="persons/person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56" Type="http://schemas.microsoft.com/office/2017/10/relationships/person" Target="persons/person0.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tiff"/></Relationships>
</file>

<file path=xl/drawings/drawing1.xml><?xml version="1.0" encoding="utf-8"?>
<xdr:wsDr xmlns:xdr="http://schemas.openxmlformats.org/drawingml/2006/spreadsheetDrawing" xmlns:a="http://schemas.openxmlformats.org/drawingml/2006/main">
  <xdr:twoCellAnchor editAs="oneCell">
    <xdr:from>
      <xdr:col>11</xdr:col>
      <xdr:colOff>603885</xdr:colOff>
      <xdr:row>1</xdr:row>
      <xdr:rowOff>133350</xdr:rowOff>
    </xdr:from>
    <xdr:to>
      <xdr:col>19</xdr:col>
      <xdr:colOff>527685</xdr:colOff>
      <xdr:row>34</xdr:row>
      <xdr:rowOff>161925</xdr:rowOff>
    </xdr:to>
    <xdr:pic>
      <xdr:nvPicPr>
        <xdr:cNvPr id="6" name="Picture 5">
          <a:extLst>
            <a:ext uri="{FF2B5EF4-FFF2-40B4-BE49-F238E27FC236}">
              <a16:creationId xmlns:a16="http://schemas.microsoft.com/office/drawing/2014/main" id="{75131C41-F078-F0E4-FF8E-F28C3A228D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09485" y="314325"/>
          <a:ext cx="4800600" cy="6000750"/>
        </a:xfrm>
        <a:prstGeom prst="rect">
          <a:avLst/>
        </a:prstGeom>
      </xdr:spPr>
    </xdr:pic>
    <xdr:clientData/>
  </xdr:twoCellAnchor>
  <xdr:twoCellAnchor>
    <xdr:from>
      <xdr:col>0</xdr:col>
      <xdr:colOff>158750</xdr:colOff>
      <xdr:row>36</xdr:row>
      <xdr:rowOff>28575</xdr:rowOff>
    </xdr:from>
    <xdr:to>
      <xdr:col>19</xdr:col>
      <xdr:colOff>260350</xdr:colOff>
      <xdr:row>66</xdr:row>
      <xdr:rowOff>60325</xdr:rowOff>
    </xdr:to>
    <xdr:sp macro="" textlink="">
      <xdr:nvSpPr>
        <xdr:cNvPr id="2" name="Key finding — subtype vs signature">
          <a:extLst>
            <a:ext uri="{FF2B5EF4-FFF2-40B4-BE49-F238E27FC236}">
              <a16:creationId xmlns:a16="http://schemas.microsoft.com/office/drawing/2014/main" id="{4B37BAFC-6A39-C248-73BB-AAD673135D02}"/>
            </a:ext>
          </a:extLst>
        </xdr:cNvPr>
        <xdr:cNvSpPr txBox="1"/>
      </xdr:nvSpPr>
      <xdr:spPr>
        <a:xfrm>
          <a:off x="158750" y="6543675"/>
          <a:ext cx="11684000" cy="5461000"/>
        </a:xfrm>
        <a:prstGeom prst="rect">
          <a:avLst/>
        </a:prstGeom>
        <a:solidFill>
          <a:srgbClr val="FFF8E7"/>
        </a:solidFill>
        <a:ln>
          <a:solidFill>
            <a:srgbClr val="B07000"/>
          </a:solidFill>
        </a:ln>
      </xdr:spPr>
      <xdr:txBody>
        <a:bodyPr vertOverflow="overflow" vert="horz" wrap="square" lIns="127000" tIns="101600" rIns="127000" bIns="101600" rtlCol="0" anchor="t">
          <a:spAutoFit/>
        </a:bodyPr>
        <a:lstStyle/>
        <a:p>
          <a:pPr algn="l"/>
          <a:r>
            <a:rPr kumimoji="0" lang="en-US" sz="1100" b="1" i="0" u="none" strike="noStrike" kern="0" cap="none" spc="0" normalizeH="0" baseline="0" noProof="0">
              <a:ln>
                <a:noFill/>
              </a:ln>
              <a:solidFill>
                <a:srgbClr val="7F4F00"/>
              </a:solidFill>
              <a:effectLst/>
              <a:uLnTx/>
              <a:uFillTx/>
              <a:latin typeface="Calibri"/>
              <a:ea typeface="Calibri"/>
              <a:cs typeface="Calibri"/>
            </a:rPr>
            <a:t>External validation of the five-protein risk score</a:t>
          </a:r>
          <a:r>
            <a:rPr kumimoji="0" lang="en-US" sz="1000" b="0" i="0" u="none" strike="noStrike" kern="0" cap="none" spc="0" normalizeH="0" baseline="0" noProof="0">
              <a:ln>
                <a:noFill/>
              </a:ln>
              <a:solidFill>
                <a:srgbClr val="2B2B2B"/>
              </a:solidFill>
              <a:effectLst/>
              <a:uLnTx/>
              <a:uFillTx/>
              <a:latin typeface="Calibri"/>
              <a:ea typeface="Calibri"/>
              <a:cs typeface="Calibri"/>
            </a:rPr>
            <a:t>
In the independent GSE71729 cohort (125 primary tumours with survival data, 84 deaths), the continuous risk score was not associated with overall survival (HR 1.17 per unit, 95% CI 0.88–1.55; p = 0.292; Harrell's C-index 0.548). In a multivariable model additionally including the Moffitt tumour and stroma subtypes, the score remained non-significant (HR 1.25, 95% CI 0.93–1.66; p = 0.135), whereas the basal-like tumour subtype was independently associated with shorter survival (HR 1.93, 95% CI 1.20–3.12; p = 0.0071). Neither stroma subtype term reached significance (normal-like HR 0.77, 95% CI 0.36–1.66, p = 0.508; activated HR 1.29, 95% CI 0.65–2.54, p = 0.468). The higher concordance of the multivariable model (0.602) relative to the univariable score model (0.548) is therefore attributable to tumour subtype rather than to the signature.
The significant subtype effect serves as an internal positive control: in the same cohort, with the same model and the same 84 events, the analysis detected a prognostic effect of this magnitude. The absence of an association for the risk score is therefore unlikely to reflect insufficient sample size, and independently reproduces the established prognostic value of the basal-like subtype (mean overall survival 11.7 versus 18.4 months, and 75.0% versus 64.0% deaths, for basal-like versus classical tumours).
Dichotomisation at the cohort median produced a marginal separation between risk groups (HR 1.55, 95% CI 1.008–2.394; p = 0.046; log-rank p = 0.044; median overall survival 20 versus 14 months), but the threshold was derived within the same cohort and the effect is cut-point dependent.
The null result for the score is not explained by collinearity with the transcriptional classification. The score did not differ appreciably between subtypes (mean −0.46 in classical versus −0.63 in basal-like tumours; Cohen's d = 0.22; p = 0.284) and, if anything, was slightly higher in the better-prognosis classical group; none of the five constituent proteins was differentially expressed between subtypes (all p ≥ 0.07). The score is thus neither a surrogate for the Moffitt subtype nor additive to it.
Taken together, these analyses indicate that the five-protein score is not prognostic in this external cohort, either alone or after adjustment, and that the prognostic signal resides in the tumour subtype. The signature is accordingly reported as an exploratory, hypothesis-generating finding, and no claim of independent prognostic validity or clinical utility is made.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480060</xdr:colOff>
      <xdr:row>1</xdr:row>
      <xdr:rowOff>160019</xdr:rowOff>
    </xdr:from>
    <xdr:to>
      <xdr:col>9</xdr:col>
      <xdr:colOff>436722</xdr:colOff>
      <xdr:row>21</xdr:row>
      <xdr:rowOff>89892</xdr:rowOff>
    </xdr:to>
    <xdr:pic>
      <xdr:nvPicPr>
        <xdr:cNvPr id="3" name="Picture 2">
          <a:extLst>
            <a:ext uri="{FF2B5EF4-FFF2-40B4-BE49-F238E27FC236}">
              <a16:creationId xmlns:a16="http://schemas.microsoft.com/office/drawing/2014/main" id="{4E0CE1DC-2A7C-80EC-F74D-F5995ACF582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0060" y="342899"/>
          <a:ext cx="5443062" cy="35874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419100</xdr:colOff>
      <xdr:row>1</xdr:row>
      <xdr:rowOff>106680</xdr:rowOff>
    </xdr:from>
    <xdr:to>
      <xdr:col>12</xdr:col>
      <xdr:colOff>419100</xdr:colOff>
      <xdr:row>26</xdr:row>
      <xdr:rowOff>106680</xdr:rowOff>
    </xdr:to>
    <xdr:pic>
      <xdr:nvPicPr>
        <xdr:cNvPr id="4" name="Picture 3">
          <a:extLst>
            <a:ext uri="{FF2B5EF4-FFF2-40B4-BE49-F238E27FC236}">
              <a16:creationId xmlns:a16="http://schemas.microsoft.com/office/drawing/2014/main" id="{93550989-7341-9E34-31A7-180D5E49478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9100" y="289560"/>
          <a:ext cx="7315200" cy="4572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77"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CF0FE50-E0E9-45A9-ADA9-EEE57B3834A9}">
  <we:reference id="wa200010725" version="1.0.0.1" store="en-US" storeType="OMEX"/>
  <we:alternateReferences>
    <we:reference id="WA200010725" version="1.0.0.1" store="" storeType="OMEX"/>
  </we:alternateReferences>
  <we:properties>
    <we:property name="claude.fileId" value="&quot;f35c016d-ae47-4c53-bc4a-a1c1c7d3087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00956-C53D-4A11-9817-778FD6FCAE6A}">
  <sheetPr filterMode="1">
    <tabColor rgb="FFFFFBEF"/>
  </sheetPr>
  <dimension ref="A1:I42"/>
  <sheetViews>
    <sheetView workbookViewId="0">
      <pane xSplit="4" ySplit="1" topLeftCell="E32" activePane="bottomRight" state="frozen"/>
      <selection pane="topRight" activeCell="E1" sqref="E1"/>
      <selection pane="bottomLeft" activeCell="A2" sqref="A2"/>
      <selection pane="bottomRight" activeCell="J32" sqref="J32"/>
    </sheetView>
  </sheetViews>
  <sheetFormatPr defaultRowHeight="14.4" x14ac:dyDescent="0.3"/>
  <cols>
    <col min="1" max="1" width="2.33203125" style="1" bestFit="1" customWidth="1"/>
    <col min="2" max="2" width="8.88671875" style="1"/>
    <col min="3" max="3" width="3.88671875" style="1" bestFit="1" customWidth="1"/>
    <col min="4" max="4" width="10.88671875" style="1" customWidth="1"/>
    <col min="5" max="5" width="11" style="1" customWidth="1"/>
    <col min="6" max="6" width="16.5546875" style="1" customWidth="1"/>
    <col min="7" max="7" width="9.33203125" style="1" customWidth="1"/>
    <col min="8" max="8" width="13.21875" style="1" customWidth="1"/>
    <col min="9" max="9" width="44.44140625" style="1" customWidth="1"/>
    <col min="10" max="16384" width="8.88671875" style="1"/>
  </cols>
  <sheetData>
    <row r="1" spans="1:9" s="16" customFormat="1" ht="10.199999999999999" x14ac:dyDescent="0.3">
      <c r="A1" s="17" t="s">
        <v>71</v>
      </c>
      <c r="B1" s="17" t="s">
        <v>287</v>
      </c>
      <c r="C1" s="17" t="s">
        <v>1</v>
      </c>
      <c r="D1" s="17" t="s">
        <v>361</v>
      </c>
      <c r="E1" s="17" t="s">
        <v>360</v>
      </c>
      <c r="F1" s="17" t="s">
        <v>355</v>
      </c>
      <c r="G1" s="17" t="s">
        <v>357</v>
      </c>
      <c r="H1" s="17" t="s">
        <v>355</v>
      </c>
      <c r="I1" s="17" t="s">
        <v>362</v>
      </c>
    </row>
    <row r="2" spans="1:9" ht="113.4" hidden="1" customHeight="1" x14ac:dyDescent="0.3">
      <c r="A2" s="2">
        <v>1</v>
      </c>
      <c r="B2" s="2" t="s">
        <v>288</v>
      </c>
      <c r="C2" s="2">
        <v>2026</v>
      </c>
      <c r="D2" s="2" t="s">
        <v>289</v>
      </c>
      <c r="E2" s="2" t="s">
        <v>354</v>
      </c>
      <c r="F2" s="2" t="s">
        <v>356</v>
      </c>
      <c r="G2" s="2" t="s">
        <v>359</v>
      </c>
      <c r="H2" s="2" t="s">
        <v>358</v>
      </c>
      <c r="I2" s="2" t="s">
        <v>363</v>
      </c>
    </row>
    <row r="3" spans="1:9" s="2" customFormat="1" ht="61.2" hidden="1" customHeight="1" x14ac:dyDescent="0.3">
      <c r="A3" s="15">
        <v>43</v>
      </c>
      <c r="B3" s="15" t="s">
        <v>302</v>
      </c>
      <c r="C3" s="15">
        <v>2025</v>
      </c>
      <c r="D3" s="18" t="s">
        <v>303</v>
      </c>
      <c r="E3" s="15" t="s">
        <v>499</v>
      </c>
      <c r="F3" s="15" t="s">
        <v>500</v>
      </c>
      <c r="G3" s="15" t="s">
        <v>5</v>
      </c>
      <c r="H3" s="15" t="s">
        <v>5</v>
      </c>
      <c r="I3" s="15" t="s">
        <v>501</v>
      </c>
    </row>
    <row r="4" spans="1:9" s="2" customFormat="1" ht="91.8" hidden="1" x14ac:dyDescent="0.3">
      <c r="A4" s="2">
        <v>3</v>
      </c>
      <c r="B4" s="2" t="s">
        <v>292</v>
      </c>
      <c r="C4" s="2">
        <v>2026</v>
      </c>
      <c r="D4" s="2" t="s">
        <v>293</v>
      </c>
      <c r="E4" s="2" t="s">
        <v>366</v>
      </c>
      <c r="F4" s="2" t="s">
        <v>367</v>
      </c>
      <c r="G4" s="2" t="s">
        <v>368</v>
      </c>
      <c r="H4" s="2" t="s">
        <v>369</v>
      </c>
      <c r="I4" s="2" t="s">
        <v>370</v>
      </c>
    </row>
    <row r="5" spans="1:9" s="2" customFormat="1" ht="61.2" hidden="1" x14ac:dyDescent="0.3">
      <c r="A5" s="2">
        <v>4</v>
      </c>
      <c r="B5" s="2" t="s">
        <v>294</v>
      </c>
      <c r="C5" s="2">
        <v>2026</v>
      </c>
      <c r="D5" s="2" t="s">
        <v>295</v>
      </c>
      <c r="E5" s="2" t="s">
        <v>371</v>
      </c>
      <c r="F5" s="2" t="s">
        <v>372</v>
      </c>
      <c r="G5" s="2" t="s">
        <v>373</v>
      </c>
      <c r="H5" s="2" t="s">
        <v>375</v>
      </c>
      <c r="I5" s="2" t="s">
        <v>374</v>
      </c>
    </row>
    <row r="6" spans="1:9" ht="51" hidden="1" x14ac:dyDescent="0.3">
      <c r="A6" s="2">
        <v>5</v>
      </c>
      <c r="B6" s="2" t="s">
        <v>296</v>
      </c>
      <c r="C6" s="2">
        <v>2026</v>
      </c>
      <c r="D6" s="2" t="s">
        <v>297</v>
      </c>
      <c r="E6" s="2" t="s">
        <v>376</v>
      </c>
      <c r="F6" s="2" t="s">
        <v>377</v>
      </c>
      <c r="G6" s="2" t="s">
        <v>5</v>
      </c>
      <c r="H6" s="2" t="s">
        <v>5</v>
      </c>
      <c r="I6" s="2" t="s">
        <v>378</v>
      </c>
    </row>
    <row r="7" spans="1:9" s="2" customFormat="1" ht="71.400000000000006" hidden="1" x14ac:dyDescent="0.3">
      <c r="A7" s="15">
        <v>40</v>
      </c>
      <c r="B7" s="15" t="s">
        <v>309</v>
      </c>
      <c r="C7" s="15">
        <v>2025</v>
      </c>
      <c r="D7" s="18" t="s">
        <v>351</v>
      </c>
      <c r="E7" s="15" t="s">
        <v>488</v>
      </c>
      <c r="F7" s="15" t="s">
        <v>490</v>
      </c>
      <c r="G7" s="15" t="s">
        <v>5</v>
      </c>
      <c r="H7" s="15" t="s">
        <v>5</v>
      </c>
      <c r="I7" s="15" t="s">
        <v>489</v>
      </c>
    </row>
    <row r="8" spans="1:9" ht="71.400000000000006" hidden="1" x14ac:dyDescent="0.3">
      <c r="A8" s="2">
        <v>7</v>
      </c>
      <c r="B8" s="2" t="s">
        <v>306</v>
      </c>
      <c r="C8" s="2">
        <v>2026</v>
      </c>
      <c r="D8" s="2" t="s">
        <v>307</v>
      </c>
      <c r="E8" s="2" t="s">
        <v>382</v>
      </c>
      <c r="F8" s="2" t="s">
        <v>383</v>
      </c>
      <c r="G8" s="2" t="s">
        <v>5</v>
      </c>
      <c r="H8" s="2" t="s">
        <v>5</v>
      </c>
      <c r="I8" s="2" t="s">
        <v>384</v>
      </c>
    </row>
    <row r="9" spans="1:9" ht="81.599999999999994" hidden="1" x14ac:dyDescent="0.3">
      <c r="A9" s="2">
        <v>9</v>
      </c>
      <c r="B9" s="2" t="s">
        <v>309</v>
      </c>
      <c r="C9" s="2">
        <v>2026</v>
      </c>
      <c r="D9" s="2" t="s">
        <v>310</v>
      </c>
      <c r="E9" s="2" t="s">
        <v>385</v>
      </c>
      <c r="F9" s="2" t="s">
        <v>386</v>
      </c>
      <c r="G9" s="2" t="s">
        <v>5</v>
      </c>
      <c r="H9" s="2" t="s">
        <v>5</v>
      </c>
      <c r="I9" s="2" t="s">
        <v>387</v>
      </c>
    </row>
    <row r="10" spans="1:9" ht="102" hidden="1" x14ac:dyDescent="0.3">
      <c r="A10" s="2">
        <v>10</v>
      </c>
      <c r="B10" s="2" t="s">
        <v>311</v>
      </c>
      <c r="C10" s="2">
        <v>2026</v>
      </c>
      <c r="D10" s="2" t="s">
        <v>312</v>
      </c>
      <c r="E10" s="2" t="s">
        <v>388</v>
      </c>
      <c r="F10" s="2" t="s">
        <v>389</v>
      </c>
      <c r="G10" s="2" t="s">
        <v>390</v>
      </c>
      <c r="H10" s="2" t="s">
        <v>391</v>
      </c>
      <c r="I10" s="2" t="s">
        <v>392</v>
      </c>
    </row>
    <row r="11" spans="1:9" ht="122.4" hidden="1" x14ac:dyDescent="0.3">
      <c r="A11" s="15">
        <v>38</v>
      </c>
      <c r="B11" s="15" t="s">
        <v>308</v>
      </c>
      <c r="C11" s="15">
        <v>2025</v>
      </c>
      <c r="D11" s="18" t="s">
        <v>350</v>
      </c>
      <c r="E11" s="15" t="s">
        <v>485</v>
      </c>
      <c r="F11" s="15" t="s">
        <v>486</v>
      </c>
      <c r="G11" s="15" t="s">
        <v>5</v>
      </c>
      <c r="H11" s="15" t="s">
        <v>5</v>
      </c>
      <c r="I11" s="15" t="s">
        <v>487</v>
      </c>
    </row>
    <row r="12" spans="1:9" ht="81.599999999999994" hidden="1" x14ac:dyDescent="0.3">
      <c r="A12" s="2">
        <v>13</v>
      </c>
      <c r="B12" s="2" t="s">
        <v>315</v>
      </c>
      <c r="C12" s="2">
        <v>2025</v>
      </c>
      <c r="D12" s="2" t="s">
        <v>317</v>
      </c>
      <c r="E12" s="2" t="s">
        <v>399</v>
      </c>
      <c r="F12" s="2" t="s">
        <v>400</v>
      </c>
      <c r="G12" s="2" t="s">
        <v>401</v>
      </c>
      <c r="H12" s="2" t="s">
        <v>402</v>
      </c>
      <c r="I12" s="2" t="s">
        <v>403</v>
      </c>
    </row>
    <row r="13" spans="1:9" ht="61.2" hidden="1" x14ac:dyDescent="0.3">
      <c r="A13" s="15">
        <v>37</v>
      </c>
      <c r="B13" s="15" t="s">
        <v>348</v>
      </c>
      <c r="C13" s="15">
        <v>2025</v>
      </c>
      <c r="D13" s="18" t="s">
        <v>349</v>
      </c>
      <c r="E13" s="15" t="s">
        <v>481</v>
      </c>
      <c r="F13" s="15" t="s">
        <v>482</v>
      </c>
      <c r="G13" s="15" t="s">
        <v>5</v>
      </c>
      <c r="H13" s="15" t="s">
        <v>5</v>
      </c>
      <c r="I13" s="15" t="s">
        <v>483</v>
      </c>
    </row>
    <row r="14" spans="1:9" ht="97.2" hidden="1" customHeight="1" x14ac:dyDescent="0.3">
      <c r="A14" s="15">
        <v>6</v>
      </c>
      <c r="B14" s="15" t="s">
        <v>298</v>
      </c>
      <c r="C14" s="15">
        <v>2026</v>
      </c>
      <c r="D14" s="18" t="s">
        <v>299</v>
      </c>
      <c r="E14" s="15" t="s">
        <v>379</v>
      </c>
      <c r="F14" s="15" t="s">
        <v>380</v>
      </c>
      <c r="G14" s="15" t="s">
        <v>5</v>
      </c>
      <c r="H14" s="15" t="s">
        <v>5</v>
      </c>
      <c r="I14" s="15" t="s">
        <v>381</v>
      </c>
    </row>
    <row r="15" spans="1:9" ht="61.2" hidden="1" x14ac:dyDescent="0.3">
      <c r="A15" s="15">
        <v>34</v>
      </c>
      <c r="B15" s="15" t="s">
        <v>294</v>
      </c>
      <c r="C15" s="15">
        <v>2025</v>
      </c>
      <c r="D15" s="18" t="s">
        <v>344</v>
      </c>
      <c r="E15" s="15" t="s">
        <v>473</v>
      </c>
      <c r="F15" s="15" t="s">
        <v>474</v>
      </c>
      <c r="G15" s="15" t="s">
        <v>5</v>
      </c>
      <c r="H15" s="15" t="s">
        <v>5</v>
      </c>
      <c r="I15" s="15" t="s">
        <v>475</v>
      </c>
    </row>
    <row r="16" spans="1:9" ht="87" hidden="1" customHeight="1" x14ac:dyDescent="0.3">
      <c r="A16" s="2">
        <v>17</v>
      </c>
      <c r="B16" s="2" t="s">
        <v>288</v>
      </c>
      <c r="C16" s="2">
        <v>2025</v>
      </c>
      <c r="D16" s="2" t="s">
        <v>323</v>
      </c>
      <c r="E16" s="2" t="s">
        <v>415</v>
      </c>
      <c r="F16" s="2" t="s">
        <v>416</v>
      </c>
      <c r="G16" s="2" t="s">
        <v>417</v>
      </c>
      <c r="H16" s="2" t="s">
        <v>418</v>
      </c>
      <c r="I16" s="2" t="s">
        <v>419</v>
      </c>
    </row>
    <row r="17" spans="1:9" ht="81.599999999999994" hidden="1" x14ac:dyDescent="0.3">
      <c r="A17" s="15">
        <v>32</v>
      </c>
      <c r="B17" s="15" t="s">
        <v>341</v>
      </c>
      <c r="C17" s="15">
        <v>2025</v>
      </c>
      <c r="D17" s="18" t="s">
        <v>342</v>
      </c>
      <c r="E17" s="15" t="s">
        <v>470</v>
      </c>
      <c r="F17" s="15" t="s">
        <v>471</v>
      </c>
      <c r="G17" s="15" t="s">
        <v>5</v>
      </c>
      <c r="H17" s="15" t="s">
        <v>5</v>
      </c>
      <c r="I17" s="15" t="s">
        <v>472</v>
      </c>
    </row>
    <row r="18" spans="1:9" ht="122.4" hidden="1" x14ac:dyDescent="0.3">
      <c r="A18" s="2">
        <v>19</v>
      </c>
      <c r="B18" s="2" t="s">
        <v>288</v>
      </c>
      <c r="C18" s="2">
        <v>2025</v>
      </c>
      <c r="D18" s="2" t="s">
        <v>305</v>
      </c>
      <c r="E18" s="2" t="s">
        <v>425</v>
      </c>
      <c r="F18" s="2" t="s">
        <v>426</v>
      </c>
      <c r="G18" s="2" t="s">
        <v>427</v>
      </c>
      <c r="H18" s="2" t="s">
        <v>428</v>
      </c>
      <c r="I18" s="2" t="s">
        <v>429</v>
      </c>
    </row>
    <row r="19" spans="1:9" ht="40.799999999999997" hidden="1" x14ac:dyDescent="0.3">
      <c r="A19" s="2">
        <v>21</v>
      </c>
      <c r="B19" s="2" t="s">
        <v>327</v>
      </c>
      <c r="C19" s="2">
        <v>2025</v>
      </c>
      <c r="D19" s="2" t="s">
        <v>328</v>
      </c>
      <c r="E19" s="2" t="s">
        <v>434</v>
      </c>
      <c r="F19" s="2" t="s">
        <v>435</v>
      </c>
      <c r="G19" s="2" t="s">
        <v>5</v>
      </c>
      <c r="H19" s="2" t="s">
        <v>5</v>
      </c>
      <c r="I19" s="2" t="s">
        <v>433</v>
      </c>
    </row>
    <row r="20" spans="1:9" ht="51" hidden="1" x14ac:dyDescent="0.3">
      <c r="A20" s="15">
        <v>2</v>
      </c>
      <c r="B20" s="15" t="s">
        <v>290</v>
      </c>
      <c r="C20" s="15">
        <v>2026</v>
      </c>
      <c r="D20" s="18" t="s">
        <v>291</v>
      </c>
      <c r="E20" s="15" t="s">
        <v>4</v>
      </c>
      <c r="F20" s="15" t="s">
        <v>364</v>
      </c>
      <c r="G20" s="15" t="s">
        <v>5</v>
      </c>
      <c r="H20" s="15" t="s">
        <v>5</v>
      </c>
      <c r="I20" s="15" t="s">
        <v>365</v>
      </c>
    </row>
    <row r="21" spans="1:9" ht="40.799999999999997" hidden="1" x14ac:dyDescent="0.3">
      <c r="A21" s="2">
        <v>23</v>
      </c>
      <c r="B21" s="2" t="s">
        <v>327</v>
      </c>
      <c r="C21" s="2">
        <v>2025</v>
      </c>
      <c r="D21" s="2" t="s">
        <v>330</v>
      </c>
      <c r="E21" s="2" t="s">
        <v>439</v>
      </c>
      <c r="F21" s="2" t="s">
        <v>440</v>
      </c>
      <c r="G21" s="2" t="s">
        <v>441</v>
      </c>
      <c r="H21" s="2" t="s">
        <v>442</v>
      </c>
      <c r="I21" s="2" t="s">
        <v>443</v>
      </c>
    </row>
    <row r="22" spans="1:9" ht="81.599999999999994" hidden="1" x14ac:dyDescent="0.3">
      <c r="A22" s="15">
        <v>24</v>
      </c>
      <c r="B22" s="15" t="s">
        <v>290</v>
      </c>
      <c r="C22" s="15">
        <v>2025</v>
      </c>
      <c r="D22" s="18" t="s">
        <v>331</v>
      </c>
      <c r="E22" s="15" t="s">
        <v>444</v>
      </c>
      <c r="F22" s="15" t="s">
        <v>445</v>
      </c>
      <c r="G22" s="15" t="s">
        <v>5</v>
      </c>
      <c r="H22" s="15" t="s">
        <v>5</v>
      </c>
      <c r="I22" s="15" t="s">
        <v>446</v>
      </c>
    </row>
    <row r="23" spans="1:9" ht="61.2" hidden="1" x14ac:dyDescent="0.3">
      <c r="A23" s="15">
        <v>25</v>
      </c>
      <c r="B23" s="15" t="s">
        <v>290</v>
      </c>
      <c r="C23" s="15">
        <v>2025</v>
      </c>
      <c r="D23" s="18" t="s">
        <v>332</v>
      </c>
      <c r="E23" s="15" t="s">
        <v>447</v>
      </c>
      <c r="F23" s="15" t="s">
        <v>448</v>
      </c>
      <c r="G23" s="15" t="s">
        <v>5</v>
      </c>
      <c r="H23" s="15" t="s">
        <v>5</v>
      </c>
      <c r="I23" s="15" t="s">
        <v>449</v>
      </c>
    </row>
    <row r="24" spans="1:9" ht="40.799999999999997" hidden="1" x14ac:dyDescent="0.3">
      <c r="A24" s="15">
        <v>26</v>
      </c>
      <c r="B24" s="15" t="s">
        <v>290</v>
      </c>
      <c r="C24" s="15">
        <v>2025</v>
      </c>
      <c r="D24" s="18" t="s">
        <v>333</v>
      </c>
      <c r="E24" s="15" t="s">
        <v>450</v>
      </c>
      <c r="F24" s="15" t="s">
        <v>451</v>
      </c>
      <c r="G24" s="15" t="s">
        <v>5</v>
      </c>
      <c r="H24" s="15" t="s">
        <v>5</v>
      </c>
      <c r="I24" s="15" t="s">
        <v>452</v>
      </c>
    </row>
    <row r="25" spans="1:9" ht="61.2" hidden="1" x14ac:dyDescent="0.3">
      <c r="A25" s="15">
        <v>27</v>
      </c>
      <c r="B25" s="15" t="s">
        <v>290</v>
      </c>
      <c r="C25" s="15">
        <v>2025</v>
      </c>
      <c r="D25" s="18" t="s">
        <v>334</v>
      </c>
      <c r="E25" s="15" t="s">
        <v>453</v>
      </c>
      <c r="F25" s="15" t="s">
        <v>5</v>
      </c>
      <c r="G25" s="15" t="s">
        <v>5</v>
      </c>
      <c r="H25" s="15" t="s">
        <v>5</v>
      </c>
      <c r="I25" s="15" t="s">
        <v>454</v>
      </c>
    </row>
    <row r="26" spans="1:9" ht="51" hidden="1" x14ac:dyDescent="0.3">
      <c r="A26" s="2">
        <v>28</v>
      </c>
      <c r="B26" s="2" t="s">
        <v>335</v>
      </c>
      <c r="C26" s="2">
        <v>2025</v>
      </c>
      <c r="D26" s="2" t="s">
        <v>336</v>
      </c>
      <c r="E26" s="2" t="s">
        <v>4</v>
      </c>
      <c r="F26" s="2" t="s">
        <v>456</v>
      </c>
      <c r="G26" s="2" t="s">
        <v>5</v>
      </c>
      <c r="H26" s="2" t="s">
        <v>5</v>
      </c>
      <c r="I26" s="2" t="s">
        <v>455</v>
      </c>
    </row>
    <row r="27" spans="1:9" ht="51" hidden="1" x14ac:dyDescent="0.3">
      <c r="A27" s="15">
        <v>22</v>
      </c>
      <c r="B27" s="15" t="s">
        <v>327</v>
      </c>
      <c r="C27" s="15">
        <v>2025</v>
      </c>
      <c r="D27" s="18" t="s">
        <v>329</v>
      </c>
      <c r="E27" s="15" t="s">
        <v>436</v>
      </c>
      <c r="F27" s="15" t="s">
        <v>437</v>
      </c>
      <c r="G27" s="15" t="s">
        <v>5</v>
      </c>
      <c r="H27" s="15" t="s">
        <v>5</v>
      </c>
      <c r="I27" s="15" t="s">
        <v>438</v>
      </c>
    </row>
    <row r="28" spans="1:9" ht="102" hidden="1" x14ac:dyDescent="0.3">
      <c r="A28" s="2">
        <v>30</v>
      </c>
      <c r="B28" s="2" t="s">
        <v>337</v>
      </c>
      <c r="C28" s="2">
        <v>2025</v>
      </c>
      <c r="D28" s="2" t="s">
        <v>338</v>
      </c>
      <c r="E28" s="2" t="s">
        <v>457</v>
      </c>
      <c r="F28" s="2" t="s">
        <v>458</v>
      </c>
      <c r="G28" s="2" t="s">
        <v>459</v>
      </c>
      <c r="H28" s="2" t="s">
        <v>461</v>
      </c>
      <c r="I28" s="2" t="s">
        <v>460</v>
      </c>
    </row>
    <row r="29" spans="1:9" ht="193.8" hidden="1" x14ac:dyDescent="0.3">
      <c r="A29" s="2">
        <v>31</v>
      </c>
      <c r="B29" s="2" t="s">
        <v>339</v>
      </c>
      <c r="C29" s="2">
        <v>2025</v>
      </c>
      <c r="D29" s="2" t="s">
        <v>340</v>
      </c>
      <c r="E29" s="2" t="s">
        <v>462</v>
      </c>
      <c r="F29" s="2" t="s">
        <v>463</v>
      </c>
      <c r="G29" s="2" t="s">
        <v>464</v>
      </c>
      <c r="H29" s="2" t="s">
        <v>466</v>
      </c>
      <c r="I29" s="2" t="s">
        <v>465</v>
      </c>
    </row>
    <row r="30" spans="1:9" ht="122.4" hidden="1" x14ac:dyDescent="0.3">
      <c r="A30" s="15">
        <v>20</v>
      </c>
      <c r="B30" s="15" t="s">
        <v>325</v>
      </c>
      <c r="C30" s="15">
        <v>2025</v>
      </c>
      <c r="D30" s="18" t="s">
        <v>326</v>
      </c>
      <c r="E30" s="15" t="s">
        <v>430</v>
      </c>
      <c r="F30" s="15" t="s">
        <v>431</v>
      </c>
      <c r="G30" s="15" t="s">
        <v>5</v>
      </c>
      <c r="H30" s="15" t="s">
        <v>5</v>
      </c>
      <c r="I30" s="15" t="s">
        <v>432</v>
      </c>
    </row>
    <row r="31" spans="1:9" ht="112.2" hidden="1" x14ac:dyDescent="0.3">
      <c r="A31" s="2">
        <v>33</v>
      </c>
      <c r="B31" s="2" t="s">
        <v>294</v>
      </c>
      <c r="C31" s="2">
        <v>2025</v>
      </c>
      <c r="D31" s="2" t="s">
        <v>343</v>
      </c>
      <c r="E31" s="2" t="s">
        <v>467</v>
      </c>
      <c r="F31" s="2" t="s">
        <v>468</v>
      </c>
      <c r="G31" s="2" t="s">
        <v>5</v>
      </c>
      <c r="H31" s="2" t="s">
        <v>5</v>
      </c>
      <c r="I31" s="2" t="s">
        <v>469</v>
      </c>
    </row>
    <row r="32" spans="1:9" ht="132.6" x14ac:dyDescent="0.3">
      <c r="A32" s="15">
        <v>18</v>
      </c>
      <c r="B32" s="15" t="s">
        <v>288</v>
      </c>
      <c r="C32" s="15">
        <v>2025</v>
      </c>
      <c r="D32" s="18" t="s">
        <v>324</v>
      </c>
      <c r="E32" s="15" t="s">
        <v>420</v>
      </c>
      <c r="F32" s="15" t="s">
        <v>421</v>
      </c>
      <c r="G32" s="15" t="s">
        <v>422</v>
      </c>
      <c r="H32" s="15" t="s">
        <v>423</v>
      </c>
      <c r="I32" s="15" t="s">
        <v>424</v>
      </c>
    </row>
    <row r="33" spans="1:9" ht="102" hidden="1" x14ac:dyDescent="0.3">
      <c r="A33" s="2">
        <v>35</v>
      </c>
      <c r="B33" s="2" t="s">
        <v>345</v>
      </c>
      <c r="C33" s="2">
        <v>2025</v>
      </c>
      <c r="D33" s="2" t="s">
        <v>346</v>
      </c>
      <c r="E33" s="2" t="s">
        <v>476</v>
      </c>
      <c r="F33" s="2" t="s">
        <v>477</v>
      </c>
      <c r="G33" s="2" t="s">
        <v>5</v>
      </c>
      <c r="H33" s="2" t="s">
        <v>5</v>
      </c>
      <c r="I33" s="2" t="s">
        <v>478</v>
      </c>
    </row>
    <row r="34" spans="1:9" ht="71.400000000000006" hidden="1" x14ac:dyDescent="0.3">
      <c r="A34" s="2">
        <v>36</v>
      </c>
      <c r="B34" s="2" t="s">
        <v>296</v>
      </c>
      <c r="C34" s="2">
        <v>2025</v>
      </c>
      <c r="D34" s="2" t="s">
        <v>347</v>
      </c>
      <c r="E34" s="2" t="s">
        <v>479</v>
      </c>
      <c r="F34" s="2" t="s">
        <v>480</v>
      </c>
      <c r="G34" s="2" t="s">
        <v>5</v>
      </c>
      <c r="H34" s="2" t="s">
        <v>5</v>
      </c>
      <c r="I34" s="2" t="s">
        <v>484</v>
      </c>
    </row>
    <row r="35" spans="1:9" ht="112.2" x14ac:dyDescent="0.3">
      <c r="A35" s="15">
        <v>16</v>
      </c>
      <c r="B35" s="15" t="s">
        <v>321</v>
      </c>
      <c r="C35" s="15">
        <v>2025</v>
      </c>
      <c r="D35" s="18" t="s">
        <v>322</v>
      </c>
      <c r="E35" s="15" t="s">
        <v>410</v>
      </c>
      <c r="F35" s="15" t="s">
        <v>411</v>
      </c>
      <c r="G35" s="15" t="s">
        <v>412</v>
      </c>
      <c r="H35" s="15" t="s">
        <v>413</v>
      </c>
      <c r="I35" s="15" t="s">
        <v>414</v>
      </c>
    </row>
    <row r="36" spans="1:9" ht="91.8" hidden="1" x14ac:dyDescent="0.3">
      <c r="A36" s="15">
        <v>15</v>
      </c>
      <c r="B36" s="15" t="s">
        <v>319</v>
      </c>
      <c r="C36" s="15">
        <v>2025</v>
      </c>
      <c r="D36" s="18" t="s">
        <v>320</v>
      </c>
      <c r="E36" s="15" t="s">
        <v>407</v>
      </c>
      <c r="F36" s="15" t="s">
        <v>408</v>
      </c>
      <c r="G36" s="15" t="s">
        <v>5</v>
      </c>
      <c r="H36" s="15" t="s">
        <v>5</v>
      </c>
      <c r="I36" s="15" t="s">
        <v>409</v>
      </c>
    </row>
    <row r="37" spans="1:9" ht="102" hidden="1" x14ac:dyDescent="0.3">
      <c r="A37" s="15">
        <v>12</v>
      </c>
      <c r="B37" s="15" t="s">
        <v>315</v>
      </c>
      <c r="C37" s="15">
        <v>2025</v>
      </c>
      <c r="D37" s="18" t="s">
        <v>316</v>
      </c>
      <c r="E37" s="15" t="s">
        <v>396</v>
      </c>
      <c r="F37" s="15" t="s">
        <v>397</v>
      </c>
      <c r="G37" s="15" t="s">
        <v>5</v>
      </c>
      <c r="H37" s="15" t="s">
        <v>5</v>
      </c>
      <c r="I37" s="15" t="s">
        <v>398</v>
      </c>
    </row>
    <row r="38" spans="1:9" ht="102" hidden="1" x14ac:dyDescent="0.3">
      <c r="A38" s="15">
        <v>14</v>
      </c>
      <c r="B38" s="15" t="s">
        <v>315</v>
      </c>
      <c r="C38" s="15">
        <v>2025</v>
      </c>
      <c r="D38" s="18" t="s">
        <v>318</v>
      </c>
      <c r="E38" s="15" t="s">
        <v>404</v>
      </c>
      <c r="F38" s="15" t="s">
        <v>405</v>
      </c>
      <c r="G38" s="15" t="s">
        <v>5</v>
      </c>
      <c r="H38" s="15" t="s">
        <v>5</v>
      </c>
      <c r="I38" s="15" t="s">
        <v>406</v>
      </c>
    </row>
    <row r="39" spans="1:9" ht="81.599999999999994" hidden="1" x14ac:dyDescent="0.3">
      <c r="A39" s="2">
        <v>41</v>
      </c>
      <c r="B39" s="2" t="s">
        <v>352</v>
      </c>
      <c r="C39" s="2">
        <v>2025</v>
      </c>
      <c r="D39" s="2" t="s">
        <v>353</v>
      </c>
      <c r="E39" s="2" t="s">
        <v>496</v>
      </c>
      <c r="F39" s="2" t="s">
        <v>491</v>
      </c>
      <c r="G39" s="2" t="s">
        <v>492</v>
      </c>
      <c r="H39" s="2" t="s">
        <v>493</v>
      </c>
      <c r="I39" s="2" t="s">
        <v>494</v>
      </c>
    </row>
    <row r="40" spans="1:9" ht="81.599999999999994" hidden="1" x14ac:dyDescent="0.3">
      <c r="A40" s="2">
        <v>42</v>
      </c>
      <c r="B40" s="2" t="s">
        <v>302</v>
      </c>
      <c r="C40" s="2">
        <v>2025</v>
      </c>
      <c r="D40" s="2" t="s">
        <v>304</v>
      </c>
      <c r="E40" s="2" t="s">
        <v>497</v>
      </c>
      <c r="F40" s="2" t="s">
        <v>495</v>
      </c>
      <c r="G40" s="2" t="s">
        <v>5</v>
      </c>
      <c r="H40" s="2" t="s">
        <v>5</v>
      </c>
      <c r="I40" s="2" t="s">
        <v>498</v>
      </c>
    </row>
    <row r="41" spans="1:9" ht="91.8" hidden="1" x14ac:dyDescent="0.3">
      <c r="A41" s="15">
        <v>11</v>
      </c>
      <c r="B41" s="15" t="s">
        <v>313</v>
      </c>
      <c r="C41" s="15">
        <v>2025</v>
      </c>
      <c r="D41" s="18" t="s">
        <v>314</v>
      </c>
      <c r="E41" s="15" t="s">
        <v>393</v>
      </c>
      <c r="F41" s="15" t="s">
        <v>394</v>
      </c>
      <c r="G41" s="15" t="s">
        <v>5</v>
      </c>
      <c r="H41" s="15" t="s">
        <v>5</v>
      </c>
      <c r="I41" s="15" t="s">
        <v>395</v>
      </c>
    </row>
    <row r="42" spans="1:9" ht="71.400000000000006" hidden="1" x14ac:dyDescent="0.3">
      <c r="A42" s="2">
        <v>44</v>
      </c>
      <c r="B42" s="2" t="s">
        <v>300</v>
      </c>
      <c r="C42" s="2">
        <v>2025</v>
      </c>
      <c r="D42" s="2" t="s">
        <v>301</v>
      </c>
      <c r="E42" s="2" t="s">
        <v>502</v>
      </c>
      <c r="F42" s="2" t="s">
        <v>503</v>
      </c>
      <c r="G42" s="2" t="s">
        <v>5</v>
      </c>
      <c r="H42" s="2" t="s">
        <v>5</v>
      </c>
      <c r="I42" s="2" t="s">
        <v>504</v>
      </c>
    </row>
  </sheetData>
  <autoFilter ref="A1:I42" xr:uid="{B3300956-C53D-4A11-9817-778FD6FCAE6A}">
    <filterColumn colId="3">
      <colorFilter dxfId="0"/>
    </filterColumn>
    <filterColumn colId="6">
      <filters>
        <filter val="Human PDAC/PanIN tissues; ADM, PanIN, KPC/KC mouse models; subcutaneous, orthotopic, and liver metastasis mouse models"/>
        <filter val="Subcutaneous KPC xenograft mouse model (C57BL/6J); human PAAD cohorts; multi-cohort WES datasets"/>
      </filters>
    </filterColumn>
    <sortState xmlns:xlrd2="http://schemas.microsoft.com/office/spreadsheetml/2017/richdata2" ref="A3:I41">
      <sortCondition ref="B1:B42"/>
    </sortState>
  </autoFilter>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B8A86-14EB-483F-AB50-B536CB469859}">
  <sheetPr>
    <tabColor rgb="FF462300"/>
  </sheetPr>
  <dimension ref="B6:U38"/>
  <sheetViews>
    <sheetView tabSelected="1" zoomScale="80" zoomScaleNormal="80" workbookViewId="0">
      <selection activeCell="B6" sqref="B6:I17"/>
    </sheetView>
  </sheetViews>
  <sheetFormatPr defaultRowHeight="14.4" x14ac:dyDescent="0.3"/>
  <cols>
    <col min="1" max="16384" width="8.88671875" style="1"/>
  </cols>
  <sheetData>
    <row r="6" spans="2:2" x14ac:dyDescent="0.3">
      <c r="B6" s="5" t="s">
        <v>251</v>
      </c>
    </row>
    <row r="7" spans="2:2" x14ac:dyDescent="0.3">
      <c r="B7" s="1" t="s">
        <v>252</v>
      </c>
    </row>
    <row r="8" spans="2:2" x14ac:dyDescent="0.3">
      <c r="B8" s="1" t="s">
        <v>253</v>
      </c>
    </row>
    <row r="9" spans="2:2" x14ac:dyDescent="0.3">
      <c r="B9" s="1" t="s">
        <v>254</v>
      </c>
    </row>
    <row r="10" spans="2:2" x14ac:dyDescent="0.3">
      <c r="B10" s="1" t="s">
        <v>255</v>
      </c>
    </row>
    <row r="11" spans="2:2" x14ac:dyDescent="0.3">
      <c r="B11" s="1" t="s">
        <v>256</v>
      </c>
    </row>
    <row r="13" spans="2:2" x14ac:dyDescent="0.3">
      <c r="B13" s="5" t="s">
        <v>257</v>
      </c>
    </row>
    <row r="14" spans="2:2" x14ac:dyDescent="0.3">
      <c r="B14" s="1" t="s">
        <v>258</v>
      </c>
    </row>
    <row r="15" spans="2:2" x14ac:dyDescent="0.3">
      <c r="B15" s="1" t="s">
        <v>259</v>
      </c>
    </row>
    <row r="16" spans="2:2" x14ac:dyDescent="0.3">
      <c r="B16" s="1" t="s">
        <v>260</v>
      </c>
    </row>
    <row r="38" spans="21:21" x14ac:dyDescent="0.3">
      <c r="U38" s="29"/>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F6C48-C387-4AA9-92A0-17AD13DF79C1}">
  <sheetPr>
    <tabColor rgb="FF462300"/>
  </sheetPr>
  <dimension ref="A1:B10"/>
  <sheetViews>
    <sheetView zoomScale="90" zoomScaleNormal="90" workbookViewId="0">
      <pane ySplit="1" topLeftCell="A2" activePane="bottomLeft" state="frozen"/>
      <selection pane="bottomLeft"/>
    </sheetView>
  </sheetViews>
  <sheetFormatPr defaultColWidth="11.5546875" defaultRowHeight="14.4" x14ac:dyDescent="0.3"/>
  <cols>
    <col min="1" max="1" width="27.6640625" style="3" customWidth="1"/>
    <col min="2" max="2" width="9.6640625" style="3" customWidth="1"/>
    <col min="3" max="16384" width="11.5546875" style="3"/>
  </cols>
  <sheetData>
    <row r="1" spans="1:2" x14ac:dyDescent="0.3">
      <c r="A1" s="8" t="s">
        <v>112</v>
      </c>
      <c r="B1" s="8" t="s">
        <v>111</v>
      </c>
    </row>
    <row r="2" spans="1:2" x14ac:dyDescent="0.3">
      <c r="A2" s="9" t="s">
        <v>110</v>
      </c>
      <c r="B2" s="9" t="s">
        <v>109</v>
      </c>
    </row>
    <row r="3" spans="1:2" x14ac:dyDescent="0.3">
      <c r="A3" s="9" t="s">
        <v>108</v>
      </c>
      <c r="B3" s="9" t="s">
        <v>95</v>
      </c>
    </row>
    <row r="4" spans="1:2" x14ac:dyDescent="0.3">
      <c r="A4" s="9" t="s">
        <v>107</v>
      </c>
      <c r="B4" s="9" t="s">
        <v>106</v>
      </c>
    </row>
    <row r="5" spans="1:2" x14ac:dyDescent="0.3">
      <c r="A5" s="9" t="s">
        <v>105</v>
      </c>
      <c r="B5" s="9" t="s">
        <v>104</v>
      </c>
    </row>
    <row r="6" spans="1:2" x14ac:dyDescent="0.3">
      <c r="A6" s="9" t="s">
        <v>103</v>
      </c>
      <c r="B6" s="9" t="s">
        <v>94</v>
      </c>
    </row>
    <row r="7" spans="1:2" x14ac:dyDescent="0.3">
      <c r="A7" s="9" t="s">
        <v>102</v>
      </c>
      <c r="B7" s="9" t="s">
        <v>101</v>
      </c>
    </row>
    <row r="8" spans="1:2" x14ac:dyDescent="0.3">
      <c r="A8" s="9" t="s">
        <v>100</v>
      </c>
      <c r="B8" s="9" t="s">
        <v>99</v>
      </c>
    </row>
    <row r="9" spans="1:2" x14ac:dyDescent="0.3">
      <c r="A9" s="9" t="s">
        <v>98</v>
      </c>
      <c r="B9" s="9" t="s">
        <v>97</v>
      </c>
    </row>
    <row r="10" spans="1:2" x14ac:dyDescent="0.3">
      <c r="A10" s="9" t="s">
        <v>96</v>
      </c>
      <c r="B10" s="9" t="s">
        <v>6</v>
      </c>
    </row>
  </sheetData>
  <autoFilter ref="A1:B10" xr:uid="{00000000-0009-0000-0000-000002000000}"/>
  <pageMargins left="0.7" right="0.7" top="0.75" bottom="0.75" header="0.3" footer="0.3"/>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64D52-5102-45EA-AF35-6E3B8F9CE774}">
  <sheetPr>
    <tabColor rgb="FF462300"/>
  </sheetPr>
  <dimension ref="A1:W126"/>
  <sheetViews>
    <sheetView zoomScale="70" zoomScaleNormal="70" workbookViewId="0">
      <pane ySplit="1" topLeftCell="A2" activePane="bottomLeft" state="frozen"/>
      <selection pane="bottomLeft" activeCell="Z10" sqref="Z10"/>
    </sheetView>
  </sheetViews>
  <sheetFormatPr defaultColWidth="11.5546875" defaultRowHeight="14.4" x14ac:dyDescent="0.3"/>
  <cols>
    <col min="1" max="1" width="10.6640625" style="3" customWidth="1"/>
    <col min="2" max="3" width="11.6640625" style="3" customWidth="1"/>
    <col min="4" max="4" width="13.6640625" style="3" customWidth="1"/>
    <col min="5" max="5" width="14.6640625" style="3" customWidth="1"/>
    <col min="6" max="6" width="13.5546875" style="3" bestFit="1" customWidth="1"/>
    <col min="7" max="7" width="8.6640625" style="3" customWidth="1"/>
    <col min="8" max="8" width="11.6640625" style="3" customWidth="1"/>
    <col min="9" max="9" width="10.6640625" style="3" customWidth="1"/>
    <col min="10" max="10" width="11.44140625" style="3" bestFit="1" customWidth="1"/>
    <col min="11" max="11" width="8.6640625" style="3" customWidth="1"/>
    <col min="12" max="12" width="12.6640625" style="3" bestFit="1" customWidth="1"/>
    <col min="13" max="13" width="7.6640625" style="3" customWidth="1"/>
    <col min="14" max="14" width="11.5546875" style="3" bestFit="1" customWidth="1"/>
    <col min="15" max="15" width="11.5546875" style="3"/>
    <col min="16" max="16" width="55.5546875" style="3" customWidth="1"/>
    <col min="17" max="22" width="17.5546875" style="3" customWidth="1"/>
    <col min="23" max="16384" width="11.5546875" style="3"/>
  </cols>
  <sheetData>
    <row r="1" spans="1:23" ht="15.6" x14ac:dyDescent="0.3">
      <c r="A1" s="8" t="s">
        <v>248</v>
      </c>
      <c r="B1" s="8" t="s">
        <v>247</v>
      </c>
      <c r="C1" s="8" t="s">
        <v>246</v>
      </c>
      <c r="D1" s="8" t="s">
        <v>245</v>
      </c>
      <c r="E1" s="8" t="s">
        <v>244</v>
      </c>
      <c r="F1" s="8" t="s">
        <v>243</v>
      </c>
      <c r="G1" s="8" t="s">
        <v>242</v>
      </c>
      <c r="H1" s="8" t="s">
        <v>241</v>
      </c>
      <c r="I1" s="8" t="s">
        <v>240</v>
      </c>
      <c r="J1" s="8" t="s">
        <v>80</v>
      </c>
      <c r="K1" s="8" t="s">
        <v>79</v>
      </c>
      <c r="L1" s="8" t="s">
        <v>81</v>
      </c>
      <c r="M1" s="8" t="s">
        <v>78</v>
      </c>
      <c r="N1" s="8" t="s">
        <v>82</v>
      </c>
      <c r="P1" s="19" t="s">
        <v>507</v>
      </c>
      <c r="W1"/>
    </row>
    <row r="2" spans="1:23" x14ac:dyDescent="0.3">
      <c r="A2" s="9" t="s">
        <v>239</v>
      </c>
      <c r="B2" s="9" t="s">
        <v>114</v>
      </c>
      <c r="C2" s="9" t="s">
        <v>113</v>
      </c>
      <c r="D2" s="9" t="s">
        <v>91</v>
      </c>
      <c r="E2" s="9" t="s">
        <v>93</v>
      </c>
      <c r="F2" s="10">
        <v>7</v>
      </c>
      <c r="G2" s="10">
        <v>1</v>
      </c>
      <c r="H2" s="10">
        <v>-0.81184410035300003</v>
      </c>
      <c r="I2" s="9" t="s">
        <v>87</v>
      </c>
      <c r="J2" s="10">
        <v>4.649</v>
      </c>
      <c r="K2" s="10">
        <v>0.34399999999999997</v>
      </c>
      <c r="L2" s="10">
        <v>5.7110000000000003</v>
      </c>
      <c r="M2" s="10">
        <v>3.214</v>
      </c>
      <c r="N2" s="10">
        <v>0.72199999999999998</v>
      </c>
      <c r="P2" s="20" t="s">
        <v>516</v>
      </c>
      <c r="W2"/>
    </row>
    <row r="3" spans="1:23" x14ac:dyDescent="0.3">
      <c r="A3" s="9" t="s">
        <v>238</v>
      </c>
      <c r="B3" s="9" t="s">
        <v>114</v>
      </c>
      <c r="C3" s="9" t="s">
        <v>113</v>
      </c>
      <c r="D3" s="9" t="s">
        <v>91</v>
      </c>
      <c r="E3" s="9" t="s">
        <v>92</v>
      </c>
      <c r="F3" s="10">
        <v>11</v>
      </c>
      <c r="G3" s="10">
        <v>1</v>
      </c>
      <c r="H3" s="10">
        <v>-1.3308256895949999</v>
      </c>
      <c r="I3" s="9" t="s">
        <v>87</v>
      </c>
      <c r="J3" s="10">
        <v>5.4619999999999997</v>
      </c>
      <c r="K3" s="10">
        <v>0.96199999999999997</v>
      </c>
      <c r="L3" s="10">
        <v>6.0410000000000004</v>
      </c>
      <c r="M3" s="10">
        <v>3.7770000000000001</v>
      </c>
      <c r="N3" s="10">
        <v>1.0649999999999999</v>
      </c>
      <c r="W3"/>
    </row>
    <row r="4" spans="1:23" x14ac:dyDescent="0.3">
      <c r="A4" s="9" t="s">
        <v>237</v>
      </c>
      <c r="B4" s="9" t="s">
        <v>114</v>
      </c>
      <c r="C4" s="9" t="s">
        <v>113</v>
      </c>
      <c r="D4" s="9" t="s">
        <v>93</v>
      </c>
      <c r="E4" s="9" t="s">
        <v>91</v>
      </c>
      <c r="F4" s="10">
        <v>47</v>
      </c>
      <c r="G4" s="10">
        <v>0</v>
      </c>
      <c r="H4" s="10">
        <v>-0.45737464100699998</v>
      </c>
      <c r="I4" s="9" t="s">
        <v>87</v>
      </c>
      <c r="J4" s="10">
        <v>3.9350000000000001</v>
      </c>
      <c r="K4" s="10">
        <v>0.88</v>
      </c>
      <c r="L4" s="10">
        <v>5.7489999999999997</v>
      </c>
      <c r="M4" s="10">
        <v>3.5880000000000001</v>
      </c>
      <c r="N4" s="10">
        <v>1.3129999999999999</v>
      </c>
      <c r="P4" s="4" t="s">
        <v>112</v>
      </c>
      <c r="Q4" s="4" t="s">
        <v>508</v>
      </c>
      <c r="R4" s="4" t="s">
        <v>509</v>
      </c>
      <c r="S4" s="4" t="s">
        <v>510</v>
      </c>
      <c r="W4"/>
    </row>
    <row r="5" spans="1:23" x14ac:dyDescent="0.3">
      <c r="A5" s="9" t="s">
        <v>236</v>
      </c>
      <c r="B5" s="9" t="s">
        <v>114</v>
      </c>
      <c r="C5" s="9" t="s">
        <v>113</v>
      </c>
      <c r="D5" s="9" t="s">
        <v>93</v>
      </c>
      <c r="E5" s="9" t="s">
        <v>92</v>
      </c>
      <c r="F5" s="10">
        <v>10</v>
      </c>
      <c r="G5" s="10">
        <v>1</v>
      </c>
      <c r="H5" s="10">
        <v>0.36907541079900003</v>
      </c>
      <c r="I5" s="9" t="s">
        <v>88</v>
      </c>
      <c r="J5" s="10">
        <v>5.4770000000000003</v>
      </c>
      <c r="K5" s="10">
        <v>0.45800000000000002</v>
      </c>
      <c r="L5" s="10">
        <v>6.4740000000000002</v>
      </c>
      <c r="M5" s="10">
        <v>5.1059999999999999</v>
      </c>
      <c r="N5" s="10">
        <v>1.387</v>
      </c>
      <c r="P5" s="3" t="s">
        <v>511</v>
      </c>
      <c r="Q5" s="3">
        <f>SUMPRODUCT(($D$2:$D$126="1")*1)</f>
        <v>89</v>
      </c>
      <c r="R5" s="3">
        <f>SUMPRODUCT(($D$2:$D$126="2")*1)</f>
        <v>36</v>
      </c>
      <c r="W5"/>
    </row>
    <row r="6" spans="1:23" x14ac:dyDescent="0.3">
      <c r="A6" s="9" t="s">
        <v>235</v>
      </c>
      <c r="B6" s="9" t="s">
        <v>114</v>
      </c>
      <c r="C6" s="9" t="s">
        <v>113</v>
      </c>
      <c r="D6" s="9" t="s">
        <v>93</v>
      </c>
      <c r="E6" s="9" t="s">
        <v>92</v>
      </c>
      <c r="F6" s="10">
        <v>1</v>
      </c>
      <c r="G6" s="10">
        <v>1</v>
      </c>
      <c r="H6" s="10">
        <v>0.19519016747000001</v>
      </c>
      <c r="I6" s="9" t="s">
        <v>88</v>
      </c>
      <c r="J6" s="10">
        <v>7.21</v>
      </c>
      <c r="K6" s="10">
        <v>0.88700000000000001</v>
      </c>
      <c r="L6" s="10">
        <v>7.2720000000000002</v>
      </c>
      <c r="M6" s="10">
        <v>4.3979999999999997</v>
      </c>
      <c r="N6" s="10">
        <v>0.97199999999999998</v>
      </c>
      <c r="P6" s="3" t="s">
        <v>517</v>
      </c>
      <c r="Q6" s="26">
        <f>SUMPRODUCT(($D$2:$D$126="1")*$F$2:$F$126)/$Q$5</f>
        <v>18.393258426966291</v>
      </c>
      <c r="R6" s="26">
        <f>SUMPRODUCT(($D$2:$D$126="2")*$F$2:$F$126)/$R$5</f>
        <v>11.694444444444445</v>
      </c>
    </row>
    <row r="7" spans="1:23" x14ac:dyDescent="0.3">
      <c r="A7" s="9" t="s">
        <v>234</v>
      </c>
      <c r="B7" s="9" t="s">
        <v>114</v>
      </c>
      <c r="C7" s="9" t="s">
        <v>113</v>
      </c>
      <c r="D7" s="9" t="s">
        <v>91</v>
      </c>
      <c r="E7" s="9" t="s">
        <v>92</v>
      </c>
      <c r="F7" s="10">
        <v>6</v>
      </c>
      <c r="G7" s="10">
        <v>1</v>
      </c>
      <c r="H7" s="10">
        <v>-0.85558865345199997</v>
      </c>
      <c r="I7" s="9" t="s">
        <v>87</v>
      </c>
      <c r="J7" s="10">
        <v>4.2290000000000001</v>
      </c>
      <c r="K7" s="10">
        <v>1.2529999999999999</v>
      </c>
      <c r="L7" s="10">
        <v>7.5839999999999996</v>
      </c>
      <c r="M7" s="10">
        <v>4.1289999999999996</v>
      </c>
      <c r="N7" s="10">
        <v>0.57899999999999996</v>
      </c>
      <c r="P7" s="3" t="s">
        <v>512</v>
      </c>
      <c r="Q7" s="21">
        <f>SUMPRODUCT(($D$2:$D$126="1")*$G$2:$G$126)/$Q$5</f>
        <v>0.6404494382022472</v>
      </c>
      <c r="R7" s="21">
        <f>SUMPRODUCT(($D$2:$D$126="2")*$G$2:$G$126)/$R$5</f>
        <v>0.75</v>
      </c>
    </row>
    <row r="8" spans="1:23" x14ac:dyDescent="0.3">
      <c r="A8" s="9" t="s">
        <v>233</v>
      </c>
      <c r="B8" s="9" t="s">
        <v>114</v>
      </c>
      <c r="C8" s="9" t="s">
        <v>113</v>
      </c>
      <c r="D8" s="9" t="s">
        <v>93</v>
      </c>
      <c r="E8" s="9" t="s">
        <v>92</v>
      </c>
      <c r="F8" s="10">
        <v>2</v>
      </c>
      <c r="G8" s="10">
        <v>1</v>
      </c>
      <c r="H8" s="10">
        <v>-1.495379444706</v>
      </c>
      <c r="I8" s="9" t="s">
        <v>87</v>
      </c>
      <c r="J8" s="10">
        <v>5.2709999999999999</v>
      </c>
      <c r="K8" s="10">
        <v>0.76800000000000002</v>
      </c>
      <c r="L8" s="10">
        <v>7.3140000000000001</v>
      </c>
      <c r="M8" s="10">
        <v>3.5990000000000002</v>
      </c>
      <c r="N8" s="10">
        <v>1.2010000000000001</v>
      </c>
      <c r="P8" s="4" t="s">
        <v>513</v>
      </c>
      <c r="Q8" s="22">
        <f>SUMPRODUCT(($D$2:$D$126="1")*$H$2:$H$126)/$Q$5</f>
        <v>-0.46148031887755048</v>
      </c>
      <c r="R8" s="22">
        <f>SUMPRODUCT(($D$2:$D$126="2")*$H$2:$H$126)/$R$5</f>
        <v>-0.62794114157763892</v>
      </c>
      <c r="S8" s="22">
        <f>Q8-R8</f>
        <v>0.16646082270008844</v>
      </c>
    </row>
    <row r="9" spans="1:23" x14ac:dyDescent="0.3">
      <c r="A9" s="9" t="s">
        <v>232</v>
      </c>
      <c r="B9" s="9" t="s">
        <v>114</v>
      </c>
      <c r="C9" s="9" t="s">
        <v>113</v>
      </c>
      <c r="D9" s="9" t="s">
        <v>91</v>
      </c>
      <c r="E9" s="9" t="s">
        <v>91</v>
      </c>
      <c r="F9" s="10">
        <v>2</v>
      </c>
      <c r="G9" s="10">
        <v>0</v>
      </c>
      <c r="H9" s="10">
        <v>-0.41729140325300002</v>
      </c>
      <c r="I9" s="9" t="s">
        <v>88</v>
      </c>
      <c r="J9" s="10">
        <v>6.7720000000000002</v>
      </c>
      <c r="K9" s="10">
        <v>0.95</v>
      </c>
      <c r="L9" s="10">
        <v>6.7080000000000002</v>
      </c>
      <c r="M9" s="10">
        <v>4.5339999999999998</v>
      </c>
      <c r="N9" s="10">
        <v>0.71899999999999997</v>
      </c>
      <c r="P9" s="3" t="s">
        <v>514</v>
      </c>
      <c r="Q9" s="23">
        <f>SQRT(SUMPRODUCT(($D$2:$D$126="1")*($H$2:$H$126-$Q$8)^2)/($Q$5-1))</f>
        <v>0.73929927665005712</v>
      </c>
      <c r="R9" s="23">
        <f>SQRT(SUMPRODUCT(($D$2:$D$126="2")*($H$2:$H$126-$R$8)^2)/($R$5-1))</f>
        <v>0.79470662089800104</v>
      </c>
    </row>
    <row r="10" spans="1:23" x14ac:dyDescent="0.3">
      <c r="A10" s="9" t="s">
        <v>231</v>
      </c>
      <c r="B10" s="9" t="s">
        <v>114</v>
      </c>
      <c r="C10" s="9" t="s">
        <v>113</v>
      </c>
      <c r="D10" s="9" t="s">
        <v>93</v>
      </c>
      <c r="E10" s="9" t="s">
        <v>92</v>
      </c>
      <c r="F10" s="10">
        <v>17</v>
      </c>
      <c r="G10" s="10">
        <v>0</v>
      </c>
      <c r="H10" s="10">
        <v>1.067085999466</v>
      </c>
      <c r="I10" s="9" t="s">
        <v>88</v>
      </c>
      <c r="J10" s="10">
        <v>13.109</v>
      </c>
      <c r="K10" s="10">
        <v>2.1030000000000002</v>
      </c>
      <c r="L10" s="10">
        <v>8.2460000000000004</v>
      </c>
      <c r="M10" s="10">
        <v>6.4180000000000001</v>
      </c>
      <c r="N10" s="10">
        <v>0.48199999999999998</v>
      </c>
      <c r="P10" s="3" t="s">
        <v>518</v>
      </c>
      <c r="S10" s="25">
        <f>($Q$8-$R$8)/SQRT($Q$9^2/$Q$5+$R$9^2/$R$5)</f>
        <v>1.0816339790831615</v>
      </c>
    </row>
    <row r="11" spans="1:23" x14ac:dyDescent="0.3">
      <c r="A11" s="9" t="s">
        <v>230</v>
      </c>
      <c r="B11" s="9" t="s">
        <v>114</v>
      </c>
      <c r="C11" s="9" t="s">
        <v>113</v>
      </c>
      <c r="D11" s="9" t="s">
        <v>93</v>
      </c>
      <c r="E11" s="9" t="s">
        <v>92</v>
      </c>
      <c r="F11" s="10">
        <v>49</v>
      </c>
      <c r="G11" s="10">
        <v>1</v>
      </c>
      <c r="H11" s="10">
        <v>4.4660864582999997E-2</v>
      </c>
      <c r="I11" s="9" t="s">
        <v>88</v>
      </c>
      <c r="J11" s="10">
        <v>5.8929999999999998</v>
      </c>
      <c r="K11" s="10">
        <v>0.60299999999999998</v>
      </c>
      <c r="L11" s="10">
        <v>5.8810000000000002</v>
      </c>
      <c r="M11" s="10">
        <v>4.5119999999999996</v>
      </c>
      <c r="N11" s="10">
        <v>0.77600000000000002</v>
      </c>
      <c r="P11" s="3" t="s">
        <v>519</v>
      </c>
      <c r="S11" s="26">
        <f>($Q$9^2/$Q$5+$R$9^2/$R$5)^2/(($Q$9^2/$Q$5)^2/($Q$5-1)+($R$9^2/$R$5)^2/($R$5-1))</f>
        <v>60.828308508200287</v>
      </c>
    </row>
    <row r="12" spans="1:23" x14ac:dyDescent="0.3">
      <c r="A12" s="9" t="s">
        <v>229</v>
      </c>
      <c r="B12" s="9" t="s">
        <v>114</v>
      </c>
      <c r="C12" s="9" t="s">
        <v>113</v>
      </c>
      <c r="D12" s="9" t="s">
        <v>93</v>
      </c>
      <c r="E12" s="9" t="s">
        <v>91</v>
      </c>
      <c r="F12" s="10">
        <v>52</v>
      </c>
      <c r="G12" s="10">
        <v>0</v>
      </c>
      <c r="H12" s="10">
        <v>-0.79884092663299999</v>
      </c>
      <c r="I12" s="9" t="s">
        <v>87</v>
      </c>
      <c r="J12" s="10">
        <v>4.32</v>
      </c>
      <c r="K12" s="10">
        <v>0.67800000000000005</v>
      </c>
      <c r="L12" s="10">
        <v>6.6840000000000002</v>
      </c>
      <c r="M12" s="10">
        <v>3.8809999999999998</v>
      </c>
      <c r="N12" s="10">
        <v>1.0229999999999999</v>
      </c>
      <c r="P12" s="4" t="s">
        <v>520</v>
      </c>
      <c r="S12" s="27">
        <f>_xlfn.T.DIST.2T(ABS($S$10),$S$11)</f>
        <v>0.28374338672618798</v>
      </c>
    </row>
    <row r="13" spans="1:23" x14ac:dyDescent="0.3">
      <c r="A13" s="9" t="s">
        <v>228</v>
      </c>
      <c r="B13" s="9" t="s">
        <v>114</v>
      </c>
      <c r="C13" s="9" t="s">
        <v>113</v>
      </c>
      <c r="D13" s="9" t="s">
        <v>93</v>
      </c>
      <c r="E13" s="9" t="s">
        <v>91</v>
      </c>
      <c r="F13" s="10">
        <v>55</v>
      </c>
      <c r="G13" s="10">
        <v>0</v>
      </c>
      <c r="H13" s="10">
        <v>-1.378124870085</v>
      </c>
      <c r="I13" s="9" t="s">
        <v>87</v>
      </c>
      <c r="J13" s="10">
        <v>6.0039999999999996</v>
      </c>
      <c r="K13" s="10">
        <v>0.96699999999999997</v>
      </c>
      <c r="L13" s="10">
        <v>5.9020000000000001</v>
      </c>
      <c r="M13" s="10">
        <v>4.0430000000000001</v>
      </c>
      <c r="N13" s="10">
        <v>0.84</v>
      </c>
      <c r="P13" s="3" t="s">
        <v>515</v>
      </c>
      <c r="S13" s="25">
        <f>($Q$8-$R$8)/SQRT((($Q$5-1)*$Q$9^2+($R$5-1)*$R$9^2)/($Q$5+$R$5-2))</f>
        <v>0.22033801884887277</v>
      </c>
    </row>
    <row r="14" spans="1:23" x14ac:dyDescent="0.3">
      <c r="A14" s="9" t="s">
        <v>227</v>
      </c>
      <c r="B14" s="9" t="s">
        <v>114</v>
      </c>
      <c r="C14" s="9" t="s">
        <v>113</v>
      </c>
      <c r="D14" s="9" t="s">
        <v>93</v>
      </c>
      <c r="E14" s="9" t="s">
        <v>92</v>
      </c>
      <c r="F14" s="10">
        <v>8</v>
      </c>
      <c r="G14" s="10">
        <v>1</v>
      </c>
      <c r="H14" s="10">
        <v>-0.38215036728000001</v>
      </c>
      <c r="I14" s="9" t="s">
        <v>88</v>
      </c>
      <c r="J14" s="10">
        <v>7.008</v>
      </c>
      <c r="K14" s="10">
        <v>0.45800000000000002</v>
      </c>
      <c r="L14" s="10">
        <v>5.4740000000000002</v>
      </c>
      <c r="M14" s="10">
        <v>3.8820000000000001</v>
      </c>
      <c r="N14" s="10">
        <v>0.87</v>
      </c>
    </row>
    <row r="15" spans="1:23" x14ac:dyDescent="0.3">
      <c r="A15" s="9" t="s">
        <v>226</v>
      </c>
      <c r="B15" s="9" t="s">
        <v>114</v>
      </c>
      <c r="C15" s="9" t="s">
        <v>113</v>
      </c>
      <c r="D15" s="9" t="s">
        <v>93</v>
      </c>
      <c r="E15" s="9" t="s">
        <v>92</v>
      </c>
      <c r="F15" s="10">
        <v>19</v>
      </c>
      <c r="G15" s="10">
        <v>1</v>
      </c>
      <c r="H15" s="10">
        <v>0.50219488393400002</v>
      </c>
      <c r="I15" s="9" t="s">
        <v>88</v>
      </c>
      <c r="J15" s="10">
        <v>7.3460000000000001</v>
      </c>
      <c r="K15" s="10">
        <v>1.01</v>
      </c>
      <c r="L15" s="10">
        <v>7.726</v>
      </c>
      <c r="M15" s="10">
        <v>4.0090000000000003</v>
      </c>
      <c r="N15" s="10">
        <v>1.042</v>
      </c>
      <c r="P15" s="28" t="s">
        <v>521</v>
      </c>
    </row>
    <row r="16" spans="1:23" x14ac:dyDescent="0.3">
      <c r="A16" s="9" t="s">
        <v>225</v>
      </c>
      <c r="B16" s="9" t="s">
        <v>114</v>
      </c>
      <c r="C16" s="9" t="s">
        <v>113</v>
      </c>
      <c r="D16" s="9" t="s">
        <v>93</v>
      </c>
      <c r="E16" s="9" t="s">
        <v>93</v>
      </c>
      <c r="F16" s="10">
        <v>52</v>
      </c>
      <c r="G16" s="10">
        <v>0</v>
      </c>
      <c r="H16" s="10">
        <v>1.4839944499999301E-3</v>
      </c>
      <c r="I16" s="9" t="s">
        <v>88</v>
      </c>
      <c r="J16" s="10">
        <v>7.4939999999999998</v>
      </c>
      <c r="K16" s="10">
        <v>0.40300000000000002</v>
      </c>
      <c r="L16" s="10">
        <v>4.6189999999999998</v>
      </c>
      <c r="M16" s="10">
        <v>4.149</v>
      </c>
      <c r="N16" s="10">
        <v>0.90600000000000003</v>
      </c>
      <c r="P16" s="4" t="s">
        <v>83</v>
      </c>
      <c r="Q16" s="4" t="s">
        <v>522</v>
      </c>
      <c r="R16" s="4" t="s">
        <v>523</v>
      </c>
      <c r="S16" s="4" t="s">
        <v>524</v>
      </c>
      <c r="T16" s="4" t="s">
        <v>525</v>
      </c>
      <c r="U16" s="4" t="s">
        <v>526</v>
      </c>
      <c r="V16" s="4" t="s">
        <v>527</v>
      </c>
    </row>
    <row r="17" spans="1:22" x14ac:dyDescent="0.3">
      <c r="A17" s="9" t="s">
        <v>224</v>
      </c>
      <c r="B17" s="9" t="s">
        <v>114</v>
      </c>
      <c r="C17" s="9" t="s">
        <v>113</v>
      </c>
      <c r="D17" s="9" t="s">
        <v>91</v>
      </c>
      <c r="E17" s="9" t="s">
        <v>93</v>
      </c>
      <c r="F17" s="10">
        <v>18</v>
      </c>
      <c r="G17" s="10">
        <v>1</v>
      </c>
      <c r="H17" s="10">
        <v>-1.119320983825</v>
      </c>
      <c r="I17" s="9" t="s">
        <v>87</v>
      </c>
      <c r="J17" s="10">
        <v>4.9059999999999997</v>
      </c>
      <c r="K17" s="10">
        <v>0.59399999999999997</v>
      </c>
      <c r="L17" s="10">
        <v>4.6529999999999996</v>
      </c>
      <c r="M17" s="10">
        <v>2.97</v>
      </c>
      <c r="N17" s="10">
        <v>0.75900000000000001</v>
      </c>
      <c r="P17" s="3" t="str">
        <f>$J$1</f>
        <v>PRSS3</v>
      </c>
      <c r="Q17" s="23">
        <f>SUMPRODUCT(($D$2:$D$126="1")*$J$2:$J$126)/$Q$5</f>
        <v>7.0849887640449447</v>
      </c>
      <c r="R17" s="23">
        <f>SUMPRODUCT(($D$2:$D$126="2")*$J$2:$J$126)/$R$5</f>
        <v>6.7641944444444455</v>
      </c>
      <c r="S17" s="25">
        <f>($Q17-$R17)/SQRT((($Q$5-1)*$U17^2+($R$5-1)*$V17^2)/($Q$5+$R$5-2))</f>
        <v>0.11622024365985403</v>
      </c>
      <c r="T17" s="24">
        <f>_xlfn.T.DIST.2T(ABS($S17)*SQRT($Q$5*$R$5/($Q$5+$R$5)),$Q$5+$R$5-2)</f>
        <v>0.55734241301130616</v>
      </c>
      <c r="U17" s="23">
        <f>SQRT(SUMPRODUCT(($D$2:$D$126="1")*($J$2:$J$126-$Q17)^2)/($Q$5-1))</f>
        <v>2.5964836820661814</v>
      </c>
      <c r="V17" s="23">
        <f>SQRT(SUMPRODUCT(($D$2:$D$126="2")*($J$2:$J$126-$R17)^2)/($R$5-1))</f>
        <v>3.1343593085983019</v>
      </c>
    </row>
    <row r="18" spans="1:22" x14ac:dyDescent="0.3">
      <c r="A18" s="9" t="s">
        <v>223</v>
      </c>
      <c r="B18" s="9" t="s">
        <v>114</v>
      </c>
      <c r="C18" s="9" t="s">
        <v>113</v>
      </c>
      <c r="D18" s="9" t="s">
        <v>91</v>
      </c>
      <c r="E18" s="9" t="s">
        <v>91</v>
      </c>
      <c r="F18" s="10">
        <v>29</v>
      </c>
      <c r="G18" s="10">
        <v>1</v>
      </c>
      <c r="H18" s="10">
        <v>-0.39635090242799997</v>
      </c>
      <c r="I18" s="9" t="s">
        <v>88</v>
      </c>
      <c r="J18" s="10">
        <v>7.1929999999999996</v>
      </c>
      <c r="K18" s="10">
        <v>0.73299999999999998</v>
      </c>
      <c r="L18" s="10">
        <v>5.1109999999999998</v>
      </c>
      <c r="M18" s="10">
        <v>3.1930000000000001</v>
      </c>
      <c r="N18" s="10">
        <v>0.73299999999999998</v>
      </c>
      <c r="P18" s="3" t="str">
        <f>$K$1</f>
        <v>SLC16A10</v>
      </c>
      <c r="Q18" s="23">
        <f>SUMPRODUCT(($D$2:$D$126="1")*$K$2:$K$126)/$Q$5</f>
        <v>1.5777865168539329</v>
      </c>
      <c r="R18" s="23">
        <f>SUMPRODUCT(($D$2:$D$126="2")*$K$2:$K$126)/$R$5</f>
        <v>1.833777777777778</v>
      </c>
      <c r="S18" s="25">
        <f t="shared" ref="S18:S21" si="0">($Q18-$R18)/SQRT((($Q$5-1)*$U18^2+($R$5-1)*$V18^2)/($Q$5+$R$5-2))</f>
        <v>-0.26758438947639623</v>
      </c>
      <c r="T18" s="24">
        <f t="shared" ref="T18:T21" si="1">_xlfn.T.DIST.2T(ABS($S18)*SQRT($Q$5*$R$5/($Q$5+$R$5)),$Q$5+$R$5-2)</f>
        <v>0.17798745660305001</v>
      </c>
      <c r="U18" s="23">
        <f>SQRT(SUMPRODUCT(($D$2:$D$126="1")*($K$2:$K$126-$Q18)^2)/($Q$5-1))</f>
        <v>0.96438223834448611</v>
      </c>
      <c r="V18" s="23">
        <f>SQRT(SUMPRODUCT(($D$2:$D$126="2")*($K$2:$K$126-$R18)^2)/($R$5-1))</f>
        <v>0.93701630146243953</v>
      </c>
    </row>
    <row r="19" spans="1:22" x14ac:dyDescent="0.3">
      <c r="A19" s="9" t="s">
        <v>222</v>
      </c>
      <c r="B19" s="9" t="s">
        <v>114</v>
      </c>
      <c r="C19" s="9" t="s">
        <v>113</v>
      </c>
      <c r="D19" s="9" t="s">
        <v>91</v>
      </c>
      <c r="E19" s="9" t="s">
        <v>93</v>
      </c>
      <c r="F19" s="10">
        <v>43</v>
      </c>
      <c r="G19" s="10">
        <v>0</v>
      </c>
      <c r="H19" s="10">
        <v>0.31690619037700002</v>
      </c>
      <c r="I19" s="9" t="s">
        <v>88</v>
      </c>
      <c r="J19" s="10">
        <v>4.5570000000000004</v>
      </c>
      <c r="K19" s="10">
        <v>0.67</v>
      </c>
      <c r="L19" s="10">
        <v>6.4189999999999996</v>
      </c>
      <c r="M19" s="10">
        <v>2.6880000000000002</v>
      </c>
      <c r="N19" s="10">
        <v>0.38400000000000001</v>
      </c>
      <c r="P19" s="3" t="str">
        <f>$L$1</f>
        <v>FKBP11</v>
      </c>
      <c r="Q19" s="23">
        <f>SUMPRODUCT(($D$2:$D$126="1")*$L$2:$L$126)/$Q$5</f>
        <v>6.5612808988764018</v>
      </c>
      <c r="R19" s="23">
        <f>SUMPRODUCT(($D$2:$D$126="2")*$L$2:$L$126)/$R$5</f>
        <v>6.5889722222222211</v>
      </c>
      <c r="S19" s="25">
        <f t="shared" si="0"/>
        <v>-3.0996587928479855E-2</v>
      </c>
      <c r="T19" s="24">
        <f t="shared" si="1"/>
        <v>0.8755575575936253</v>
      </c>
      <c r="U19" s="23">
        <f>SQRT(SUMPRODUCT(($D$2:$D$126="1")*($L$2:$L$126-$Q19)^2)/($Q$5-1))</f>
        <v>0.89637050969659204</v>
      </c>
      <c r="V19" s="23">
        <f>SQRT(SUMPRODUCT(($D$2:$D$126="2")*($L$2:$L$126-$R19)^2)/($R$5-1))</f>
        <v>0.8857697051914345</v>
      </c>
    </row>
    <row r="20" spans="1:22" x14ac:dyDescent="0.3">
      <c r="A20" s="9" t="s">
        <v>221</v>
      </c>
      <c r="B20" s="9" t="s">
        <v>114</v>
      </c>
      <c r="C20" s="9" t="s">
        <v>113</v>
      </c>
      <c r="D20" s="9" t="s">
        <v>93</v>
      </c>
      <c r="E20" s="9" t="s">
        <v>92</v>
      </c>
      <c r="F20" s="10">
        <v>6</v>
      </c>
      <c r="G20" s="10">
        <v>1</v>
      </c>
      <c r="H20" s="10">
        <v>0.34934970973200002</v>
      </c>
      <c r="I20" s="9" t="s">
        <v>88</v>
      </c>
      <c r="J20" s="10">
        <v>6.7140000000000004</v>
      </c>
      <c r="K20" s="10">
        <v>0.747</v>
      </c>
      <c r="L20" s="10">
        <v>6.601</v>
      </c>
      <c r="M20" s="10">
        <v>2.8109999999999999</v>
      </c>
      <c r="N20" s="10">
        <v>0.375</v>
      </c>
      <c r="P20" s="3" t="str">
        <f>$M$1</f>
        <v>SLC43A1</v>
      </c>
      <c r="Q20" s="23">
        <f>SUMPRODUCT(($D$2:$D$126="1")*$M$2:$M$126)/$Q$5</f>
        <v>4.1525842696629205</v>
      </c>
      <c r="R20" s="23">
        <f>SUMPRODUCT(($D$2:$D$126="2")*$M$2:$M$126)/$R$5</f>
        <v>3.8086666666666664</v>
      </c>
      <c r="S20" s="25">
        <f t="shared" si="0"/>
        <v>0.35987431815009296</v>
      </c>
      <c r="T20" s="24">
        <f t="shared" si="1"/>
        <v>7.0888589175383279E-2</v>
      </c>
      <c r="U20" s="23">
        <f>SQRT(SUMPRODUCT(($D$2:$D$126="1")*($M$2:$M$126-$Q20)^2)/($Q$5-1))</f>
        <v>0.94163731689431585</v>
      </c>
      <c r="V20" s="23">
        <f>SQRT(SUMPRODUCT(($D$2:$D$126="2")*($M$2:$M$126-$R20)^2)/($R$5-1))</f>
        <v>0.99004100925163696</v>
      </c>
    </row>
    <row r="21" spans="1:22" x14ac:dyDescent="0.3">
      <c r="A21" s="9" t="s">
        <v>220</v>
      </c>
      <c r="B21" s="9" t="s">
        <v>114</v>
      </c>
      <c r="C21" s="9" t="s">
        <v>113</v>
      </c>
      <c r="D21" s="9" t="s">
        <v>93</v>
      </c>
      <c r="E21" s="9" t="s">
        <v>92</v>
      </c>
      <c r="F21" s="10">
        <v>42</v>
      </c>
      <c r="G21" s="10">
        <v>0</v>
      </c>
      <c r="H21" s="10">
        <v>-0.852310191248</v>
      </c>
      <c r="I21" s="9" t="s">
        <v>87</v>
      </c>
      <c r="J21" s="10">
        <v>5.1840000000000002</v>
      </c>
      <c r="K21" s="10">
        <v>1.5529999999999999</v>
      </c>
      <c r="L21" s="10">
        <v>6.069</v>
      </c>
      <c r="M21" s="10">
        <v>2.7370000000000001</v>
      </c>
      <c r="N21" s="10">
        <v>0.61199999999999999</v>
      </c>
      <c r="P21" s="3" t="str">
        <f>$N$1</f>
        <v>AMY2B</v>
      </c>
      <c r="Q21" s="23">
        <f>SUMPRODUCT(($D$2:$D$126="1")*$N$2:$N$126)/$Q$5</f>
        <v>1.0760112359550562</v>
      </c>
      <c r="R21" s="23">
        <f>SUMPRODUCT(($D$2:$D$126="2")*$N$2:$N$126)/$R$5</f>
        <v>1.0506944444444448</v>
      </c>
      <c r="S21" s="25">
        <f t="shared" si="0"/>
        <v>5.1388679557860084E-2</v>
      </c>
      <c r="T21" s="24">
        <f t="shared" si="1"/>
        <v>0.79516697812896497</v>
      </c>
      <c r="U21" s="23">
        <f>SQRT(SUMPRODUCT(($D$2:$D$126="1")*($N$2:$N$126-$Q21)^2)/($Q$5-1))</f>
        <v>0.48230515364855381</v>
      </c>
      <c r="V21" s="23">
        <f>SQRT(SUMPRODUCT(($D$2:$D$126="2")*($N$2:$N$126-$R21)^2)/($R$5-1))</f>
        <v>0.51775784849921846</v>
      </c>
    </row>
    <row r="22" spans="1:22" x14ac:dyDescent="0.3">
      <c r="A22" s="9" t="s">
        <v>219</v>
      </c>
      <c r="B22" s="9" t="s">
        <v>114</v>
      </c>
      <c r="C22" s="9" t="s">
        <v>113</v>
      </c>
      <c r="D22" s="9" t="s">
        <v>91</v>
      </c>
      <c r="E22" s="9" t="s">
        <v>92</v>
      </c>
      <c r="F22" s="10">
        <v>20</v>
      </c>
      <c r="G22" s="10">
        <v>1</v>
      </c>
      <c r="H22" s="10">
        <v>-1.1514206394940001</v>
      </c>
      <c r="I22" s="9" t="s">
        <v>87</v>
      </c>
      <c r="J22" s="10">
        <v>3.3860000000000001</v>
      </c>
      <c r="K22" s="10">
        <v>1.6240000000000001</v>
      </c>
      <c r="L22" s="10">
        <v>6.94</v>
      </c>
      <c r="M22" s="10">
        <v>3.3879999999999999</v>
      </c>
      <c r="N22" s="10">
        <v>0.70299999999999996</v>
      </c>
      <c r="U22"/>
    </row>
    <row r="23" spans="1:22" x14ac:dyDescent="0.3">
      <c r="A23" s="9" t="s">
        <v>218</v>
      </c>
      <c r="B23" s="9" t="s">
        <v>114</v>
      </c>
      <c r="C23" s="9" t="s">
        <v>113</v>
      </c>
      <c r="D23" s="9" t="s">
        <v>93</v>
      </c>
      <c r="E23" s="9" t="s">
        <v>92</v>
      </c>
      <c r="F23" s="10">
        <v>35</v>
      </c>
      <c r="G23" s="10">
        <v>1</v>
      </c>
      <c r="H23" s="10">
        <v>-0.78004490303999996</v>
      </c>
      <c r="I23" s="9" t="s">
        <v>87</v>
      </c>
      <c r="J23" s="10">
        <v>4.2220000000000004</v>
      </c>
      <c r="K23" s="10">
        <v>0.51200000000000001</v>
      </c>
      <c r="L23" s="10">
        <v>6.7859999999999996</v>
      </c>
      <c r="M23" s="10">
        <v>2.7730000000000001</v>
      </c>
      <c r="N23" s="10">
        <v>2.157</v>
      </c>
      <c r="P23" s="32" t="s">
        <v>528</v>
      </c>
      <c r="Q23" s="32"/>
      <c r="R23" s="32"/>
      <c r="S23" s="32"/>
      <c r="T23" s="32"/>
      <c r="U23" s="32"/>
      <c r="V23" s="32"/>
    </row>
    <row r="24" spans="1:22" x14ac:dyDescent="0.3">
      <c r="A24" s="9" t="s">
        <v>217</v>
      </c>
      <c r="B24" s="9" t="s">
        <v>114</v>
      </c>
      <c r="C24" s="9" t="s">
        <v>113</v>
      </c>
      <c r="D24" s="9" t="s">
        <v>93</v>
      </c>
      <c r="E24" s="9" t="s">
        <v>92</v>
      </c>
      <c r="F24" s="10">
        <v>13</v>
      </c>
      <c r="G24" s="10">
        <v>1</v>
      </c>
      <c r="H24" s="10">
        <v>0.583680450608</v>
      </c>
      <c r="I24" s="9" t="s">
        <v>88</v>
      </c>
      <c r="J24" s="10">
        <v>8.8249999999999993</v>
      </c>
      <c r="K24" s="10">
        <v>1.5129999999999999</v>
      </c>
      <c r="L24" s="10">
        <v>6.3869999999999996</v>
      </c>
      <c r="M24" s="10">
        <v>4.0990000000000002</v>
      </c>
      <c r="N24" s="10">
        <v>1.306</v>
      </c>
      <c r="P24" s="32" t="s">
        <v>529</v>
      </c>
      <c r="Q24" s="32"/>
      <c r="R24" s="32"/>
      <c r="S24" s="32"/>
      <c r="T24" s="32"/>
      <c r="U24" s="32"/>
      <c r="V24" s="32"/>
    </row>
    <row r="25" spans="1:22" x14ac:dyDescent="0.3">
      <c r="A25" s="9" t="s">
        <v>216</v>
      </c>
      <c r="B25" s="9" t="s">
        <v>114</v>
      </c>
      <c r="C25" s="9" t="s">
        <v>113</v>
      </c>
      <c r="D25" s="9" t="s">
        <v>93</v>
      </c>
      <c r="E25" s="9" t="s">
        <v>92</v>
      </c>
      <c r="F25" s="10">
        <v>21</v>
      </c>
      <c r="G25" s="10">
        <v>1</v>
      </c>
      <c r="H25" s="10">
        <v>4.9040931019999198E-3</v>
      </c>
      <c r="I25" s="9" t="s">
        <v>88</v>
      </c>
      <c r="J25" s="10">
        <v>10.298999999999999</v>
      </c>
      <c r="K25" s="10">
        <v>1.65</v>
      </c>
      <c r="L25" s="10">
        <v>6.7859999999999996</v>
      </c>
      <c r="M25" s="10">
        <v>5.17</v>
      </c>
      <c r="N25" s="10">
        <v>0.80400000000000005</v>
      </c>
    </row>
    <row r="26" spans="1:22" x14ac:dyDescent="0.3">
      <c r="A26" s="9" t="s">
        <v>215</v>
      </c>
      <c r="B26" s="9" t="s">
        <v>114</v>
      </c>
      <c r="C26" s="9" t="s">
        <v>113</v>
      </c>
      <c r="D26" s="9" t="s">
        <v>93</v>
      </c>
      <c r="E26" s="9" t="s">
        <v>92</v>
      </c>
      <c r="F26" s="10">
        <v>30</v>
      </c>
      <c r="G26" s="10">
        <v>0</v>
      </c>
      <c r="H26" s="10">
        <v>-1.2257256465349999</v>
      </c>
      <c r="I26" s="9" t="s">
        <v>87</v>
      </c>
      <c r="J26" s="10">
        <v>6.3280000000000003</v>
      </c>
      <c r="K26" s="10">
        <v>1.0589999999999999</v>
      </c>
      <c r="L26" s="10">
        <v>6.3369999999999997</v>
      </c>
      <c r="M26" s="10">
        <v>5.2939999999999996</v>
      </c>
      <c r="N26" s="10">
        <v>1.069</v>
      </c>
    </row>
    <row r="27" spans="1:22" x14ac:dyDescent="0.3">
      <c r="A27" s="9" t="s">
        <v>214</v>
      </c>
      <c r="B27" s="9" t="s">
        <v>114</v>
      </c>
      <c r="C27" s="9" t="s">
        <v>113</v>
      </c>
      <c r="D27" s="9" t="s">
        <v>93</v>
      </c>
      <c r="E27" s="9" t="s">
        <v>91</v>
      </c>
      <c r="F27" s="10">
        <v>33</v>
      </c>
      <c r="G27" s="10">
        <v>0</v>
      </c>
      <c r="H27" s="10">
        <v>-1.9932738448559999</v>
      </c>
      <c r="I27" s="9" t="s">
        <v>87</v>
      </c>
      <c r="J27" s="10">
        <v>11.233000000000001</v>
      </c>
      <c r="K27" s="10">
        <v>2.6589999999999998</v>
      </c>
      <c r="L27" s="10">
        <v>7.3949999999999996</v>
      </c>
      <c r="M27" s="10">
        <v>5.593</v>
      </c>
      <c r="N27" s="10">
        <v>0.53700000000000003</v>
      </c>
    </row>
    <row r="28" spans="1:22" x14ac:dyDescent="0.3">
      <c r="A28" s="9" t="s">
        <v>213</v>
      </c>
      <c r="B28" s="9" t="s">
        <v>114</v>
      </c>
      <c r="C28" s="9" t="s">
        <v>113</v>
      </c>
      <c r="D28" s="9" t="s">
        <v>93</v>
      </c>
      <c r="E28" s="9" t="s">
        <v>92</v>
      </c>
      <c r="F28" s="10">
        <v>31</v>
      </c>
      <c r="G28" s="10">
        <v>1</v>
      </c>
      <c r="H28" s="10">
        <v>-0.43554064498900003</v>
      </c>
      <c r="I28" s="9" t="s">
        <v>88</v>
      </c>
      <c r="J28" s="10">
        <v>8.125</v>
      </c>
      <c r="K28" s="10">
        <v>0.96399999999999997</v>
      </c>
      <c r="L28" s="10">
        <v>6.3220000000000001</v>
      </c>
      <c r="M28" s="10">
        <v>3.8570000000000002</v>
      </c>
      <c r="N28" s="10">
        <v>0.5</v>
      </c>
    </row>
    <row r="29" spans="1:22" x14ac:dyDescent="0.3">
      <c r="A29" s="9" t="s">
        <v>212</v>
      </c>
      <c r="B29" s="9" t="s">
        <v>114</v>
      </c>
      <c r="C29" s="9" t="s">
        <v>113</v>
      </c>
      <c r="D29" s="9" t="s">
        <v>93</v>
      </c>
      <c r="E29" s="9" t="s">
        <v>91</v>
      </c>
      <c r="F29" s="10">
        <v>35</v>
      </c>
      <c r="G29" s="10">
        <v>0</v>
      </c>
      <c r="H29" s="10">
        <v>5.3080804516000002E-2</v>
      </c>
      <c r="I29" s="9" t="s">
        <v>88</v>
      </c>
      <c r="J29" s="10">
        <v>4.5019999999999998</v>
      </c>
      <c r="K29" s="10">
        <v>2.4860000000000002</v>
      </c>
      <c r="L29" s="10">
        <v>6.5739999999999998</v>
      </c>
      <c r="M29" s="10">
        <v>3.2080000000000002</v>
      </c>
      <c r="N29" s="10">
        <v>0.59</v>
      </c>
    </row>
    <row r="30" spans="1:22" x14ac:dyDescent="0.3">
      <c r="A30" s="9" t="s">
        <v>211</v>
      </c>
      <c r="B30" s="9" t="s">
        <v>114</v>
      </c>
      <c r="C30" s="9" t="s">
        <v>113</v>
      </c>
      <c r="D30" s="9" t="s">
        <v>93</v>
      </c>
      <c r="E30" s="9" t="s">
        <v>91</v>
      </c>
      <c r="F30" s="10">
        <v>13</v>
      </c>
      <c r="G30" s="10">
        <v>1</v>
      </c>
      <c r="H30" s="10">
        <v>0.139720078223</v>
      </c>
      <c r="I30" s="9" t="s">
        <v>88</v>
      </c>
      <c r="J30" s="10">
        <v>5.8710000000000004</v>
      </c>
      <c r="K30" s="10">
        <v>1.135</v>
      </c>
      <c r="L30" s="10">
        <v>6.133</v>
      </c>
      <c r="M30" s="10">
        <v>3.5659999999999998</v>
      </c>
      <c r="N30" s="10">
        <v>0.68300000000000005</v>
      </c>
    </row>
    <row r="31" spans="1:22" x14ac:dyDescent="0.3">
      <c r="A31" s="9" t="s">
        <v>210</v>
      </c>
      <c r="B31" s="9" t="s">
        <v>114</v>
      </c>
      <c r="C31" s="9" t="s">
        <v>113</v>
      </c>
      <c r="D31" s="9" t="s">
        <v>91</v>
      </c>
      <c r="E31" s="9" t="s">
        <v>92</v>
      </c>
      <c r="F31" s="10">
        <v>8</v>
      </c>
      <c r="G31" s="10">
        <v>1</v>
      </c>
      <c r="H31" s="10">
        <v>-0.95858836826899996</v>
      </c>
      <c r="I31" s="9" t="s">
        <v>87</v>
      </c>
      <c r="J31" s="10">
        <v>5.3070000000000004</v>
      </c>
      <c r="K31" s="10">
        <v>1.492</v>
      </c>
      <c r="L31" s="10">
        <v>5.4249999999999998</v>
      </c>
      <c r="M31" s="10">
        <v>3.577</v>
      </c>
      <c r="N31" s="10">
        <v>0.71599999999999997</v>
      </c>
    </row>
    <row r="32" spans="1:22" x14ac:dyDescent="0.3">
      <c r="A32" s="9" t="s">
        <v>209</v>
      </c>
      <c r="B32" s="9" t="s">
        <v>114</v>
      </c>
      <c r="C32" s="9" t="s">
        <v>113</v>
      </c>
      <c r="D32" s="9" t="s">
        <v>93</v>
      </c>
      <c r="E32" s="9" t="s">
        <v>91</v>
      </c>
      <c r="F32" s="10">
        <v>18</v>
      </c>
      <c r="G32" s="10">
        <v>0</v>
      </c>
      <c r="H32" s="10">
        <v>-1.4565695476630001</v>
      </c>
      <c r="I32" s="9" t="s">
        <v>87</v>
      </c>
      <c r="J32" s="10">
        <v>5.6040000000000001</v>
      </c>
      <c r="K32" s="10">
        <v>0.86799999999999999</v>
      </c>
      <c r="L32" s="10">
        <v>6.8010000000000002</v>
      </c>
      <c r="M32" s="10">
        <v>3.9369999999999998</v>
      </c>
      <c r="N32" s="10">
        <v>1.258</v>
      </c>
    </row>
    <row r="33" spans="1:14" x14ac:dyDescent="0.3">
      <c r="A33" s="9" t="s">
        <v>208</v>
      </c>
      <c r="B33" s="9" t="s">
        <v>114</v>
      </c>
      <c r="C33" s="9" t="s">
        <v>113</v>
      </c>
      <c r="D33" s="9" t="s">
        <v>93</v>
      </c>
      <c r="E33" s="9" t="s">
        <v>92</v>
      </c>
      <c r="F33" s="10">
        <v>4</v>
      </c>
      <c r="G33" s="10">
        <v>1</v>
      </c>
      <c r="H33" s="10">
        <v>-0.400715210386</v>
      </c>
      <c r="I33" s="9" t="s">
        <v>88</v>
      </c>
      <c r="J33" s="10">
        <v>5.2679999999999998</v>
      </c>
      <c r="K33" s="10">
        <v>1.3109999999999999</v>
      </c>
      <c r="L33" s="10">
        <v>5.9950000000000001</v>
      </c>
      <c r="M33" s="10">
        <v>3.9620000000000002</v>
      </c>
      <c r="N33" s="10">
        <v>0.90600000000000003</v>
      </c>
    </row>
    <row r="34" spans="1:14" x14ac:dyDescent="0.3">
      <c r="A34" s="9" t="s">
        <v>207</v>
      </c>
      <c r="B34" s="9" t="s">
        <v>114</v>
      </c>
      <c r="C34" s="9" t="s">
        <v>113</v>
      </c>
      <c r="D34" s="9" t="s">
        <v>93</v>
      </c>
      <c r="E34" s="9" t="s">
        <v>92</v>
      </c>
      <c r="F34" s="10">
        <v>22</v>
      </c>
      <c r="G34" s="10">
        <v>0</v>
      </c>
      <c r="H34" s="10">
        <v>0.49871903530599998</v>
      </c>
      <c r="I34" s="9" t="s">
        <v>88</v>
      </c>
      <c r="J34" s="10">
        <v>6.9939999999999998</v>
      </c>
      <c r="K34" s="10">
        <v>0.8</v>
      </c>
      <c r="L34" s="10">
        <v>6.09</v>
      </c>
      <c r="M34" s="10">
        <v>3.6219999999999999</v>
      </c>
      <c r="N34" s="10">
        <v>1.1200000000000001</v>
      </c>
    </row>
    <row r="35" spans="1:14" x14ac:dyDescent="0.3">
      <c r="A35" s="9" t="s">
        <v>206</v>
      </c>
      <c r="B35" s="9" t="s">
        <v>114</v>
      </c>
      <c r="C35" s="9" t="s">
        <v>113</v>
      </c>
      <c r="D35" s="9" t="s">
        <v>93</v>
      </c>
      <c r="E35" s="9" t="s">
        <v>92</v>
      </c>
      <c r="F35" s="10">
        <v>6</v>
      </c>
      <c r="G35" s="10">
        <v>1</v>
      </c>
      <c r="H35" s="10">
        <v>0.28355623333300001</v>
      </c>
      <c r="I35" s="9" t="s">
        <v>88</v>
      </c>
      <c r="J35" s="10">
        <v>7.0369999999999999</v>
      </c>
      <c r="K35" s="10">
        <v>0.55900000000000005</v>
      </c>
      <c r="L35" s="10">
        <v>6.9379999999999997</v>
      </c>
      <c r="M35" s="10">
        <v>3.617</v>
      </c>
      <c r="N35" s="10">
        <v>1.9850000000000001</v>
      </c>
    </row>
    <row r="36" spans="1:14" x14ac:dyDescent="0.3">
      <c r="A36" s="9" t="s">
        <v>205</v>
      </c>
      <c r="B36" s="9" t="s">
        <v>114</v>
      </c>
      <c r="C36" s="9" t="s">
        <v>113</v>
      </c>
      <c r="D36" s="9" t="s">
        <v>91</v>
      </c>
      <c r="E36" s="9" t="s">
        <v>92</v>
      </c>
      <c r="F36" s="10">
        <v>10</v>
      </c>
      <c r="G36" s="10">
        <v>1</v>
      </c>
      <c r="H36" s="10">
        <v>-0.84741554603500002</v>
      </c>
      <c r="I36" s="9" t="s">
        <v>87</v>
      </c>
      <c r="J36" s="10">
        <v>5.5819999999999999</v>
      </c>
      <c r="K36" s="10">
        <v>0.89300000000000002</v>
      </c>
      <c r="L36" s="10">
        <v>5.8940000000000001</v>
      </c>
      <c r="M36" s="10">
        <v>2.9340000000000002</v>
      </c>
      <c r="N36" s="10">
        <v>1.2969999999999999</v>
      </c>
    </row>
    <row r="37" spans="1:14" x14ac:dyDescent="0.3">
      <c r="A37" s="9" t="s">
        <v>204</v>
      </c>
      <c r="B37" s="9" t="s">
        <v>114</v>
      </c>
      <c r="C37" s="9" t="s">
        <v>113</v>
      </c>
      <c r="D37" s="9" t="s">
        <v>93</v>
      </c>
      <c r="E37" s="9" t="s">
        <v>92</v>
      </c>
      <c r="F37" s="10">
        <v>25</v>
      </c>
      <c r="G37" s="10">
        <v>0</v>
      </c>
      <c r="H37" s="10">
        <v>-1.3931486030269999</v>
      </c>
      <c r="I37" s="9" t="s">
        <v>87</v>
      </c>
      <c r="J37" s="10">
        <v>6.5410000000000004</v>
      </c>
      <c r="K37" s="10">
        <v>0.66400000000000003</v>
      </c>
      <c r="L37" s="10">
        <v>5.2889999999999997</v>
      </c>
      <c r="M37" s="10">
        <v>4.1989999999999998</v>
      </c>
      <c r="N37" s="10">
        <v>0.64800000000000002</v>
      </c>
    </row>
    <row r="38" spans="1:14" x14ac:dyDescent="0.3">
      <c r="A38" s="9" t="s">
        <v>203</v>
      </c>
      <c r="B38" s="9" t="s">
        <v>114</v>
      </c>
      <c r="C38" s="9" t="s">
        <v>113</v>
      </c>
      <c r="D38" s="9" t="s">
        <v>93</v>
      </c>
      <c r="E38" s="9" t="s">
        <v>92</v>
      </c>
      <c r="F38" s="10">
        <v>18</v>
      </c>
      <c r="G38" s="10">
        <v>1</v>
      </c>
      <c r="H38" s="10">
        <v>-0.43508338322200002</v>
      </c>
      <c r="I38" s="9" t="s">
        <v>88</v>
      </c>
      <c r="J38" s="10">
        <v>7.2450000000000001</v>
      </c>
      <c r="K38" s="10">
        <v>0.53600000000000003</v>
      </c>
      <c r="L38" s="10">
        <v>6.4160000000000004</v>
      </c>
      <c r="M38" s="10">
        <v>4.056</v>
      </c>
      <c r="N38" s="10">
        <v>0.61599999999999999</v>
      </c>
    </row>
    <row r="39" spans="1:14" x14ac:dyDescent="0.3">
      <c r="A39" s="9" t="s">
        <v>202</v>
      </c>
      <c r="B39" s="9" t="s">
        <v>114</v>
      </c>
      <c r="C39" s="9" t="s">
        <v>113</v>
      </c>
      <c r="D39" s="9" t="s">
        <v>93</v>
      </c>
      <c r="E39" s="9" t="s">
        <v>92</v>
      </c>
      <c r="F39" s="10">
        <v>13</v>
      </c>
      <c r="G39" s="10">
        <v>1</v>
      </c>
      <c r="H39" s="10">
        <v>0.10322741223</v>
      </c>
      <c r="I39" s="9" t="s">
        <v>88</v>
      </c>
      <c r="J39" s="10">
        <v>3.3769999999999998</v>
      </c>
      <c r="K39" s="10">
        <v>0.77700000000000002</v>
      </c>
      <c r="L39" s="10">
        <v>5.1660000000000004</v>
      </c>
      <c r="M39" s="10">
        <v>3.6389999999999998</v>
      </c>
      <c r="N39" s="10">
        <v>1.32</v>
      </c>
    </row>
    <row r="40" spans="1:14" x14ac:dyDescent="0.3">
      <c r="A40" s="9" t="s">
        <v>201</v>
      </c>
      <c r="B40" s="9" t="s">
        <v>114</v>
      </c>
      <c r="C40" s="9" t="s">
        <v>113</v>
      </c>
      <c r="D40" s="9" t="s">
        <v>93</v>
      </c>
      <c r="E40" s="9" t="s">
        <v>92</v>
      </c>
      <c r="F40" s="10">
        <v>19</v>
      </c>
      <c r="G40" s="10">
        <v>0</v>
      </c>
      <c r="H40" s="10">
        <v>5.9474551574000001E-2</v>
      </c>
      <c r="I40" s="9" t="s">
        <v>88</v>
      </c>
      <c r="J40" s="10">
        <v>6.335</v>
      </c>
      <c r="K40" s="10">
        <v>1.0580000000000001</v>
      </c>
      <c r="L40" s="10">
        <v>5.5410000000000004</v>
      </c>
      <c r="M40" s="10">
        <v>3.823</v>
      </c>
      <c r="N40" s="10">
        <v>0.51900000000000002</v>
      </c>
    </row>
    <row r="41" spans="1:14" x14ac:dyDescent="0.3">
      <c r="A41" s="9" t="s">
        <v>200</v>
      </c>
      <c r="B41" s="9" t="s">
        <v>114</v>
      </c>
      <c r="C41" s="9" t="s">
        <v>113</v>
      </c>
      <c r="D41" s="9" t="s">
        <v>93</v>
      </c>
      <c r="E41" s="9" t="s">
        <v>91</v>
      </c>
      <c r="F41" s="10">
        <v>21</v>
      </c>
      <c r="G41" s="10">
        <v>0</v>
      </c>
      <c r="H41" s="10">
        <v>-0.91734203511900003</v>
      </c>
      <c r="I41" s="9" t="s">
        <v>87</v>
      </c>
      <c r="J41" s="10">
        <v>4.5640000000000001</v>
      </c>
      <c r="K41" s="10">
        <v>0.70599999999999996</v>
      </c>
      <c r="L41" s="10">
        <v>7.0949999999999998</v>
      </c>
      <c r="M41" s="10">
        <v>4.2480000000000002</v>
      </c>
      <c r="N41" s="10">
        <v>0.54300000000000004</v>
      </c>
    </row>
    <row r="42" spans="1:14" x14ac:dyDescent="0.3">
      <c r="A42" s="9" t="s">
        <v>199</v>
      </c>
      <c r="B42" s="9" t="s">
        <v>114</v>
      </c>
      <c r="C42" s="9" t="s">
        <v>113</v>
      </c>
      <c r="D42" s="9" t="s">
        <v>93</v>
      </c>
      <c r="E42" s="9" t="s">
        <v>92</v>
      </c>
      <c r="F42" s="10">
        <v>23</v>
      </c>
      <c r="G42" s="10">
        <v>0</v>
      </c>
      <c r="H42" s="10">
        <v>-1.2877305302669999</v>
      </c>
      <c r="I42" s="9" t="s">
        <v>87</v>
      </c>
      <c r="J42" s="10">
        <v>5.8179999999999996</v>
      </c>
      <c r="K42" s="10">
        <v>0.93200000000000005</v>
      </c>
      <c r="L42" s="10">
        <v>5.3710000000000004</v>
      </c>
      <c r="M42" s="10">
        <v>3.714</v>
      </c>
      <c r="N42" s="10">
        <v>0.77600000000000002</v>
      </c>
    </row>
    <row r="43" spans="1:14" x14ac:dyDescent="0.3">
      <c r="A43" s="9" t="s">
        <v>198</v>
      </c>
      <c r="B43" s="9" t="s">
        <v>114</v>
      </c>
      <c r="C43" s="9" t="s">
        <v>113</v>
      </c>
      <c r="D43" s="9" t="s">
        <v>93</v>
      </c>
      <c r="E43" s="9" t="s">
        <v>92</v>
      </c>
      <c r="F43" s="10">
        <v>15</v>
      </c>
      <c r="G43" s="10">
        <v>1</v>
      </c>
      <c r="H43" s="10">
        <v>-0.48825691272400001</v>
      </c>
      <c r="I43" s="9" t="s">
        <v>87</v>
      </c>
      <c r="J43" s="10">
        <v>6.8529999999999998</v>
      </c>
      <c r="K43" s="10">
        <v>0.75700000000000001</v>
      </c>
      <c r="L43" s="10">
        <v>6.298</v>
      </c>
      <c r="M43" s="10">
        <v>3.472</v>
      </c>
      <c r="N43" s="10">
        <v>0.70399999999999996</v>
      </c>
    </row>
    <row r="44" spans="1:14" x14ac:dyDescent="0.3">
      <c r="A44" s="9" t="s">
        <v>197</v>
      </c>
      <c r="B44" s="9" t="s">
        <v>114</v>
      </c>
      <c r="C44" s="9" t="s">
        <v>113</v>
      </c>
      <c r="D44" s="9" t="s">
        <v>93</v>
      </c>
      <c r="E44" s="9" t="s">
        <v>92</v>
      </c>
      <c r="F44" s="10">
        <v>11</v>
      </c>
      <c r="G44" s="10">
        <v>1</v>
      </c>
      <c r="H44" s="10">
        <v>0.57533262981</v>
      </c>
      <c r="I44" s="9" t="s">
        <v>88</v>
      </c>
      <c r="J44" s="10">
        <v>8.4489999999999998</v>
      </c>
      <c r="K44" s="10">
        <v>1.825</v>
      </c>
      <c r="L44" s="10">
        <v>6.6829999999999998</v>
      </c>
      <c r="M44" s="10">
        <v>4.3120000000000003</v>
      </c>
      <c r="N44" s="10">
        <v>0.63200000000000001</v>
      </c>
    </row>
    <row r="45" spans="1:14" x14ac:dyDescent="0.3">
      <c r="A45" s="9" t="s">
        <v>196</v>
      </c>
      <c r="B45" s="9" t="s">
        <v>114</v>
      </c>
      <c r="C45" s="9" t="s">
        <v>113</v>
      </c>
      <c r="D45" s="9" t="s">
        <v>91</v>
      </c>
      <c r="E45" s="9" t="s">
        <v>92</v>
      </c>
      <c r="F45" s="10">
        <v>4</v>
      </c>
      <c r="G45" s="10">
        <v>1</v>
      </c>
      <c r="H45" s="10">
        <v>6.0919003519000002E-2</v>
      </c>
      <c r="I45" s="9" t="s">
        <v>88</v>
      </c>
      <c r="J45" s="10">
        <v>8.3849999999999998</v>
      </c>
      <c r="K45" s="10">
        <v>2.109</v>
      </c>
      <c r="L45" s="10">
        <v>6.6890000000000001</v>
      </c>
      <c r="M45" s="10">
        <v>4.1040000000000001</v>
      </c>
      <c r="N45" s="10">
        <v>0.496</v>
      </c>
    </row>
    <row r="46" spans="1:14" x14ac:dyDescent="0.3">
      <c r="A46" s="9" t="s">
        <v>195</v>
      </c>
      <c r="B46" s="9" t="s">
        <v>114</v>
      </c>
      <c r="C46" s="9" t="s">
        <v>113</v>
      </c>
      <c r="D46" s="9" t="s">
        <v>93</v>
      </c>
      <c r="E46" s="9" t="s">
        <v>92</v>
      </c>
      <c r="F46" s="10">
        <v>13</v>
      </c>
      <c r="G46" s="10">
        <v>0</v>
      </c>
      <c r="H46" s="10">
        <v>-1.1522207582270001</v>
      </c>
      <c r="I46" s="9" t="s">
        <v>87</v>
      </c>
      <c r="J46" s="10">
        <v>6.6859999999999999</v>
      </c>
      <c r="K46" s="10">
        <v>1.994</v>
      </c>
      <c r="L46" s="10">
        <v>6.617</v>
      </c>
      <c r="M46" s="10">
        <v>3.4689999999999999</v>
      </c>
      <c r="N46" s="10">
        <v>0.40100000000000002</v>
      </c>
    </row>
    <row r="47" spans="1:14" x14ac:dyDescent="0.3">
      <c r="A47" s="9" t="s">
        <v>194</v>
      </c>
      <c r="B47" s="9" t="s">
        <v>114</v>
      </c>
      <c r="C47" s="9" t="s">
        <v>113</v>
      </c>
      <c r="D47" s="9" t="s">
        <v>93</v>
      </c>
      <c r="E47" s="9" t="s">
        <v>93</v>
      </c>
      <c r="F47" s="10">
        <v>1</v>
      </c>
      <c r="G47" s="10">
        <v>1</v>
      </c>
      <c r="H47" s="10">
        <v>-1.438734711108</v>
      </c>
      <c r="I47" s="9" t="s">
        <v>87</v>
      </c>
      <c r="J47" s="10">
        <v>5.8920000000000003</v>
      </c>
      <c r="K47" s="10">
        <v>0.58299999999999996</v>
      </c>
      <c r="L47" s="10">
        <v>6.1609999999999996</v>
      </c>
      <c r="M47" s="10">
        <v>3.4359999999999999</v>
      </c>
      <c r="N47" s="10">
        <v>0.505</v>
      </c>
    </row>
    <row r="48" spans="1:14" x14ac:dyDescent="0.3">
      <c r="A48" s="9" t="s">
        <v>193</v>
      </c>
      <c r="B48" s="9" t="s">
        <v>114</v>
      </c>
      <c r="C48" s="9" t="s">
        <v>113</v>
      </c>
      <c r="D48" s="9" t="s">
        <v>91</v>
      </c>
      <c r="E48" s="9" t="s">
        <v>91</v>
      </c>
      <c r="F48" s="10">
        <v>10</v>
      </c>
      <c r="G48" s="10">
        <v>1</v>
      </c>
      <c r="H48" s="10">
        <v>-0.39021605777000001</v>
      </c>
      <c r="I48" s="9" t="s">
        <v>88</v>
      </c>
      <c r="J48" s="10">
        <v>6.5209999999999999</v>
      </c>
      <c r="K48" s="10">
        <v>0.78800000000000003</v>
      </c>
      <c r="L48" s="10">
        <v>6.0430000000000001</v>
      </c>
      <c r="M48" s="10">
        <v>4.1840000000000002</v>
      </c>
      <c r="N48" s="10">
        <v>0.78800000000000003</v>
      </c>
    </row>
    <row r="49" spans="1:14" x14ac:dyDescent="0.3">
      <c r="A49" s="9" t="s">
        <v>192</v>
      </c>
      <c r="B49" s="9" t="s">
        <v>114</v>
      </c>
      <c r="C49" s="9" t="s">
        <v>113</v>
      </c>
      <c r="D49" s="9" t="s">
        <v>93</v>
      </c>
      <c r="E49" s="9" t="s">
        <v>93</v>
      </c>
      <c r="F49" s="10">
        <v>59</v>
      </c>
      <c r="G49" s="10">
        <v>0</v>
      </c>
      <c r="H49" s="10">
        <v>0.32886169140100002</v>
      </c>
      <c r="I49" s="9" t="s">
        <v>88</v>
      </c>
      <c r="J49" s="10">
        <v>6.125</v>
      </c>
      <c r="K49" s="10">
        <v>1.468</v>
      </c>
      <c r="L49" s="10">
        <v>4.9240000000000004</v>
      </c>
      <c r="M49" s="10">
        <v>2.87</v>
      </c>
      <c r="N49" s="10">
        <v>1.042</v>
      </c>
    </row>
    <row r="50" spans="1:14" x14ac:dyDescent="0.3">
      <c r="A50" s="9" t="s">
        <v>191</v>
      </c>
      <c r="B50" s="9" t="s">
        <v>114</v>
      </c>
      <c r="C50" s="9" t="s">
        <v>113</v>
      </c>
      <c r="D50" s="9" t="s">
        <v>91</v>
      </c>
      <c r="E50" s="9" t="s">
        <v>91</v>
      </c>
      <c r="F50" s="10">
        <v>21</v>
      </c>
      <c r="G50" s="10">
        <v>1</v>
      </c>
      <c r="H50" s="10">
        <v>8.1678473985999797E-2</v>
      </c>
      <c r="I50" s="9" t="s">
        <v>88</v>
      </c>
      <c r="J50" s="10">
        <v>10.36</v>
      </c>
      <c r="K50" s="10">
        <v>1.4470000000000001</v>
      </c>
      <c r="L50" s="10">
        <v>7.165</v>
      </c>
      <c r="M50" s="10">
        <v>5.1130000000000004</v>
      </c>
      <c r="N50" s="10">
        <v>0.38900000000000001</v>
      </c>
    </row>
    <row r="51" spans="1:14" x14ac:dyDescent="0.3">
      <c r="A51" s="9" t="s">
        <v>190</v>
      </c>
      <c r="B51" s="9" t="s">
        <v>114</v>
      </c>
      <c r="C51" s="9" t="s">
        <v>113</v>
      </c>
      <c r="D51" s="9" t="s">
        <v>93</v>
      </c>
      <c r="E51" s="9" t="s">
        <v>92</v>
      </c>
      <c r="F51" s="10">
        <v>41</v>
      </c>
      <c r="G51" s="10">
        <v>1</v>
      </c>
      <c r="H51" s="10">
        <v>-1.1523118552089999</v>
      </c>
      <c r="I51" s="9" t="s">
        <v>87</v>
      </c>
      <c r="J51" s="10">
        <v>7.3390000000000004</v>
      </c>
      <c r="K51" s="10">
        <v>0.93300000000000005</v>
      </c>
      <c r="L51" s="10">
        <v>5.194</v>
      </c>
      <c r="M51" s="10">
        <v>3.0670000000000002</v>
      </c>
      <c r="N51" s="10">
        <v>0.86799999999999999</v>
      </c>
    </row>
    <row r="52" spans="1:14" x14ac:dyDescent="0.3">
      <c r="A52" s="9" t="s">
        <v>189</v>
      </c>
      <c r="B52" s="9" t="s">
        <v>114</v>
      </c>
      <c r="C52" s="9" t="s">
        <v>113</v>
      </c>
      <c r="D52" s="9" t="s">
        <v>93</v>
      </c>
      <c r="E52" s="9" t="s">
        <v>92</v>
      </c>
      <c r="F52" s="10">
        <v>23</v>
      </c>
      <c r="G52" s="10">
        <v>1</v>
      </c>
      <c r="H52" s="10">
        <v>-1.4111251909139999</v>
      </c>
      <c r="I52" s="9" t="s">
        <v>87</v>
      </c>
      <c r="J52" s="10">
        <v>6.1760000000000002</v>
      </c>
      <c r="K52" s="10">
        <v>0.505</v>
      </c>
      <c r="L52" s="10">
        <v>5.6349999999999998</v>
      </c>
      <c r="M52" s="10">
        <v>4.2510000000000003</v>
      </c>
      <c r="N52" s="10">
        <v>1.0229999999999999</v>
      </c>
    </row>
    <row r="53" spans="1:14" x14ac:dyDescent="0.3">
      <c r="A53" s="9" t="s">
        <v>188</v>
      </c>
      <c r="B53" s="9" t="s">
        <v>114</v>
      </c>
      <c r="C53" s="9" t="s">
        <v>113</v>
      </c>
      <c r="D53" s="9" t="s">
        <v>93</v>
      </c>
      <c r="E53" s="9" t="s">
        <v>92</v>
      </c>
      <c r="F53" s="10">
        <v>7</v>
      </c>
      <c r="G53" s="10">
        <v>1</v>
      </c>
      <c r="H53" s="10">
        <v>-0.53877313032999996</v>
      </c>
      <c r="I53" s="9" t="s">
        <v>87</v>
      </c>
      <c r="J53" s="10">
        <v>6.8289999999999997</v>
      </c>
      <c r="K53" s="10">
        <v>1.6080000000000001</v>
      </c>
      <c r="L53" s="10">
        <v>6.3440000000000003</v>
      </c>
      <c r="M53" s="10">
        <v>2.9289999999999998</v>
      </c>
      <c r="N53" s="10">
        <v>0.70499999999999996</v>
      </c>
    </row>
    <row r="54" spans="1:14" x14ac:dyDescent="0.3">
      <c r="A54" s="9" t="s">
        <v>187</v>
      </c>
      <c r="B54" s="9" t="s">
        <v>114</v>
      </c>
      <c r="C54" s="9" t="s">
        <v>113</v>
      </c>
      <c r="D54" s="9" t="s">
        <v>91</v>
      </c>
      <c r="E54" s="9" t="s">
        <v>92</v>
      </c>
      <c r="F54" s="10">
        <v>1</v>
      </c>
      <c r="G54" s="10">
        <v>0</v>
      </c>
      <c r="H54" s="10">
        <v>1.113070683746</v>
      </c>
      <c r="I54" s="9" t="s">
        <v>88</v>
      </c>
      <c r="J54" s="10">
        <v>13.109</v>
      </c>
      <c r="K54" s="10">
        <v>1.7769999999999999</v>
      </c>
      <c r="L54" s="10">
        <v>8.782</v>
      </c>
      <c r="M54" s="10">
        <v>7.0709999999999997</v>
      </c>
      <c r="N54" s="10">
        <v>0.48399999999999999</v>
      </c>
    </row>
    <row r="55" spans="1:14" x14ac:dyDescent="0.3">
      <c r="A55" s="9" t="s">
        <v>186</v>
      </c>
      <c r="B55" s="9" t="s">
        <v>114</v>
      </c>
      <c r="C55" s="9" t="s">
        <v>113</v>
      </c>
      <c r="D55" s="9" t="s">
        <v>91</v>
      </c>
      <c r="E55" s="9" t="s">
        <v>92</v>
      </c>
      <c r="F55" s="10">
        <v>18</v>
      </c>
      <c r="G55" s="10">
        <v>0</v>
      </c>
      <c r="H55" s="10">
        <v>-1.06713921099999E-2</v>
      </c>
      <c r="I55" s="9" t="s">
        <v>88</v>
      </c>
      <c r="J55" s="10">
        <v>3.79</v>
      </c>
      <c r="K55" s="10">
        <v>1.5309999999999999</v>
      </c>
      <c r="L55" s="10">
        <v>6.056</v>
      </c>
      <c r="M55" s="10">
        <v>4.0999999999999996</v>
      </c>
      <c r="N55" s="10">
        <v>0.42099999999999999</v>
      </c>
    </row>
    <row r="56" spans="1:14" x14ac:dyDescent="0.3">
      <c r="A56" s="9" t="s">
        <v>185</v>
      </c>
      <c r="B56" s="9" t="s">
        <v>114</v>
      </c>
      <c r="C56" s="9" t="s">
        <v>113</v>
      </c>
      <c r="D56" s="9" t="s">
        <v>91</v>
      </c>
      <c r="E56" s="9" t="s">
        <v>92</v>
      </c>
      <c r="F56" s="10">
        <v>15</v>
      </c>
      <c r="G56" s="10">
        <v>1</v>
      </c>
      <c r="H56" s="10">
        <v>-1.7828373889460001</v>
      </c>
      <c r="I56" s="9" t="s">
        <v>87</v>
      </c>
      <c r="J56" s="10">
        <v>11.816000000000001</v>
      </c>
      <c r="K56" s="10">
        <v>2.1349999999999998</v>
      </c>
      <c r="L56" s="10">
        <v>7.19</v>
      </c>
      <c r="M56" s="10">
        <v>4.5220000000000002</v>
      </c>
      <c r="N56" s="10">
        <v>1.8839999999999999</v>
      </c>
    </row>
    <row r="57" spans="1:14" x14ac:dyDescent="0.3">
      <c r="A57" s="9" t="s">
        <v>184</v>
      </c>
      <c r="B57" s="9" t="s">
        <v>114</v>
      </c>
      <c r="C57" s="9" t="s">
        <v>113</v>
      </c>
      <c r="D57" s="9" t="s">
        <v>93</v>
      </c>
      <c r="E57" s="9" t="s">
        <v>92</v>
      </c>
      <c r="F57" s="10">
        <v>8</v>
      </c>
      <c r="G57" s="10">
        <v>1</v>
      </c>
      <c r="H57" s="10">
        <v>-1.7574363422179999</v>
      </c>
      <c r="I57" s="9" t="s">
        <v>87</v>
      </c>
      <c r="J57" s="10">
        <v>9.9659999999999993</v>
      </c>
      <c r="K57" s="10">
        <v>1.99</v>
      </c>
      <c r="L57" s="10">
        <v>6.4379999999999997</v>
      </c>
      <c r="M57" s="10">
        <v>4.1689999999999996</v>
      </c>
      <c r="N57" s="10">
        <v>2.1019999999999999</v>
      </c>
    </row>
    <row r="58" spans="1:14" x14ac:dyDescent="0.3">
      <c r="A58" s="9" t="s">
        <v>183</v>
      </c>
      <c r="B58" s="9" t="s">
        <v>114</v>
      </c>
      <c r="C58" s="9" t="s">
        <v>113</v>
      </c>
      <c r="D58" s="9" t="s">
        <v>93</v>
      </c>
      <c r="E58" s="9" t="s">
        <v>91</v>
      </c>
      <c r="F58" s="10">
        <v>28</v>
      </c>
      <c r="G58" s="10">
        <v>1</v>
      </c>
      <c r="H58" s="10">
        <v>-0.48975724660600001</v>
      </c>
      <c r="I58" s="9" t="s">
        <v>87</v>
      </c>
      <c r="J58" s="10">
        <v>5.0670000000000002</v>
      </c>
      <c r="K58" s="10">
        <v>1.806</v>
      </c>
      <c r="L58" s="10">
        <v>6.133</v>
      </c>
      <c r="M58" s="10">
        <v>3.2669999999999999</v>
      </c>
      <c r="N58" s="10">
        <v>0.97499999999999998</v>
      </c>
    </row>
    <row r="59" spans="1:14" x14ac:dyDescent="0.3">
      <c r="A59" s="9" t="s">
        <v>182</v>
      </c>
      <c r="B59" s="9" t="s">
        <v>114</v>
      </c>
      <c r="C59" s="9" t="s">
        <v>113</v>
      </c>
      <c r="D59" s="9" t="s">
        <v>93</v>
      </c>
      <c r="E59" s="9" t="s">
        <v>92</v>
      </c>
      <c r="F59" s="10">
        <v>1</v>
      </c>
      <c r="G59" s="10">
        <v>0</v>
      </c>
      <c r="H59" s="10">
        <v>-7.7176651097999996E-2</v>
      </c>
      <c r="I59" s="9" t="s">
        <v>88</v>
      </c>
      <c r="J59" s="10">
        <v>4.8070000000000004</v>
      </c>
      <c r="K59" s="10">
        <v>2.7890000000000001</v>
      </c>
      <c r="L59" s="10">
        <v>6.2169999999999996</v>
      </c>
      <c r="M59" s="10">
        <v>3.399</v>
      </c>
      <c r="N59" s="10">
        <v>1.7749999999999999</v>
      </c>
    </row>
    <row r="60" spans="1:14" x14ac:dyDescent="0.3">
      <c r="A60" s="9" t="s">
        <v>181</v>
      </c>
      <c r="B60" s="9" t="s">
        <v>114</v>
      </c>
      <c r="C60" s="9" t="s">
        <v>113</v>
      </c>
      <c r="D60" s="9" t="s">
        <v>93</v>
      </c>
      <c r="E60" s="9" t="s">
        <v>91</v>
      </c>
      <c r="F60" s="10">
        <v>1</v>
      </c>
      <c r="G60" s="10">
        <v>1</v>
      </c>
      <c r="H60" s="10">
        <v>5.4273306745999998E-2</v>
      </c>
      <c r="I60" s="9" t="s">
        <v>88</v>
      </c>
      <c r="J60" s="10">
        <v>10.77</v>
      </c>
      <c r="K60" s="10">
        <v>1.968</v>
      </c>
      <c r="L60" s="10">
        <v>6.8929999999999998</v>
      </c>
      <c r="M60" s="10">
        <v>4.6689999999999996</v>
      </c>
      <c r="N60" s="10">
        <v>0.86099999999999999</v>
      </c>
    </row>
    <row r="61" spans="1:14" x14ac:dyDescent="0.3">
      <c r="A61" s="9" t="s">
        <v>180</v>
      </c>
      <c r="B61" s="9" t="s">
        <v>114</v>
      </c>
      <c r="C61" s="9" t="s">
        <v>113</v>
      </c>
      <c r="D61" s="9" t="s">
        <v>91</v>
      </c>
      <c r="E61" s="9" t="s">
        <v>92</v>
      </c>
      <c r="F61" s="10">
        <v>4</v>
      </c>
      <c r="G61" s="10">
        <v>1</v>
      </c>
      <c r="H61" s="10">
        <v>-1.720549814892</v>
      </c>
      <c r="I61" s="9" t="s">
        <v>87</v>
      </c>
      <c r="J61" s="10">
        <v>11.069000000000001</v>
      </c>
      <c r="K61" s="10">
        <v>2.6930000000000001</v>
      </c>
      <c r="L61" s="10">
        <v>6.9969999999999999</v>
      </c>
      <c r="M61" s="10">
        <v>4.9359999999999999</v>
      </c>
      <c r="N61" s="10">
        <v>2.0569999999999999</v>
      </c>
    </row>
    <row r="62" spans="1:14" x14ac:dyDescent="0.3">
      <c r="A62" s="9" t="s">
        <v>179</v>
      </c>
      <c r="B62" s="9" t="s">
        <v>114</v>
      </c>
      <c r="C62" s="9" t="s">
        <v>113</v>
      </c>
      <c r="D62" s="9" t="s">
        <v>91</v>
      </c>
      <c r="E62" s="9" t="s">
        <v>92</v>
      </c>
      <c r="F62" s="10">
        <v>10</v>
      </c>
      <c r="G62" s="10">
        <v>1</v>
      </c>
      <c r="H62" s="10">
        <v>-1.9077200269550001</v>
      </c>
      <c r="I62" s="9" t="s">
        <v>87</v>
      </c>
      <c r="J62" s="10">
        <v>11.7</v>
      </c>
      <c r="K62" s="10">
        <v>2.6339999999999999</v>
      </c>
      <c r="L62" s="10">
        <v>6.5609999999999999</v>
      </c>
      <c r="M62" s="10">
        <v>4.3620000000000001</v>
      </c>
      <c r="N62" s="10">
        <v>1.42</v>
      </c>
    </row>
    <row r="63" spans="1:14" x14ac:dyDescent="0.3">
      <c r="A63" s="9" t="s">
        <v>178</v>
      </c>
      <c r="B63" s="9" t="s">
        <v>114</v>
      </c>
      <c r="C63" s="9" t="s">
        <v>113</v>
      </c>
      <c r="D63" s="9" t="s">
        <v>93</v>
      </c>
      <c r="E63" s="9" t="s">
        <v>91</v>
      </c>
      <c r="F63" s="10">
        <v>33</v>
      </c>
      <c r="G63" s="10">
        <v>1</v>
      </c>
      <c r="H63" s="10">
        <v>-0.63271657327200004</v>
      </c>
      <c r="I63" s="9" t="s">
        <v>87</v>
      </c>
      <c r="J63" s="10">
        <v>12.180999999999999</v>
      </c>
      <c r="K63" s="10">
        <v>2.153</v>
      </c>
      <c r="L63" s="10">
        <v>7.6980000000000004</v>
      </c>
      <c r="M63" s="10">
        <v>5.8209999999999997</v>
      </c>
      <c r="N63" s="10">
        <v>2.181</v>
      </c>
    </row>
    <row r="64" spans="1:14" x14ac:dyDescent="0.3">
      <c r="A64" s="9" t="s">
        <v>177</v>
      </c>
      <c r="B64" s="9" t="s">
        <v>114</v>
      </c>
      <c r="C64" s="9" t="s">
        <v>113</v>
      </c>
      <c r="D64" s="9" t="s">
        <v>93</v>
      </c>
      <c r="E64" s="9" t="s">
        <v>93</v>
      </c>
      <c r="F64" s="10">
        <v>7</v>
      </c>
      <c r="G64" s="10">
        <v>1</v>
      </c>
      <c r="H64" s="10">
        <v>0.49679593459100002</v>
      </c>
      <c r="I64" s="9" t="s">
        <v>88</v>
      </c>
      <c r="J64" s="10">
        <v>12.840999999999999</v>
      </c>
      <c r="K64" s="10">
        <v>4.5199999999999996</v>
      </c>
      <c r="L64" s="10">
        <v>8.7309999999999999</v>
      </c>
      <c r="M64" s="10">
        <v>6.6820000000000004</v>
      </c>
      <c r="N64" s="10">
        <v>2.4700000000000002</v>
      </c>
    </row>
    <row r="65" spans="1:14" x14ac:dyDescent="0.3">
      <c r="A65" s="9" t="s">
        <v>176</v>
      </c>
      <c r="B65" s="9" t="s">
        <v>114</v>
      </c>
      <c r="C65" s="9" t="s">
        <v>113</v>
      </c>
      <c r="D65" s="9" t="s">
        <v>93</v>
      </c>
      <c r="E65" s="9" t="s">
        <v>93</v>
      </c>
      <c r="F65" s="10">
        <v>52</v>
      </c>
      <c r="G65" s="10">
        <v>0</v>
      </c>
      <c r="H65" s="10">
        <v>-1.9870210847009999</v>
      </c>
      <c r="I65" s="9" t="s">
        <v>87</v>
      </c>
      <c r="J65" s="10">
        <v>11.839</v>
      </c>
      <c r="K65" s="10">
        <v>4.6379999999999999</v>
      </c>
      <c r="L65" s="10">
        <v>8.9459999999999997</v>
      </c>
      <c r="M65" s="10">
        <v>6.5419999999999998</v>
      </c>
      <c r="N65" s="10">
        <v>2.13</v>
      </c>
    </row>
    <row r="66" spans="1:14" x14ac:dyDescent="0.3">
      <c r="A66" s="9" t="s">
        <v>175</v>
      </c>
      <c r="B66" s="9" t="s">
        <v>114</v>
      </c>
      <c r="C66" s="9" t="s">
        <v>113</v>
      </c>
      <c r="D66" s="9" t="s">
        <v>91</v>
      </c>
      <c r="E66" s="9" t="s">
        <v>92</v>
      </c>
      <c r="F66" s="10">
        <v>45</v>
      </c>
      <c r="G66" s="10">
        <v>1</v>
      </c>
      <c r="H66" s="10">
        <v>-1.968189079419</v>
      </c>
      <c r="I66" s="9" t="s">
        <v>87</v>
      </c>
      <c r="J66" s="10">
        <v>11.911</v>
      </c>
      <c r="K66" s="10">
        <v>2.835</v>
      </c>
      <c r="L66" s="10">
        <v>7.0279999999999996</v>
      </c>
      <c r="M66" s="10">
        <v>4.806</v>
      </c>
      <c r="N66" s="10">
        <v>2.0070000000000001</v>
      </c>
    </row>
    <row r="67" spans="1:14" x14ac:dyDescent="0.3">
      <c r="A67" s="9" t="s">
        <v>174</v>
      </c>
      <c r="B67" s="9" t="s">
        <v>114</v>
      </c>
      <c r="C67" s="9" t="s">
        <v>113</v>
      </c>
      <c r="D67" s="9" t="s">
        <v>91</v>
      </c>
      <c r="E67" s="9" t="s">
        <v>92</v>
      </c>
      <c r="F67" s="10">
        <v>16</v>
      </c>
      <c r="G67" s="10">
        <v>1</v>
      </c>
      <c r="H67" s="10">
        <v>-0.58175613521799996</v>
      </c>
      <c r="I67" s="9" t="s">
        <v>87</v>
      </c>
      <c r="J67" s="10">
        <v>7.4059999999999997</v>
      </c>
      <c r="K67" s="10">
        <v>1.919</v>
      </c>
      <c r="L67" s="10">
        <v>5.9859999999999998</v>
      </c>
      <c r="M67" s="10">
        <v>3.4940000000000002</v>
      </c>
      <c r="N67" s="10">
        <v>1.762</v>
      </c>
    </row>
    <row r="68" spans="1:14" x14ac:dyDescent="0.3">
      <c r="A68" s="9" t="s">
        <v>173</v>
      </c>
      <c r="B68" s="9" t="s">
        <v>114</v>
      </c>
      <c r="C68" s="9" t="s">
        <v>113</v>
      </c>
      <c r="D68" s="9" t="s">
        <v>91</v>
      </c>
      <c r="E68" s="9" t="s">
        <v>92</v>
      </c>
      <c r="F68" s="10">
        <v>18</v>
      </c>
      <c r="G68" s="10">
        <v>1</v>
      </c>
      <c r="H68" s="10">
        <v>1.5327003303999999E-2</v>
      </c>
      <c r="I68" s="9" t="s">
        <v>88</v>
      </c>
      <c r="J68" s="10">
        <v>3.089</v>
      </c>
      <c r="K68" s="10">
        <v>1.4730000000000001</v>
      </c>
      <c r="L68" s="10">
        <v>6.7750000000000004</v>
      </c>
      <c r="M68" s="10">
        <v>3.2029999999999998</v>
      </c>
      <c r="N68" s="10">
        <v>0.752</v>
      </c>
    </row>
    <row r="69" spans="1:14" x14ac:dyDescent="0.3">
      <c r="A69" s="9" t="s">
        <v>172</v>
      </c>
      <c r="B69" s="9" t="s">
        <v>114</v>
      </c>
      <c r="C69" s="9" t="s">
        <v>113</v>
      </c>
      <c r="D69" s="9" t="s">
        <v>93</v>
      </c>
      <c r="E69" s="9" t="s">
        <v>92</v>
      </c>
      <c r="F69" s="10">
        <v>9</v>
      </c>
      <c r="G69" s="10">
        <v>1</v>
      </c>
      <c r="H69" s="10">
        <v>0.111214690556</v>
      </c>
      <c r="I69" s="9" t="s">
        <v>88</v>
      </c>
      <c r="J69" s="10">
        <v>7.1909999999999998</v>
      </c>
      <c r="K69" s="10">
        <v>0.58699999999999997</v>
      </c>
      <c r="L69" s="10">
        <v>6.1230000000000002</v>
      </c>
      <c r="M69" s="10">
        <v>4.319</v>
      </c>
      <c r="N69" s="10">
        <v>1.2629999999999999</v>
      </c>
    </row>
    <row r="70" spans="1:14" x14ac:dyDescent="0.3">
      <c r="A70" s="9" t="s">
        <v>171</v>
      </c>
      <c r="B70" s="9" t="s">
        <v>114</v>
      </c>
      <c r="C70" s="9" t="s">
        <v>113</v>
      </c>
      <c r="D70" s="9" t="s">
        <v>91</v>
      </c>
      <c r="E70" s="9" t="s">
        <v>92</v>
      </c>
      <c r="F70" s="10">
        <v>12</v>
      </c>
      <c r="G70" s="10">
        <v>1</v>
      </c>
      <c r="H70" s="10">
        <v>-0.83671211893300002</v>
      </c>
      <c r="I70" s="9" t="s">
        <v>87</v>
      </c>
      <c r="J70" s="10">
        <v>5.3890000000000002</v>
      </c>
      <c r="K70" s="10">
        <v>3.11</v>
      </c>
      <c r="L70" s="10">
        <v>6.4429999999999996</v>
      </c>
      <c r="M70" s="10">
        <v>3.448</v>
      </c>
      <c r="N70" s="10">
        <v>1.87</v>
      </c>
    </row>
    <row r="71" spans="1:14" x14ac:dyDescent="0.3">
      <c r="A71" s="9" t="s">
        <v>170</v>
      </c>
      <c r="B71" s="9" t="s">
        <v>114</v>
      </c>
      <c r="C71" s="9" t="s">
        <v>113</v>
      </c>
      <c r="D71" s="9" t="s">
        <v>93</v>
      </c>
      <c r="E71" s="9" t="s">
        <v>92</v>
      </c>
      <c r="F71" s="10">
        <v>32</v>
      </c>
      <c r="G71" s="10">
        <v>1</v>
      </c>
      <c r="H71" s="10">
        <v>0.89987809813599995</v>
      </c>
      <c r="I71" s="9" t="s">
        <v>88</v>
      </c>
      <c r="J71" s="10">
        <v>13.109</v>
      </c>
      <c r="K71" s="10">
        <v>2.2469999999999999</v>
      </c>
      <c r="L71" s="10">
        <v>8.0359999999999996</v>
      </c>
      <c r="M71" s="10">
        <v>5.923</v>
      </c>
      <c r="N71" s="10">
        <v>1.7869999999999999</v>
      </c>
    </row>
    <row r="72" spans="1:14" x14ac:dyDescent="0.3">
      <c r="A72" s="9" t="s">
        <v>169</v>
      </c>
      <c r="B72" s="9" t="s">
        <v>114</v>
      </c>
      <c r="C72" s="9" t="s">
        <v>113</v>
      </c>
      <c r="D72" s="9" t="s">
        <v>91</v>
      </c>
      <c r="E72" s="9" t="s">
        <v>92</v>
      </c>
      <c r="F72" s="10">
        <v>0</v>
      </c>
      <c r="G72" s="10">
        <v>1</v>
      </c>
      <c r="H72" s="10">
        <v>4.7237201350999999E-2</v>
      </c>
      <c r="I72" s="9" t="s">
        <v>88</v>
      </c>
      <c r="J72" s="10">
        <v>3.2919999999999998</v>
      </c>
      <c r="K72" s="10">
        <v>2.077</v>
      </c>
      <c r="L72" s="10">
        <v>5.64</v>
      </c>
      <c r="M72" s="10">
        <v>2.681</v>
      </c>
      <c r="N72" s="10">
        <v>1.8640000000000001</v>
      </c>
    </row>
    <row r="73" spans="1:14" x14ac:dyDescent="0.3">
      <c r="A73" s="9" t="s">
        <v>168</v>
      </c>
      <c r="B73" s="9" t="s">
        <v>114</v>
      </c>
      <c r="C73" s="9" t="s">
        <v>113</v>
      </c>
      <c r="D73" s="9" t="s">
        <v>93</v>
      </c>
      <c r="E73" s="9" t="s">
        <v>91</v>
      </c>
      <c r="F73" s="10">
        <v>0</v>
      </c>
      <c r="G73" s="10">
        <v>0</v>
      </c>
      <c r="H73" s="10">
        <v>-0.82027612562200003</v>
      </c>
      <c r="I73" s="9" t="s">
        <v>87</v>
      </c>
      <c r="J73" s="10">
        <v>5.0250000000000004</v>
      </c>
      <c r="K73" s="10">
        <v>1.3</v>
      </c>
      <c r="L73" s="10">
        <v>7.3689999999999998</v>
      </c>
      <c r="M73" s="10">
        <v>3.7440000000000002</v>
      </c>
      <c r="N73" s="10">
        <v>1.5329999999999999</v>
      </c>
    </row>
    <row r="74" spans="1:14" x14ac:dyDescent="0.3">
      <c r="A74" s="9" t="s">
        <v>167</v>
      </c>
      <c r="B74" s="9" t="s">
        <v>114</v>
      </c>
      <c r="C74" s="9" t="s">
        <v>113</v>
      </c>
      <c r="D74" s="9" t="s">
        <v>91</v>
      </c>
      <c r="E74" s="9" t="s">
        <v>92</v>
      </c>
      <c r="F74" s="10">
        <v>7</v>
      </c>
      <c r="G74" s="10">
        <v>1</v>
      </c>
      <c r="H74" s="10">
        <v>-1.12360453343</v>
      </c>
      <c r="I74" s="9" t="s">
        <v>87</v>
      </c>
      <c r="J74" s="10">
        <v>4.4660000000000002</v>
      </c>
      <c r="K74" s="10">
        <v>3.3780000000000001</v>
      </c>
      <c r="L74" s="10">
        <v>7.2140000000000004</v>
      </c>
      <c r="M74" s="10">
        <v>3.6419999999999999</v>
      </c>
      <c r="N74" s="10">
        <v>0.54500000000000004</v>
      </c>
    </row>
    <row r="75" spans="1:14" x14ac:dyDescent="0.3">
      <c r="A75" s="9" t="s">
        <v>166</v>
      </c>
      <c r="B75" s="9" t="s">
        <v>114</v>
      </c>
      <c r="C75" s="9" t="s">
        <v>113</v>
      </c>
      <c r="D75" s="9" t="s">
        <v>93</v>
      </c>
      <c r="E75" s="9" t="s">
        <v>93</v>
      </c>
      <c r="F75" s="10">
        <v>3</v>
      </c>
      <c r="G75" s="10">
        <v>1</v>
      </c>
      <c r="H75" s="10">
        <v>-0.45513747635200003</v>
      </c>
      <c r="I75" s="9" t="s">
        <v>88</v>
      </c>
      <c r="J75" s="10">
        <v>10.545999999999999</v>
      </c>
      <c r="K75" s="10">
        <v>1.9359999999999999</v>
      </c>
      <c r="L75" s="10">
        <v>7.3049999999999997</v>
      </c>
      <c r="M75" s="10">
        <v>5.0439999999999996</v>
      </c>
      <c r="N75" s="10">
        <v>0.67200000000000004</v>
      </c>
    </row>
    <row r="76" spans="1:14" x14ac:dyDescent="0.3">
      <c r="A76" s="9" t="s">
        <v>165</v>
      </c>
      <c r="B76" s="9" t="s">
        <v>114</v>
      </c>
      <c r="C76" s="9" t="s">
        <v>113</v>
      </c>
      <c r="D76" s="9" t="s">
        <v>91</v>
      </c>
      <c r="E76" s="9" t="s">
        <v>92</v>
      </c>
      <c r="F76" s="10">
        <v>3</v>
      </c>
      <c r="G76" s="10">
        <v>1</v>
      </c>
      <c r="H76" s="10">
        <v>-6.5617443184999999E-2</v>
      </c>
      <c r="I76" s="9" t="s">
        <v>88</v>
      </c>
      <c r="J76" s="10">
        <v>2.2000000000000002</v>
      </c>
      <c r="K76" s="10">
        <v>1.2629999999999999</v>
      </c>
      <c r="L76" s="10">
        <v>6.6390000000000002</v>
      </c>
      <c r="M76" s="10">
        <v>3.012</v>
      </c>
      <c r="N76" s="10">
        <v>0.86299999999999999</v>
      </c>
    </row>
    <row r="77" spans="1:14" x14ac:dyDescent="0.3">
      <c r="A77" s="9" t="s">
        <v>164</v>
      </c>
      <c r="B77" s="9" t="s">
        <v>114</v>
      </c>
      <c r="C77" s="9" t="s">
        <v>113</v>
      </c>
      <c r="D77" s="9" t="s">
        <v>93</v>
      </c>
      <c r="E77" s="9" t="s">
        <v>92</v>
      </c>
      <c r="F77" s="10">
        <v>15</v>
      </c>
      <c r="G77" s="10">
        <v>1</v>
      </c>
      <c r="H77" s="10">
        <v>0.318612802493</v>
      </c>
      <c r="I77" s="9" t="s">
        <v>88</v>
      </c>
      <c r="J77" s="10">
        <v>9.1080000000000005</v>
      </c>
      <c r="K77" s="10">
        <v>0.76800000000000002</v>
      </c>
      <c r="L77" s="10">
        <v>7.7359999999999998</v>
      </c>
      <c r="M77" s="10">
        <v>4.1150000000000002</v>
      </c>
      <c r="N77" s="10">
        <v>1.3959999999999999</v>
      </c>
    </row>
    <row r="78" spans="1:14" x14ac:dyDescent="0.3">
      <c r="A78" s="9" t="s">
        <v>163</v>
      </c>
      <c r="B78" s="9" t="s">
        <v>114</v>
      </c>
      <c r="C78" s="9" t="s">
        <v>113</v>
      </c>
      <c r="D78" s="9" t="s">
        <v>93</v>
      </c>
      <c r="E78" s="9" t="s">
        <v>92</v>
      </c>
      <c r="F78" s="10">
        <v>26</v>
      </c>
      <c r="G78" s="10">
        <v>1</v>
      </c>
      <c r="H78" s="10">
        <v>-1.155816034908</v>
      </c>
      <c r="I78" s="9" t="s">
        <v>87</v>
      </c>
      <c r="J78" s="10">
        <v>6.17</v>
      </c>
      <c r="K78" s="10">
        <v>0.72299999999999998</v>
      </c>
      <c r="L78" s="10">
        <v>6.2309999999999999</v>
      </c>
      <c r="M78" s="10">
        <v>5.23</v>
      </c>
      <c r="N78" s="10">
        <v>1.4339999999999999</v>
      </c>
    </row>
    <row r="79" spans="1:14" x14ac:dyDescent="0.3">
      <c r="A79" s="9" t="s">
        <v>162</v>
      </c>
      <c r="B79" s="9" t="s">
        <v>114</v>
      </c>
      <c r="C79" s="9" t="s">
        <v>113</v>
      </c>
      <c r="D79" s="9" t="s">
        <v>93</v>
      </c>
      <c r="E79" s="9" t="s">
        <v>92</v>
      </c>
      <c r="F79" s="10">
        <v>13</v>
      </c>
      <c r="G79" s="10">
        <v>1</v>
      </c>
      <c r="H79" s="10">
        <v>-1.466120901824</v>
      </c>
      <c r="I79" s="9" t="s">
        <v>87</v>
      </c>
      <c r="J79" s="10">
        <v>6.6029999999999998</v>
      </c>
      <c r="K79" s="10">
        <v>1.196</v>
      </c>
      <c r="L79" s="10">
        <v>6.2160000000000002</v>
      </c>
      <c r="M79" s="10">
        <v>4.415</v>
      </c>
      <c r="N79" s="10">
        <v>0.81499999999999995</v>
      </c>
    </row>
    <row r="80" spans="1:14" x14ac:dyDescent="0.3">
      <c r="A80" s="9" t="s">
        <v>161</v>
      </c>
      <c r="B80" s="9" t="s">
        <v>114</v>
      </c>
      <c r="C80" s="9" t="s">
        <v>113</v>
      </c>
      <c r="D80" s="9" t="s">
        <v>93</v>
      </c>
      <c r="E80" s="9" t="s">
        <v>92</v>
      </c>
      <c r="F80" s="10">
        <v>33</v>
      </c>
      <c r="G80" s="10">
        <v>0</v>
      </c>
      <c r="H80" s="10">
        <v>-0.55074475572100001</v>
      </c>
      <c r="I80" s="9" t="s">
        <v>87</v>
      </c>
      <c r="J80" s="10">
        <v>3.6619999999999999</v>
      </c>
      <c r="K80" s="10">
        <v>2.0179999999999998</v>
      </c>
      <c r="L80" s="10">
        <v>6.3319999999999999</v>
      </c>
      <c r="M80" s="10">
        <v>3.1629999999999998</v>
      </c>
      <c r="N80" s="10">
        <v>1.3440000000000001</v>
      </c>
    </row>
    <row r="81" spans="1:14" x14ac:dyDescent="0.3">
      <c r="A81" s="9" t="s">
        <v>160</v>
      </c>
      <c r="B81" s="9" t="s">
        <v>114</v>
      </c>
      <c r="C81" s="9" t="s">
        <v>113</v>
      </c>
      <c r="D81" s="9" t="s">
        <v>93</v>
      </c>
      <c r="E81" s="9" t="s">
        <v>93</v>
      </c>
      <c r="F81" s="10">
        <v>4</v>
      </c>
      <c r="G81" s="10">
        <v>1</v>
      </c>
      <c r="H81" s="10">
        <v>1.53120182479999E-2</v>
      </c>
      <c r="I81" s="9" t="s">
        <v>88</v>
      </c>
      <c r="J81" s="10">
        <v>6.7190000000000003</v>
      </c>
      <c r="K81" s="10">
        <v>1.956</v>
      </c>
      <c r="L81" s="10">
        <v>6.8109999999999999</v>
      </c>
      <c r="M81" s="10">
        <v>4.4450000000000003</v>
      </c>
      <c r="N81" s="10">
        <v>0.92</v>
      </c>
    </row>
    <row r="82" spans="1:14" x14ac:dyDescent="0.3">
      <c r="A82" s="9" t="s">
        <v>159</v>
      </c>
      <c r="B82" s="9" t="s">
        <v>114</v>
      </c>
      <c r="C82" s="9" t="s">
        <v>113</v>
      </c>
      <c r="D82" s="9" t="s">
        <v>93</v>
      </c>
      <c r="E82" s="9" t="s">
        <v>91</v>
      </c>
      <c r="F82" s="10">
        <v>15</v>
      </c>
      <c r="G82" s="10">
        <v>0</v>
      </c>
      <c r="H82" s="10">
        <v>-1.890441657889</v>
      </c>
      <c r="I82" s="9" t="s">
        <v>87</v>
      </c>
      <c r="J82" s="10">
        <v>9.2089999999999996</v>
      </c>
      <c r="K82" s="10">
        <v>1.431</v>
      </c>
      <c r="L82" s="10">
        <v>7.4320000000000004</v>
      </c>
      <c r="M82" s="10">
        <v>4.6130000000000004</v>
      </c>
      <c r="N82" s="10">
        <v>0.86099999999999999</v>
      </c>
    </row>
    <row r="83" spans="1:14" x14ac:dyDescent="0.3">
      <c r="A83" s="9" t="s">
        <v>158</v>
      </c>
      <c r="B83" s="9" t="s">
        <v>114</v>
      </c>
      <c r="C83" s="9" t="s">
        <v>113</v>
      </c>
      <c r="D83" s="9" t="s">
        <v>93</v>
      </c>
      <c r="E83" s="9" t="s">
        <v>92</v>
      </c>
      <c r="F83" s="10">
        <v>13</v>
      </c>
      <c r="G83" s="10">
        <v>0</v>
      </c>
      <c r="H83" s="10">
        <v>-0.54000602541200005</v>
      </c>
      <c r="I83" s="9" t="s">
        <v>87</v>
      </c>
      <c r="J83" s="10">
        <v>8.5120000000000005</v>
      </c>
      <c r="K83" s="10">
        <v>1.123</v>
      </c>
      <c r="L83" s="10">
        <v>7.7119999999999997</v>
      </c>
      <c r="M83" s="10">
        <v>4.8339999999999996</v>
      </c>
      <c r="N83" s="10">
        <v>0.90800000000000003</v>
      </c>
    </row>
    <row r="84" spans="1:14" x14ac:dyDescent="0.3">
      <c r="A84" s="9" t="s">
        <v>157</v>
      </c>
      <c r="B84" s="9" t="s">
        <v>114</v>
      </c>
      <c r="C84" s="9" t="s">
        <v>113</v>
      </c>
      <c r="D84" s="9" t="s">
        <v>91</v>
      </c>
      <c r="E84" s="9" t="s">
        <v>92</v>
      </c>
      <c r="F84" s="10">
        <v>4</v>
      </c>
      <c r="G84" s="10">
        <v>0</v>
      </c>
      <c r="H84" s="10">
        <v>0.47426948411699998</v>
      </c>
      <c r="I84" s="9" t="s">
        <v>88</v>
      </c>
      <c r="J84" s="10">
        <v>9.3810000000000002</v>
      </c>
      <c r="K84" s="10">
        <v>2.5</v>
      </c>
      <c r="L84" s="10">
        <v>6.2649999999999997</v>
      </c>
      <c r="M84" s="10">
        <v>3.2149999999999999</v>
      </c>
      <c r="N84" s="10">
        <v>1.5469999999999999</v>
      </c>
    </row>
    <row r="85" spans="1:14" x14ac:dyDescent="0.3">
      <c r="A85" s="9" t="s">
        <v>156</v>
      </c>
      <c r="B85" s="9" t="s">
        <v>114</v>
      </c>
      <c r="C85" s="9" t="s">
        <v>113</v>
      </c>
      <c r="D85" s="9" t="s">
        <v>93</v>
      </c>
      <c r="E85" s="9" t="s">
        <v>92</v>
      </c>
      <c r="F85" s="10">
        <v>10</v>
      </c>
      <c r="G85" s="10">
        <v>0</v>
      </c>
      <c r="H85" s="10">
        <v>0.26302846231799998</v>
      </c>
      <c r="I85" s="9" t="s">
        <v>88</v>
      </c>
      <c r="J85" s="10">
        <v>7.8369999999999997</v>
      </c>
      <c r="K85" s="10">
        <v>1.2829999999999999</v>
      </c>
      <c r="L85" s="10">
        <v>6.8819999999999997</v>
      </c>
      <c r="M85" s="10">
        <v>3.2320000000000002</v>
      </c>
      <c r="N85" s="10">
        <v>1.829</v>
      </c>
    </row>
    <row r="86" spans="1:14" x14ac:dyDescent="0.3">
      <c r="A86" s="9" t="s">
        <v>155</v>
      </c>
      <c r="B86" s="9" t="s">
        <v>114</v>
      </c>
      <c r="C86" s="9" t="s">
        <v>113</v>
      </c>
      <c r="D86" s="9" t="s">
        <v>91</v>
      </c>
      <c r="E86" s="9" t="s">
        <v>92</v>
      </c>
      <c r="F86" s="10">
        <v>2</v>
      </c>
      <c r="G86" s="10">
        <v>0</v>
      </c>
      <c r="H86" s="10">
        <v>-1.7420196318879999</v>
      </c>
      <c r="I86" s="9" t="s">
        <v>87</v>
      </c>
      <c r="J86" s="10">
        <v>11.029</v>
      </c>
      <c r="K86" s="10">
        <v>3.0950000000000002</v>
      </c>
      <c r="L86" s="10">
        <v>7.2770000000000001</v>
      </c>
      <c r="M86" s="10">
        <v>4.7409999999999997</v>
      </c>
      <c r="N86" s="10">
        <v>1.617</v>
      </c>
    </row>
    <row r="87" spans="1:14" x14ac:dyDescent="0.3">
      <c r="A87" s="9" t="s">
        <v>154</v>
      </c>
      <c r="B87" s="9" t="s">
        <v>114</v>
      </c>
      <c r="C87" s="9" t="s">
        <v>113</v>
      </c>
      <c r="D87" s="9" t="s">
        <v>91</v>
      </c>
      <c r="E87" s="9" t="s">
        <v>92</v>
      </c>
      <c r="F87" s="10">
        <v>8</v>
      </c>
      <c r="G87" s="10">
        <v>0</v>
      </c>
      <c r="H87" s="10">
        <v>-1.8417267561149999</v>
      </c>
      <c r="I87" s="9" t="s">
        <v>87</v>
      </c>
      <c r="J87" s="10">
        <v>11.365</v>
      </c>
      <c r="K87" s="10">
        <v>3.9430000000000001</v>
      </c>
      <c r="L87" s="10">
        <v>7.1660000000000004</v>
      </c>
      <c r="M87" s="10">
        <v>6.1239999999999997</v>
      </c>
      <c r="N87" s="10">
        <v>0.83599999999999997</v>
      </c>
    </row>
    <row r="88" spans="1:14" x14ac:dyDescent="0.3">
      <c r="A88" s="9" t="s">
        <v>153</v>
      </c>
      <c r="B88" s="9" t="s">
        <v>114</v>
      </c>
      <c r="C88" s="9" t="s">
        <v>113</v>
      </c>
      <c r="D88" s="9" t="s">
        <v>93</v>
      </c>
      <c r="E88" s="9" t="s">
        <v>92</v>
      </c>
      <c r="F88" s="10">
        <v>7</v>
      </c>
      <c r="G88" s="10">
        <v>0</v>
      </c>
      <c r="H88" s="10">
        <v>-0.39021410647600002</v>
      </c>
      <c r="I88" s="9" t="s">
        <v>88</v>
      </c>
      <c r="J88" s="10">
        <v>8.5920000000000005</v>
      </c>
      <c r="K88" s="10">
        <v>2.6219999999999999</v>
      </c>
      <c r="L88" s="10">
        <v>6.718</v>
      </c>
      <c r="M88" s="10">
        <v>4.7770000000000001</v>
      </c>
      <c r="N88" s="10">
        <v>0.71699999999999997</v>
      </c>
    </row>
    <row r="89" spans="1:14" x14ac:dyDescent="0.3">
      <c r="A89" s="9" t="s">
        <v>152</v>
      </c>
      <c r="B89" s="9" t="s">
        <v>114</v>
      </c>
      <c r="C89" s="9" t="s">
        <v>113</v>
      </c>
      <c r="D89" s="9" t="s">
        <v>93</v>
      </c>
      <c r="E89" s="9" t="s">
        <v>93</v>
      </c>
      <c r="F89" s="10">
        <v>8</v>
      </c>
      <c r="G89" s="10">
        <v>0</v>
      </c>
      <c r="H89" s="10">
        <v>0.56220655824200005</v>
      </c>
      <c r="I89" s="9" t="s">
        <v>88</v>
      </c>
      <c r="J89" s="10">
        <v>12.581</v>
      </c>
      <c r="K89" s="10">
        <v>4.423</v>
      </c>
      <c r="L89" s="10">
        <v>9.1419999999999995</v>
      </c>
      <c r="M89" s="10">
        <v>6.726</v>
      </c>
      <c r="N89" s="10">
        <v>1.696</v>
      </c>
    </row>
    <row r="90" spans="1:14" x14ac:dyDescent="0.3">
      <c r="A90" s="9" t="s">
        <v>151</v>
      </c>
      <c r="B90" s="9" t="s">
        <v>114</v>
      </c>
      <c r="C90" s="9" t="s">
        <v>113</v>
      </c>
      <c r="D90" s="9" t="s">
        <v>91</v>
      </c>
      <c r="E90" s="9" t="s">
        <v>92</v>
      </c>
      <c r="F90" s="10">
        <v>8</v>
      </c>
      <c r="G90" s="10">
        <v>0</v>
      </c>
      <c r="H90" s="10">
        <v>0.17870225453300001</v>
      </c>
      <c r="I90" s="9" t="s">
        <v>88</v>
      </c>
      <c r="J90" s="10">
        <v>7.1260000000000003</v>
      </c>
      <c r="K90" s="10">
        <v>1.1519999999999999</v>
      </c>
      <c r="L90" s="10">
        <v>6.0789999999999997</v>
      </c>
      <c r="M90" s="10">
        <v>3.3159999999999998</v>
      </c>
      <c r="N90" s="10">
        <v>1.097</v>
      </c>
    </row>
    <row r="91" spans="1:14" x14ac:dyDescent="0.3">
      <c r="A91" s="9" t="s">
        <v>150</v>
      </c>
      <c r="B91" s="9" t="s">
        <v>114</v>
      </c>
      <c r="C91" s="9" t="s">
        <v>113</v>
      </c>
      <c r="D91" s="9" t="s">
        <v>93</v>
      </c>
      <c r="E91" s="9" t="s">
        <v>91</v>
      </c>
      <c r="F91" s="10">
        <v>17</v>
      </c>
      <c r="G91" s="10">
        <v>1</v>
      </c>
      <c r="H91" s="10">
        <v>-0.90637096441099996</v>
      </c>
      <c r="I91" s="9" t="s">
        <v>87</v>
      </c>
      <c r="J91" s="10">
        <v>4.9820000000000002</v>
      </c>
      <c r="K91" s="10">
        <v>2.1619999999999999</v>
      </c>
      <c r="L91" s="10">
        <v>6.6609999999999996</v>
      </c>
      <c r="M91" s="10">
        <v>3.4409999999999998</v>
      </c>
      <c r="N91" s="10">
        <v>0.56899999999999995</v>
      </c>
    </row>
    <row r="92" spans="1:14" x14ac:dyDescent="0.3">
      <c r="A92" s="9" t="s">
        <v>149</v>
      </c>
      <c r="B92" s="9" t="s">
        <v>114</v>
      </c>
      <c r="C92" s="9" t="s">
        <v>113</v>
      </c>
      <c r="D92" s="9" t="s">
        <v>93</v>
      </c>
      <c r="E92" s="9" t="s">
        <v>93</v>
      </c>
      <c r="F92" s="10">
        <v>2</v>
      </c>
      <c r="G92" s="10">
        <v>1</v>
      </c>
      <c r="H92" s="10">
        <v>-1.972984412023</v>
      </c>
      <c r="I92" s="9" t="s">
        <v>87</v>
      </c>
      <c r="J92" s="10">
        <v>10.436999999999999</v>
      </c>
      <c r="K92" s="10">
        <v>2.1019999999999999</v>
      </c>
      <c r="L92" s="10">
        <v>7.5490000000000004</v>
      </c>
      <c r="M92" s="10">
        <v>6.0330000000000004</v>
      </c>
      <c r="N92" s="10">
        <v>1.7909999999999999</v>
      </c>
    </row>
    <row r="93" spans="1:14" x14ac:dyDescent="0.3">
      <c r="A93" s="9" t="s">
        <v>148</v>
      </c>
      <c r="B93" s="9" t="s">
        <v>114</v>
      </c>
      <c r="C93" s="9" t="s">
        <v>113</v>
      </c>
      <c r="D93" s="9" t="s">
        <v>93</v>
      </c>
      <c r="E93" s="9" t="s">
        <v>91</v>
      </c>
      <c r="F93" s="10">
        <v>14</v>
      </c>
      <c r="G93" s="10">
        <v>1</v>
      </c>
      <c r="H93" s="10">
        <v>-0.42851555212499998</v>
      </c>
      <c r="I93" s="9" t="s">
        <v>88</v>
      </c>
      <c r="J93" s="10">
        <v>3.0169999999999999</v>
      </c>
      <c r="K93" s="10">
        <v>0.82199999999999995</v>
      </c>
      <c r="L93" s="10">
        <v>6.0410000000000004</v>
      </c>
      <c r="M93" s="10">
        <v>3.548</v>
      </c>
      <c r="N93" s="10">
        <v>0.90300000000000002</v>
      </c>
    </row>
    <row r="94" spans="1:14" x14ac:dyDescent="0.3">
      <c r="A94" s="9" t="s">
        <v>147</v>
      </c>
      <c r="B94" s="9" t="s">
        <v>114</v>
      </c>
      <c r="C94" s="9" t="s">
        <v>113</v>
      </c>
      <c r="D94" s="9" t="s">
        <v>91</v>
      </c>
      <c r="E94" s="9" t="s">
        <v>92</v>
      </c>
      <c r="F94" s="10">
        <v>4</v>
      </c>
      <c r="G94" s="10">
        <v>1</v>
      </c>
      <c r="H94" s="10">
        <v>7.0992417793000001E-2</v>
      </c>
      <c r="I94" s="9" t="s">
        <v>88</v>
      </c>
      <c r="J94" s="10">
        <v>4.2009999999999996</v>
      </c>
      <c r="K94" s="10">
        <v>1.94</v>
      </c>
      <c r="L94" s="10">
        <v>6.1619999999999999</v>
      </c>
      <c r="M94" s="10">
        <v>3.3180000000000001</v>
      </c>
      <c r="N94" s="10">
        <v>0.85499999999999998</v>
      </c>
    </row>
    <row r="95" spans="1:14" x14ac:dyDescent="0.3">
      <c r="A95" s="9" t="s">
        <v>146</v>
      </c>
      <c r="B95" s="9" t="s">
        <v>114</v>
      </c>
      <c r="C95" s="9" t="s">
        <v>113</v>
      </c>
      <c r="D95" s="9" t="s">
        <v>93</v>
      </c>
      <c r="E95" s="9" t="s">
        <v>92</v>
      </c>
      <c r="F95" s="10">
        <v>1</v>
      </c>
      <c r="G95" s="10">
        <v>0</v>
      </c>
      <c r="H95" s="10">
        <v>0.19586381005299999</v>
      </c>
      <c r="I95" s="9" t="s">
        <v>88</v>
      </c>
      <c r="J95" s="10">
        <v>6.6689999999999996</v>
      </c>
      <c r="K95" s="10">
        <v>1.3180000000000001</v>
      </c>
      <c r="L95" s="10">
        <v>6.835</v>
      </c>
      <c r="M95" s="10">
        <v>3.6480000000000001</v>
      </c>
      <c r="N95" s="10">
        <v>0.69799999999999995</v>
      </c>
    </row>
    <row r="96" spans="1:14" x14ac:dyDescent="0.3">
      <c r="A96" s="9" t="s">
        <v>145</v>
      </c>
      <c r="B96" s="9" t="s">
        <v>114</v>
      </c>
      <c r="C96" s="9" t="s">
        <v>113</v>
      </c>
      <c r="D96" s="9" t="s">
        <v>93</v>
      </c>
      <c r="E96" s="9" t="s">
        <v>91</v>
      </c>
      <c r="F96" s="10">
        <v>29</v>
      </c>
      <c r="G96" s="10">
        <v>0</v>
      </c>
      <c r="H96" s="10">
        <v>-0.64473505256100005</v>
      </c>
      <c r="I96" s="9" t="s">
        <v>87</v>
      </c>
      <c r="J96" s="10">
        <v>3.07</v>
      </c>
      <c r="K96" s="10">
        <v>0.94499999999999995</v>
      </c>
      <c r="L96" s="10">
        <v>5.5720000000000001</v>
      </c>
      <c r="M96" s="10">
        <v>3.4860000000000002</v>
      </c>
      <c r="N96" s="10">
        <v>0.69499999999999995</v>
      </c>
    </row>
    <row r="97" spans="1:14" x14ac:dyDescent="0.3">
      <c r="A97" s="9" t="s">
        <v>144</v>
      </c>
      <c r="B97" s="9" t="s">
        <v>114</v>
      </c>
      <c r="C97" s="9" t="s">
        <v>113</v>
      </c>
      <c r="D97" s="9" t="s">
        <v>93</v>
      </c>
      <c r="E97" s="9" t="s">
        <v>91</v>
      </c>
      <c r="F97" s="10">
        <v>1</v>
      </c>
      <c r="G97" s="10">
        <v>0</v>
      </c>
      <c r="H97" s="10">
        <v>-1.3325838637980001</v>
      </c>
      <c r="I97" s="9" t="s">
        <v>87</v>
      </c>
      <c r="J97" s="10">
        <v>6.2729999999999997</v>
      </c>
      <c r="K97" s="10">
        <v>1.633</v>
      </c>
      <c r="L97" s="10">
        <v>5.9409999999999998</v>
      </c>
      <c r="M97" s="10">
        <v>3.4239999999999999</v>
      </c>
      <c r="N97" s="10">
        <v>0.89700000000000002</v>
      </c>
    </row>
    <row r="98" spans="1:14" x14ac:dyDescent="0.3">
      <c r="A98" s="9" t="s">
        <v>143</v>
      </c>
      <c r="B98" s="9" t="s">
        <v>114</v>
      </c>
      <c r="C98" s="9" t="s">
        <v>113</v>
      </c>
      <c r="D98" s="9" t="s">
        <v>93</v>
      </c>
      <c r="E98" s="9" t="s">
        <v>91</v>
      </c>
      <c r="F98" s="10">
        <v>8</v>
      </c>
      <c r="G98" s="10">
        <v>1</v>
      </c>
      <c r="H98" s="10">
        <v>-0.44259136577399999</v>
      </c>
      <c r="I98" s="9" t="s">
        <v>88</v>
      </c>
      <c r="J98" s="10">
        <v>4.8</v>
      </c>
      <c r="K98" s="10">
        <v>2.78</v>
      </c>
      <c r="L98" s="10">
        <v>6.4690000000000003</v>
      </c>
      <c r="M98" s="10">
        <v>3.58</v>
      </c>
      <c r="N98" s="10">
        <v>0.73</v>
      </c>
    </row>
    <row r="99" spans="1:14" x14ac:dyDescent="0.3">
      <c r="A99" s="9" t="s">
        <v>142</v>
      </c>
      <c r="B99" s="9" t="s">
        <v>114</v>
      </c>
      <c r="C99" s="9" t="s">
        <v>113</v>
      </c>
      <c r="D99" s="9" t="s">
        <v>93</v>
      </c>
      <c r="E99" s="9" t="s">
        <v>91</v>
      </c>
      <c r="F99" s="10">
        <v>54</v>
      </c>
      <c r="G99" s="10">
        <v>1</v>
      </c>
      <c r="H99" s="10">
        <v>0.64697681904000004</v>
      </c>
      <c r="I99" s="9" t="s">
        <v>88</v>
      </c>
      <c r="J99" s="10">
        <v>11.397</v>
      </c>
      <c r="K99" s="10">
        <v>3.359</v>
      </c>
      <c r="L99" s="10">
        <v>8.1189999999999998</v>
      </c>
      <c r="M99" s="10">
        <v>6.1760000000000002</v>
      </c>
      <c r="N99" s="10">
        <v>1.0960000000000001</v>
      </c>
    </row>
    <row r="100" spans="1:14" x14ac:dyDescent="0.3">
      <c r="A100" s="9" t="s">
        <v>141</v>
      </c>
      <c r="B100" s="9" t="s">
        <v>114</v>
      </c>
      <c r="C100" s="9" t="s">
        <v>113</v>
      </c>
      <c r="D100" s="9" t="s">
        <v>91</v>
      </c>
      <c r="E100" s="9" t="s">
        <v>91</v>
      </c>
      <c r="F100" s="10">
        <v>6</v>
      </c>
      <c r="G100" s="10">
        <v>1</v>
      </c>
      <c r="H100" s="10">
        <v>2.1259661345E-2</v>
      </c>
      <c r="I100" s="9" t="s">
        <v>88</v>
      </c>
      <c r="J100" s="10">
        <v>6.39</v>
      </c>
      <c r="K100" s="10">
        <v>3.1179999999999999</v>
      </c>
      <c r="L100" s="10">
        <v>6.7380000000000004</v>
      </c>
      <c r="M100" s="10">
        <v>3.3570000000000002</v>
      </c>
      <c r="N100" s="10">
        <v>0.76800000000000002</v>
      </c>
    </row>
    <row r="101" spans="1:14" x14ac:dyDescent="0.3">
      <c r="A101" s="9" t="s">
        <v>140</v>
      </c>
      <c r="B101" s="9" t="s">
        <v>114</v>
      </c>
      <c r="C101" s="9" t="s">
        <v>113</v>
      </c>
      <c r="D101" s="9" t="s">
        <v>93</v>
      </c>
      <c r="E101" s="9" t="s">
        <v>92</v>
      </c>
      <c r="F101" s="10">
        <v>7</v>
      </c>
      <c r="G101" s="10">
        <v>1</v>
      </c>
      <c r="H101" s="10">
        <v>-0.77597427051900003</v>
      </c>
      <c r="I101" s="9" t="s">
        <v>87</v>
      </c>
      <c r="J101" s="10">
        <v>3.778</v>
      </c>
      <c r="K101" s="10">
        <v>2.8580000000000001</v>
      </c>
      <c r="L101" s="10">
        <v>6.6040000000000001</v>
      </c>
      <c r="M101" s="10">
        <v>3.7789999999999999</v>
      </c>
      <c r="N101" s="10">
        <v>0.73099999999999998</v>
      </c>
    </row>
    <row r="102" spans="1:14" x14ac:dyDescent="0.3">
      <c r="A102" s="9" t="s">
        <v>139</v>
      </c>
      <c r="B102" s="9" t="s">
        <v>114</v>
      </c>
      <c r="C102" s="9" t="s">
        <v>113</v>
      </c>
      <c r="D102" s="9" t="s">
        <v>93</v>
      </c>
      <c r="E102" s="9" t="s">
        <v>93</v>
      </c>
      <c r="F102" s="10">
        <v>7</v>
      </c>
      <c r="G102" s="10">
        <v>1</v>
      </c>
      <c r="H102" s="10">
        <v>-1.798815065059</v>
      </c>
      <c r="I102" s="9" t="s">
        <v>87</v>
      </c>
      <c r="J102" s="10">
        <v>9.7289999999999992</v>
      </c>
      <c r="K102" s="10">
        <v>1.3660000000000001</v>
      </c>
      <c r="L102" s="10">
        <v>6.3109999999999999</v>
      </c>
      <c r="M102" s="10">
        <v>5.298</v>
      </c>
      <c r="N102" s="10">
        <v>1.909</v>
      </c>
    </row>
    <row r="103" spans="1:14" x14ac:dyDescent="0.3">
      <c r="A103" s="9" t="s">
        <v>138</v>
      </c>
      <c r="B103" s="9" t="s">
        <v>114</v>
      </c>
      <c r="C103" s="9" t="s">
        <v>113</v>
      </c>
      <c r="D103" s="9" t="s">
        <v>93</v>
      </c>
      <c r="E103" s="9" t="s">
        <v>92</v>
      </c>
      <c r="F103" s="10">
        <v>13</v>
      </c>
      <c r="G103" s="10">
        <v>1</v>
      </c>
      <c r="H103" s="10">
        <v>-0.21526203746200001</v>
      </c>
      <c r="I103" s="9" t="s">
        <v>88</v>
      </c>
      <c r="J103" s="10">
        <v>4.97</v>
      </c>
      <c r="K103" s="10">
        <v>0.81399999999999995</v>
      </c>
      <c r="L103" s="10">
        <v>5.5469999999999997</v>
      </c>
      <c r="M103" s="10">
        <v>4.95</v>
      </c>
      <c r="N103" s="10">
        <v>0.65200000000000002</v>
      </c>
    </row>
    <row r="104" spans="1:14" x14ac:dyDescent="0.3">
      <c r="A104" s="9" t="s">
        <v>137</v>
      </c>
      <c r="B104" s="9" t="s">
        <v>114</v>
      </c>
      <c r="C104" s="9" t="s">
        <v>113</v>
      </c>
      <c r="D104" s="9" t="s">
        <v>91</v>
      </c>
      <c r="E104" s="9" t="s">
        <v>92</v>
      </c>
      <c r="F104" s="10">
        <v>16</v>
      </c>
      <c r="G104" s="10">
        <v>1</v>
      </c>
      <c r="H104" s="10">
        <v>2.2732758188999998E-2</v>
      </c>
      <c r="I104" s="9" t="s">
        <v>88</v>
      </c>
      <c r="J104" s="10">
        <v>5.2050000000000001</v>
      </c>
      <c r="K104" s="10">
        <v>2.972</v>
      </c>
      <c r="L104" s="10">
        <v>7.2309999999999999</v>
      </c>
      <c r="M104" s="10">
        <v>3.117</v>
      </c>
      <c r="N104" s="10">
        <v>0.878</v>
      </c>
    </row>
    <row r="105" spans="1:14" x14ac:dyDescent="0.3">
      <c r="A105" s="9" t="s">
        <v>136</v>
      </c>
      <c r="B105" s="9" t="s">
        <v>114</v>
      </c>
      <c r="C105" s="9" t="s">
        <v>113</v>
      </c>
      <c r="D105" s="9" t="s">
        <v>93</v>
      </c>
      <c r="E105" s="9" t="s">
        <v>91</v>
      </c>
      <c r="F105" s="10">
        <v>15</v>
      </c>
      <c r="G105" s="10">
        <v>1</v>
      </c>
      <c r="H105" s="10">
        <v>7.7962672395000002E-2</v>
      </c>
      <c r="I105" s="9" t="s">
        <v>88</v>
      </c>
      <c r="J105" s="10">
        <v>6.2729999999999997</v>
      </c>
      <c r="K105" s="10">
        <v>0.95199999999999996</v>
      </c>
      <c r="L105" s="10">
        <v>5.4779999999999998</v>
      </c>
      <c r="M105" s="10">
        <v>3.677</v>
      </c>
      <c r="N105" s="10">
        <v>0.9</v>
      </c>
    </row>
    <row r="106" spans="1:14" x14ac:dyDescent="0.3">
      <c r="A106" s="9" t="s">
        <v>135</v>
      </c>
      <c r="B106" s="9" t="s">
        <v>114</v>
      </c>
      <c r="C106" s="9" t="s">
        <v>113</v>
      </c>
      <c r="D106" s="9" t="s">
        <v>93</v>
      </c>
      <c r="E106" s="9" t="s">
        <v>92</v>
      </c>
      <c r="F106" s="10">
        <v>6</v>
      </c>
      <c r="G106" s="10">
        <v>1</v>
      </c>
      <c r="H106" s="10">
        <v>-0.41926671002400001</v>
      </c>
      <c r="I106" s="9" t="s">
        <v>88</v>
      </c>
      <c r="J106" s="10">
        <v>2.2109999999999999</v>
      </c>
      <c r="K106" s="10">
        <v>3.202</v>
      </c>
      <c r="L106" s="10">
        <v>7.8620000000000001</v>
      </c>
      <c r="M106" s="10">
        <v>3.2490000000000001</v>
      </c>
      <c r="N106" s="10">
        <v>1.4390000000000001</v>
      </c>
    </row>
    <row r="107" spans="1:14" x14ac:dyDescent="0.3">
      <c r="A107" s="9" t="s">
        <v>134</v>
      </c>
      <c r="B107" s="9" t="s">
        <v>114</v>
      </c>
      <c r="C107" s="9" t="s">
        <v>113</v>
      </c>
      <c r="D107" s="9" t="s">
        <v>91</v>
      </c>
      <c r="E107" s="9" t="s">
        <v>92</v>
      </c>
      <c r="F107" s="10">
        <v>7</v>
      </c>
      <c r="G107" s="10">
        <v>1</v>
      </c>
      <c r="H107" s="10">
        <v>-1.307982215085</v>
      </c>
      <c r="I107" s="9" t="s">
        <v>87</v>
      </c>
      <c r="J107" s="10">
        <v>5.8840000000000003</v>
      </c>
      <c r="K107" s="10">
        <v>1.468</v>
      </c>
      <c r="L107" s="10">
        <v>5.9870000000000001</v>
      </c>
      <c r="M107" s="10">
        <v>2.6909999999999998</v>
      </c>
      <c r="N107" s="10">
        <v>0.65400000000000003</v>
      </c>
    </row>
    <row r="108" spans="1:14" x14ac:dyDescent="0.3">
      <c r="A108" s="9" t="s">
        <v>133</v>
      </c>
      <c r="B108" s="9" t="s">
        <v>114</v>
      </c>
      <c r="C108" s="9" t="s">
        <v>113</v>
      </c>
      <c r="D108" s="9" t="s">
        <v>93</v>
      </c>
      <c r="E108" s="9" t="s">
        <v>92</v>
      </c>
      <c r="F108" s="10">
        <v>18</v>
      </c>
      <c r="G108" s="10">
        <v>1</v>
      </c>
      <c r="H108" s="10">
        <v>-0.51387799661800004</v>
      </c>
      <c r="I108" s="9" t="s">
        <v>87</v>
      </c>
      <c r="J108" s="10">
        <v>6.2030000000000003</v>
      </c>
      <c r="K108" s="10">
        <v>2.2959999999999998</v>
      </c>
      <c r="L108" s="10">
        <v>6.4909999999999997</v>
      </c>
      <c r="M108" s="10">
        <v>3.4329999999999998</v>
      </c>
      <c r="N108" s="10">
        <v>0.94099999999999995</v>
      </c>
    </row>
    <row r="109" spans="1:14" x14ac:dyDescent="0.3">
      <c r="A109" s="9" t="s">
        <v>132</v>
      </c>
      <c r="B109" s="9" t="s">
        <v>114</v>
      </c>
      <c r="C109" s="9" t="s">
        <v>113</v>
      </c>
      <c r="D109" s="9" t="s">
        <v>93</v>
      </c>
      <c r="E109" s="9" t="s">
        <v>92</v>
      </c>
      <c r="F109" s="10">
        <v>7</v>
      </c>
      <c r="G109" s="10">
        <v>1</v>
      </c>
      <c r="H109" s="10">
        <v>0.57626988452100003</v>
      </c>
      <c r="I109" s="9" t="s">
        <v>88</v>
      </c>
      <c r="J109" s="10">
        <v>10.138999999999999</v>
      </c>
      <c r="K109" s="10">
        <v>2.996</v>
      </c>
      <c r="L109" s="10">
        <v>6.5529999999999999</v>
      </c>
      <c r="M109" s="10">
        <v>4.09</v>
      </c>
      <c r="N109" s="10">
        <v>0.84599999999999997</v>
      </c>
    </row>
    <row r="110" spans="1:14" x14ac:dyDescent="0.3">
      <c r="A110" s="9" t="s">
        <v>131</v>
      </c>
      <c r="B110" s="9" t="s">
        <v>114</v>
      </c>
      <c r="C110" s="9" t="s">
        <v>113</v>
      </c>
      <c r="D110" s="9" t="s">
        <v>93</v>
      </c>
      <c r="E110" s="9" t="s">
        <v>92</v>
      </c>
      <c r="F110" s="10">
        <v>22</v>
      </c>
      <c r="G110" s="10">
        <v>1</v>
      </c>
      <c r="H110" s="10">
        <v>9.9526417990000605E-3</v>
      </c>
      <c r="I110" s="9" t="s">
        <v>88</v>
      </c>
      <c r="J110" s="10">
        <v>9.2940000000000005</v>
      </c>
      <c r="K110" s="10">
        <v>2.069</v>
      </c>
      <c r="L110" s="10">
        <v>6.109</v>
      </c>
      <c r="M110" s="10">
        <v>4.1159999999999997</v>
      </c>
      <c r="N110" s="10">
        <v>0.89100000000000001</v>
      </c>
    </row>
    <row r="111" spans="1:14" x14ac:dyDescent="0.3">
      <c r="A111" s="9" t="s">
        <v>130</v>
      </c>
      <c r="B111" s="9" t="s">
        <v>114</v>
      </c>
      <c r="C111" s="9" t="s">
        <v>113</v>
      </c>
      <c r="D111" s="9" t="s">
        <v>91</v>
      </c>
      <c r="E111" s="9" t="s">
        <v>92</v>
      </c>
      <c r="F111" s="10">
        <v>25</v>
      </c>
      <c r="G111" s="10">
        <v>1</v>
      </c>
      <c r="H111" s="10">
        <v>-1.5288060752529999</v>
      </c>
      <c r="I111" s="9" t="s">
        <v>87</v>
      </c>
      <c r="J111" s="10">
        <v>10.038</v>
      </c>
      <c r="K111" s="10">
        <v>2.9529999999999998</v>
      </c>
      <c r="L111" s="10">
        <v>7.6769999999999996</v>
      </c>
      <c r="M111" s="10">
        <v>3.9590000000000001</v>
      </c>
      <c r="N111" s="10">
        <v>1.5049999999999999</v>
      </c>
    </row>
    <row r="112" spans="1:14" x14ac:dyDescent="0.3">
      <c r="A112" s="9" t="s">
        <v>129</v>
      </c>
      <c r="B112" s="9" t="s">
        <v>114</v>
      </c>
      <c r="C112" s="9" t="s">
        <v>113</v>
      </c>
      <c r="D112" s="9" t="s">
        <v>93</v>
      </c>
      <c r="E112" s="9" t="s">
        <v>92</v>
      </c>
      <c r="F112" s="10">
        <v>30</v>
      </c>
      <c r="G112" s="10">
        <v>0</v>
      </c>
      <c r="H112" s="10">
        <v>-1.185869709903</v>
      </c>
      <c r="I112" s="9" t="s">
        <v>87</v>
      </c>
      <c r="J112" s="10">
        <v>5.0339999999999998</v>
      </c>
      <c r="K112" s="10">
        <v>1.571</v>
      </c>
      <c r="L112" s="10">
        <v>5.85</v>
      </c>
      <c r="M112" s="10">
        <v>3.1360000000000001</v>
      </c>
      <c r="N112" s="10">
        <v>0.998</v>
      </c>
    </row>
    <row r="113" spans="1:14" x14ac:dyDescent="0.3">
      <c r="A113" s="9" t="s">
        <v>128</v>
      </c>
      <c r="B113" s="9" t="s">
        <v>114</v>
      </c>
      <c r="C113" s="9" t="s">
        <v>113</v>
      </c>
      <c r="D113" s="9" t="s">
        <v>93</v>
      </c>
      <c r="E113" s="9" t="s">
        <v>92</v>
      </c>
      <c r="F113" s="10">
        <v>22</v>
      </c>
      <c r="G113" s="10">
        <v>1</v>
      </c>
      <c r="H113" s="10">
        <v>-0.50251483246700002</v>
      </c>
      <c r="I113" s="9" t="s">
        <v>87</v>
      </c>
      <c r="J113" s="10">
        <v>9.92</v>
      </c>
      <c r="K113" s="10">
        <v>1.8859999999999999</v>
      </c>
      <c r="L113" s="10">
        <v>6.6429999999999998</v>
      </c>
      <c r="M113" s="10">
        <v>4.8140000000000001</v>
      </c>
      <c r="N113" s="10">
        <v>1.4450000000000001</v>
      </c>
    </row>
    <row r="114" spans="1:14" x14ac:dyDescent="0.3">
      <c r="A114" s="9" t="s">
        <v>127</v>
      </c>
      <c r="B114" s="9" t="s">
        <v>114</v>
      </c>
      <c r="C114" s="9" t="s">
        <v>113</v>
      </c>
      <c r="D114" s="9" t="s">
        <v>93</v>
      </c>
      <c r="E114" s="9" t="s">
        <v>93</v>
      </c>
      <c r="F114" s="10">
        <v>6</v>
      </c>
      <c r="G114" s="10">
        <v>1</v>
      </c>
      <c r="H114" s="10">
        <v>0.31281942443900002</v>
      </c>
      <c r="I114" s="9" t="s">
        <v>88</v>
      </c>
      <c r="J114" s="10">
        <v>5.3520000000000003</v>
      </c>
      <c r="K114" s="10">
        <v>0.97099999999999997</v>
      </c>
      <c r="L114" s="10">
        <v>5.7530000000000001</v>
      </c>
      <c r="M114" s="10">
        <v>3.3359999999999999</v>
      </c>
      <c r="N114" s="10">
        <v>1</v>
      </c>
    </row>
    <row r="115" spans="1:14" x14ac:dyDescent="0.3">
      <c r="A115" s="9" t="s">
        <v>126</v>
      </c>
      <c r="B115" s="9" t="s">
        <v>114</v>
      </c>
      <c r="C115" s="9" t="s">
        <v>113</v>
      </c>
      <c r="D115" s="9" t="s">
        <v>93</v>
      </c>
      <c r="E115" s="9" t="s">
        <v>93</v>
      </c>
      <c r="F115" s="10">
        <v>14</v>
      </c>
      <c r="G115" s="10">
        <v>1</v>
      </c>
      <c r="H115" s="10">
        <v>9.7398835013999902E-2</v>
      </c>
      <c r="I115" s="9" t="s">
        <v>88</v>
      </c>
      <c r="J115" s="10">
        <v>8.4949999999999992</v>
      </c>
      <c r="K115" s="10">
        <v>0.89100000000000001</v>
      </c>
      <c r="L115" s="10">
        <v>6.2759999999999998</v>
      </c>
      <c r="M115" s="10">
        <v>4.4279999999999999</v>
      </c>
      <c r="N115" s="10">
        <v>1.4079999999999999</v>
      </c>
    </row>
    <row r="116" spans="1:14" x14ac:dyDescent="0.3">
      <c r="A116" s="9" t="s">
        <v>125</v>
      </c>
      <c r="B116" s="9" t="s">
        <v>114</v>
      </c>
      <c r="C116" s="9" t="s">
        <v>113</v>
      </c>
      <c r="D116" s="9" t="s">
        <v>91</v>
      </c>
      <c r="E116" s="9" t="s">
        <v>93</v>
      </c>
      <c r="F116" s="10">
        <v>1</v>
      </c>
      <c r="G116" s="10">
        <v>0</v>
      </c>
      <c r="H116" s="10">
        <v>-0.56982356182399996</v>
      </c>
      <c r="I116" s="9" t="s">
        <v>87</v>
      </c>
      <c r="J116" s="10">
        <v>4.0229999999999997</v>
      </c>
      <c r="K116" s="10">
        <v>0.51200000000000001</v>
      </c>
      <c r="L116" s="10">
        <v>5.9749999999999996</v>
      </c>
      <c r="M116" s="10">
        <v>2.1779999999999999</v>
      </c>
      <c r="N116" s="10">
        <v>1.125</v>
      </c>
    </row>
    <row r="117" spans="1:14" x14ac:dyDescent="0.3">
      <c r="A117" s="9" t="s">
        <v>124</v>
      </c>
      <c r="B117" s="9" t="s">
        <v>114</v>
      </c>
      <c r="C117" s="9" t="s">
        <v>113</v>
      </c>
      <c r="D117" s="9" t="s">
        <v>93</v>
      </c>
      <c r="E117" s="9" t="s">
        <v>92</v>
      </c>
      <c r="F117" s="10">
        <v>6</v>
      </c>
      <c r="G117" s="10">
        <v>0</v>
      </c>
      <c r="H117" s="10">
        <v>-1.457092963217</v>
      </c>
      <c r="I117" s="9" t="s">
        <v>87</v>
      </c>
      <c r="J117" s="10">
        <v>5.867</v>
      </c>
      <c r="K117" s="10">
        <v>1.2270000000000001</v>
      </c>
      <c r="L117" s="10">
        <v>6.8520000000000003</v>
      </c>
      <c r="M117" s="10">
        <v>3.6760000000000002</v>
      </c>
      <c r="N117" s="10">
        <v>0.80600000000000005</v>
      </c>
    </row>
    <row r="118" spans="1:14" x14ac:dyDescent="0.3">
      <c r="A118" s="9" t="s">
        <v>123</v>
      </c>
      <c r="B118" s="9" t="s">
        <v>114</v>
      </c>
      <c r="C118" s="9" t="s">
        <v>113</v>
      </c>
      <c r="D118" s="9" t="s">
        <v>93</v>
      </c>
      <c r="E118" s="9" t="s">
        <v>92</v>
      </c>
      <c r="F118" s="10">
        <v>7</v>
      </c>
      <c r="G118" s="10">
        <v>1</v>
      </c>
      <c r="H118" s="10">
        <v>-0.46113089791700002</v>
      </c>
      <c r="I118" s="9" t="s">
        <v>87</v>
      </c>
      <c r="J118" s="10">
        <v>9.2650000000000006</v>
      </c>
      <c r="K118" s="10">
        <v>2.6110000000000002</v>
      </c>
      <c r="L118" s="10">
        <v>6.452</v>
      </c>
      <c r="M118" s="10">
        <v>4.125</v>
      </c>
      <c r="N118" s="10">
        <v>0.878</v>
      </c>
    </row>
    <row r="119" spans="1:14" x14ac:dyDescent="0.3">
      <c r="A119" s="9" t="s">
        <v>122</v>
      </c>
      <c r="B119" s="9" t="s">
        <v>114</v>
      </c>
      <c r="C119" s="9" t="s">
        <v>113</v>
      </c>
      <c r="D119" s="9" t="s">
        <v>93</v>
      </c>
      <c r="E119" s="9" t="s">
        <v>91</v>
      </c>
      <c r="F119" s="10">
        <v>19</v>
      </c>
      <c r="G119" s="10">
        <v>1</v>
      </c>
      <c r="H119" s="10">
        <v>-0.131531963753</v>
      </c>
      <c r="I119" s="9" t="s">
        <v>88</v>
      </c>
      <c r="J119" s="10">
        <v>2.5219999999999998</v>
      </c>
      <c r="K119" s="10">
        <v>2.375</v>
      </c>
      <c r="L119" s="10">
        <v>6.5010000000000003</v>
      </c>
      <c r="M119" s="10">
        <v>3.9529999999999998</v>
      </c>
      <c r="N119" s="10">
        <v>0.57799999999999996</v>
      </c>
    </row>
    <row r="120" spans="1:14" x14ac:dyDescent="0.3">
      <c r="A120" s="9" t="s">
        <v>121</v>
      </c>
      <c r="B120" s="9" t="s">
        <v>114</v>
      </c>
      <c r="C120" s="9" t="s">
        <v>113</v>
      </c>
      <c r="D120" s="9" t="s">
        <v>93</v>
      </c>
      <c r="E120" s="9" t="s">
        <v>93</v>
      </c>
      <c r="F120" s="10">
        <v>3</v>
      </c>
      <c r="G120" s="10">
        <v>1</v>
      </c>
      <c r="H120" s="10">
        <v>-4.7392072640000298E-3</v>
      </c>
      <c r="I120" s="9" t="s">
        <v>88</v>
      </c>
      <c r="J120" s="10">
        <v>5.4210000000000003</v>
      </c>
      <c r="K120" s="10">
        <v>1.032</v>
      </c>
      <c r="L120" s="10">
        <v>5.4909999999999997</v>
      </c>
      <c r="M120" s="10">
        <v>4.133</v>
      </c>
      <c r="N120" s="10">
        <v>1.0620000000000001</v>
      </c>
    </row>
    <row r="121" spans="1:14" x14ac:dyDescent="0.3">
      <c r="A121" s="9" t="s">
        <v>120</v>
      </c>
      <c r="B121" s="9" t="s">
        <v>114</v>
      </c>
      <c r="C121" s="9" t="s">
        <v>113</v>
      </c>
      <c r="D121" s="9" t="s">
        <v>93</v>
      </c>
      <c r="E121" s="9" t="s">
        <v>91</v>
      </c>
      <c r="F121" s="10">
        <v>19</v>
      </c>
      <c r="G121" s="10">
        <v>1</v>
      </c>
      <c r="H121" s="10">
        <v>-1.0780812034080001</v>
      </c>
      <c r="I121" s="9" t="s">
        <v>87</v>
      </c>
      <c r="J121" s="10">
        <v>6.7210000000000001</v>
      </c>
      <c r="K121" s="10">
        <v>0.99299999999999999</v>
      </c>
      <c r="L121" s="10">
        <v>5.9279999999999999</v>
      </c>
      <c r="M121" s="10">
        <v>3.488</v>
      </c>
      <c r="N121" s="10">
        <v>1.131</v>
      </c>
    </row>
    <row r="122" spans="1:14" x14ac:dyDescent="0.3">
      <c r="A122" s="9" t="s">
        <v>119</v>
      </c>
      <c r="B122" s="9" t="s">
        <v>114</v>
      </c>
      <c r="C122" s="9" t="s">
        <v>113</v>
      </c>
      <c r="D122" s="9" t="s">
        <v>93</v>
      </c>
      <c r="E122" s="9" t="s">
        <v>92</v>
      </c>
      <c r="F122" s="10">
        <v>17</v>
      </c>
      <c r="G122" s="10">
        <v>1</v>
      </c>
      <c r="H122" s="10">
        <v>-1.2305773264519999</v>
      </c>
      <c r="I122" s="9" t="s">
        <v>87</v>
      </c>
      <c r="J122" s="10">
        <v>5.7880000000000003</v>
      </c>
      <c r="K122" s="10">
        <v>1.9119999999999999</v>
      </c>
      <c r="L122" s="10">
        <v>5.8940000000000001</v>
      </c>
      <c r="M122" s="10">
        <v>3.1139999999999999</v>
      </c>
      <c r="N122" s="10">
        <v>1.4710000000000001</v>
      </c>
    </row>
    <row r="123" spans="1:14" x14ac:dyDescent="0.3">
      <c r="A123" s="9" t="s">
        <v>118</v>
      </c>
      <c r="B123" s="9" t="s">
        <v>114</v>
      </c>
      <c r="C123" s="9" t="s">
        <v>113</v>
      </c>
      <c r="D123" s="9" t="s">
        <v>93</v>
      </c>
      <c r="E123" s="9" t="s">
        <v>92</v>
      </c>
      <c r="F123" s="10">
        <v>1</v>
      </c>
      <c r="G123" s="10">
        <v>0</v>
      </c>
      <c r="H123" s="10">
        <v>-0.46136176368199999</v>
      </c>
      <c r="I123" s="9" t="s">
        <v>87</v>
      </c>
      <c r="J123" s="10">
        <v>8.2780000000000005</v>
      </c>
      <c r="K123" s="10">
        <v>2.36</v>
      </c>
      <c r="L123" s="10">
        <v>6.0590000000000002</v>
      </c>
      <c r="M123" s="10">
        <v>3.9590000000000001</v>
      </c>
      <c r="N123" s="10">
        <v>1.137</v>
      </c>
    </row>
    <row r="124" spans="1:14" x14ac:dyDescent="0.3">
      <c r="A124" s="9" t="s">
        <v>117</v>
      </c>
      <c r="B124" s="9" t="s">
        <v>114</v>
      </c>
      <c r="C124" s="9" t="s">
        <v>113</v>
      </c>
      <c r="D124" s="9" t="s">
        <v>93</v>
      </c>
      <c r="E124" s="9" t="s">
        <v>91</v>
      </c>
      <c r="F124" s="10">
        <v>20</v>
      </c>
      <c r="G124" s="10">
        <v>1</v>
      </c>
      <c r="H124" s="10">
        <v>-5.7109923442999998E-2</v>
      </c>
      <c r="I124" s="9" t="s">
        <v>88</v>
      </c>
      <c r="J124" s="10">
        <v>3.0720000000000001</v>
      </c>
      <c r="K124" s="10">
        <v>1.7430000000000001</v>
      </c>
      <c r="L124" s="10">
        <v>6.8079999999999998</v>
      </c>
      <c r="M124" s="10">
        <v>3.294</v>
      </c>
      <c r="N124" s="10">
        <v>1.077</v>
      </c>
    </row>
    <row r="125" spans="1:14" x14ac:dyDescent="0.3">
      <c r="A125" s="9" t="s">
        <v>116</v>
      </c>
      <c r="B125" s="9" t="s">
        <v>114</v>
      </c>
      <c r="C125" s="9" t="s">
        <v>113</v>
      </c>
      <c r="D125" s="9" t="s">
        <v>91</v>
      </c>
      <c r="E125" s="9" t="s">
        <v>91</v>
      </c>
      <c r="F125" s="10">
        <v>2</v>
      </c>
      <c r="G125" s="10">
        <v>1</v>
      </c>
      <c r="H125" s="10">
        <v>0.25790228867199999</v>
      </c>
      <c r="I125" s="9" t="s">
        <v>88</v>
      </c>
      <c r="J125" s="10">
        <v>2.323</v>
      </c>
      <c r="K125" s="10">
        <v>1.679</v>
      </c>
      <c r="L125" s="10">
        <v>8.952</v>
      </c>
      <c r="M125" s="10">
        <v>4.0140000000000002</v>
      </c>
      <c r="N125" s="10">
        <v>1.6639999999999999</v>
      </c>
    </row>
    <row r="126" spans="1:14" x14ac:dyDescent="0.3">
      <c r="A126" s="9" t="s">
        <v>115</v>
      </c>
      <c r="B126" s="9" t="s">
        <v>114</v>
      </c>
      <c r="C126" s="9" t="s">
        <v>113</v>
      </c>
      <c r="D126" s="9" t="s">
        <v>93</v>
      </c>
      <c r="E126" s="9" t="s">
        <v>91</v>
      </c>
      <c r="F126" s="10">
        <v>24</v>
      </c>
      <c r="G126" s="10">
        <v>1</v>
      </c>
      <c r="H126" s="10">
        <v>-0.765282936676</v>
      </c>
      <c r="I126" s="9" t="s">
        <v>87</v>
      </c>
      <c r="J126" s="10">
        <v>11.75</v>
      </c>
      <c r="K126" s="10">
        <v>4.3230000000000004</v>
      </c>
      <c r="L126" s="10">
        <v>8.9149999999999991</v>
      </c>
      <c r="M126" s="10">
        <v>5.7510000000000003</v>
      </c>
      <c r="N126" s="10">
        <v>2.4009999999999998</v>
      </c>
    </row>
  </sheetData>
  <autoFilter ref="A1:N126" xr:uid="{00000000-0009-0000-0000-000000000000}"/>
  <mergeCells count="2">
    <mergeCell ref="P23:V23"/>
    <mergeCell ref="P24:V24"/>
  </mergeCells>
  <pageMargins left="0.7" right="0.7" top="0.75" bottom="0.75" header="0.3" footer="0.3"/>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B31C8-DA5D-48C7-9206-6CF7B8F021C4}">
  <sheetPr>
    <tabColor rgb="FF462300"/>
  </sheetPr>
  <dimension ref="A1:B6"/>
  <sheetViews>
    <sheetView zoomScale="90" zoomScaleNormal="90" workbookViewId="0">
      <pane ySplit="1" topLeftCell="A2" activePane="bottomLeft" state="frozen"/>
      <selection pane="bottomLeft"/>
    </sheetView>
  </sheetViews>
  <sheetFormatPr defaultColWidth="11.5546875" defaultRowHeight="14.4" x14ac:dyDescent="0.3"/>
  <cols>
    <col min="1" max="1" width="8.6640625" style="3" customWidth="1"/>
    <col min="2" max="2" width="11.6640625" style="3" customWidth="1"/>
    <col min="3" max="16384" width="11.5546875" style="3"/>
  </cols>
  <sheetData>
    <row r="1" spans="1:2" x14ac:dyDescent="0.3">
      <c r="A1" s="8" t="s">
        <v>250</v>
      </c>
      <c r="B1" s="8" t="s">
        <v>249</v>
      </c>
    </row>
    <row r="2" spans="1:2" x14ac:dyDescent="0.3">
      <c r="A2" s="9" t="s">
        <v>80</v>
      </c>
      <c r="B2" s="10">
        <v>0.107430789</v>
      </c>
    </row>
    <row r="3" spans="1:2" x14ac:dyDescent="0.3">
      <c r="A3" s="9" t="s">
        <v>79</v>
      </c>
      <c r="B3" s="10">
        <v>1.492369E-2</v>
      </c>
    </row>
    <row r="4" spans="1:2" x14ac:dyDescent="0.3">
      <c r="A4" s="9" t="s">
        <v>82</v>
      </c>
      <c r="B4" s="10">
        <v>-1.2718478E-2</v>
      </c>
    </row>
    <row r="5" spans="1:2" x14ac:dyDescent="0.3">
      <c r="A5" s="9" t="s">
        <v>78</v>
      </c>
      <c r="B5" s="10">
        <v>-0.109866376</v>
      </c>
    </row>
    <row r="6" spans="1:2" x14ac:dyDescent="0.3">
      <c r="A6" s="9" t="s">
        <v>81</v>
      </c>
      <c r="B6" s="10">
        <v>-0.132749545</v>
      </c>
    </row>
  </sheetData>
  <autoFilter ref="A1:B6" xr:uid="{00000000-0009-0000-0000-000001000000}"/>
  <pageMargins left="0.7" right="0.7" top="0.75" bottom="0.75" header="0.3" footer="0.3"/>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C00DA-01B1-4EC2-8190-5A11468B3960}">
  <sheetPr>
    <tabColor rgb="FF462300"/>
  </sheetPr>
  <dimension ref="A1"/>
  <sheetViews>
    <sheetView workbookViewId="0"/>
  </sheetViews>
  <sheetFormatPr defaultRowHeight="14.4" x14ac:dyDescent="0.3"/>
  <cols>
    <col min="1" max="16384" width="8.88671875" style="1"/>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BEECB-DA59-4990-86A5-0AF1A1324E13}">
  <sheetPr>
    <tabColor rgb="FF462300"/>
  </sheetPr>
  <dimension ref="A1:H2"/>
  <sheetViews>
    <sheetView workbookViewId="0">
      <pane ySplit="1" topLeftCell="A2" activePane="bottomLeft" state="frozen"/>
      <selection pane="bottomLeft"/>
    </sheetView>
  </sheetViews>
  <sheetFormatPr defaultColWidth="11.5546875" defaultRowHeight="14.4" x14ac:dyDescent="0.3"/>
  <cols>
    <col min="1" max="1" width="28.6640625" style="3" customWidth="1"/>
    <col min="2" max="2" width="10.6640625" style="3" customWidth="1"/>
    <col min="3" max="8" width="11.6640625" style="3" customWidth="1"/>
    <col min="9" max="16384" width="11.5546875" style="3"/>
  </cols>
  <sheetData>
    <row r="1" spans="1:8" x14ac:dyDescent="0.3">
      <c r="A1" s="8" t="s">
        <v>90</v>
      </c>
      <c r="B1" s="8" t="s">
        <v>268</v>
      </c>
      <c r="C1" s="8" t="s">
        <v>86</v>
      </c>
      <c r="D1" s="8" t="s">
        <v>85</v>
      </c>
      <c r="E1" s="8" t="s">
        <v>84</v>
      </c>
      <c r="F1" s="8" t="s">
        <v>267</v>
      </c>
      <c r="G1" s="8" t="s">
        <v>266</v>
      </c>
      <c r="H1" s="8" t="s">
        <v>265</v>
      </c>
    </row>
    <row r="2" spans="1:8" x14ac:dyDescent="0.3">
      <c r="A2" s="9" t="s">
        <v>269</v>
      </c>
      <c r="B2" s="9" t="s">
        <v>241</v>
      </c>
      <c r="C2" s="10">
        <v>1.1655249856533501</v>
      </c>
      <c r="D2" s="10">
        <v>0.87646171233321601</v>
      </c>
      <c r="E2" s="10">
        <v>1.5499233715137899</v>
      </c>
      <c r="F2" s="10">
        <v>0.145428118704445</v>
      </c>
      <c r="G2" s="10">
        <v>1.0532462245984</v>
      </c>
      <c r="H2" s="13">
        <v>0.29222815797588397</v>
      </c>
    </row>
  </sheetData>
  <autoFilter ref="A1:H2" xr:uid="{00000000-0009-0000-0000-000001000000}"/>
  <pageMargins left="0.7" right="0.7" top="0.75" bottom="0.75" header="0.3" footer="0.3"/>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2218C-5828-4310-BBD7-42DA632C9F05}">
  <sheetPr>
    <tabColor rgb="FF462300"/>
  </sheetPr>
  <dimension ref="A1:H2"/>
  <sheetViews>
    <sheetView workbookViewId="0">
      <pane ySplit="1" topLeftCell="A2" activePane="bottomLeft" state="frozen"/>
      <selection pane="bottomLeft"/>
    </sheetView>
  </sheetViews>
  <sheetFormatPr defaultColWidth="11.5546875" defaultRowHeight="14.4" x14ac:dyDescent="0.3"/>
  <cols>
    <col min="1" max="1" width="26.6640625" style="3" customWidth="1"/>
    <col min="2" max="2" width="14.6640625" style="3" customWidth="1"/>
    <col min="3" max="8" width="11.6640625" style="3" customWidth="1"/>
    <col min="9" max="16384" width="11.5546875" style="3"/>
  </cols>
  <sheetData>
    <row r="1" spans="1:8" x14ac:dyDescent="0.3">
      <c r="A1" s="6" t="s">
        <v>90</v>
      </c>
      <c r="B1" s="6" t="s">
        <v>268</v>
      </c>
      <c r="C1" s="6" t="s">
        <v>86</v>
      </c>
      <c r="D1" s="6" t="s">
        <v>85</v>
      </c>
      <c r="E1" s="6" t="s">
        <v>84</v>
      </c>
      <c r="F1" s="6" t="s">
        <v>267</v>
      </c>
      <c r="G1" s="6" t="s">
        <v>266</v>
      </c>
      <c r="H1" s="6" t="s">
        <v>265</v>
      </c>
    </row>
    <row r="2" spans="1:8" x14ac:dyDescent="0.3">
      <c r="A2" s="7" t="s">
        <v>270</v>
      </c>
      <c r="B2" s="7" t="s">
        <v>261</v>
      </c>
      <c r="C2" s="11">
        <v>1.5536256734421099</v>
      </c>
      <c r="D2" s="11">
        <v>1.0082254858411199</v>
      </c>
      <c r="E2" s="11">
        <v>2.3940604230657301</v>
      </c>
      <c r="F2" s="11">
        <v>0.220616045016817</v>
      </c>
      <c r="G2" s="11">
        <v>1.9970956487543301</v>
      </c>
      <c r="H2" s="12">
        <v>4.5814793536680297E-2</v>
      </c>
    </row>
  </sheetData>
  <autoFilter ref="A1:H2" xr:uid="{00000000-0009-0000-0000-000002000000}"/>
  <pageMargins left="0.7" right="0.7" top="0.75" bottom="0.75" header="0.3" footer="0.3"/>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43DE3-6C17-48A8-992E-753662C2B19B}">
  <sheetPr>
    <tabColor rgb="FF462300"/>
  </sheetPr>
  <dimension ref="A1:H5"/>
  <sheetViews>
    <sheetView workbookViewId="0">
      <pane ySplit="1" topLeftCell="A2" activePane="bottomLeft" state="frozen"/>
      <selection pane="bottomLeft" sqref="A1:H5"/>
    </sheetView>
  </sheetViews>
  <sheetFormatPr defaultColWidth="11.5546875" defaultRowHeight="14.4" x14ac:dyDescent="0.3"/>
  <cols>
    <col min="1" max="1" width="49.6640625" style="3" customWidth="1"/>
    <col min="2" max="2" width="23.6640625" style="3" customWidth="1"/>
    <col min="3" max="8" width="11.6640625" style="3" customWidth="1"/>
    <col min="9" max="16384" width="11.5546875" style="3"/>
  </cols>
  <sheetData>
    <row r="1" spans="1:8" x14ac:dyDescent="0.3">
      <c r="A1" s="8" t="s">
        <v>90</v>
      </c>
      <c r="B1" s="8" t="s">
        <v>268</v>
      </c>
      <c r="C1" s="8" t="s">
        <v>86</v>
      </c>
      <c r="D1" s="8" t="s">
        <v>85</v>
      </c>
      <c r="E1" s="8" t="s">
        <v>84</v>
      </c>
      <c r="F1" s="8" t="s">
        <v>267</v>
      </c>
      <c r="G1" s="8" t="s">
        <v>266</v>
      </c>
      <c r="H1" s="8" t="s">
        <v>265</v>
      </c>
    </row>
    <row r="2" spans="1:8" x14ac:dyDescent="0.3">
      <c r="A2" s="9" t="s">
        <v>272</v>
      </c>
      <c r="B2" s="9" t="s">
        <v>241</v>
      </c>
      <c r="C2" s="10">
        <v>1.24611547393443</v>
      </c>
      <c r="D2" s="10">
        <v>0.93394187243245796</v>
      </c>
      <c r="E2" s="10">
        <v>1.6626342818686699</v>
      </c>
      <c r="F2" s="10">
        <v>0.14713136150898001</v>
      </c>
      <c r="G2" s="10">
        <v>1.4954737693194999</v>
      </c>
      <c r="H2" s="13">
        <v>0.13479084066170799</v>
      </c>
    </row>
    <row r="3" spans="1:8" x14ac:dyDescent="0.3">
      <c r="A3" s="9" t="s">
        <v>272</v>
      </c>
      <c r="B3" s="9" t="s">
        <v>274</v>
      </c>
      <c r="C3" s="10">
        <v>1.9328174381230601</v>
      </c>
      <c r="D3" s="10">
        <v>1.19595549129015</v>
      </c>
      <c r="E3" s="10">
        <v>3.1236808362178898</v>
      </c>
      <c r="F3" s="10">
        <v>0.24491945490641401</v>
      </c>
      <c r="G3" s="10">
        <v>2.69059373489611</v>
      </c>
      <c r="H3" s="13">
        <v>7.1324994782973701E-3</v>
      </c>
    </row>
    <row r="4" spans="1:8" x14ac:dyDescent="0.3">
      <c r="A4" s="9" t="s">
        <v>272</v>
      </c>
      <c r="B4" s="9" t="s">
        <v>273</v>
      </c>
      <c r="C4" s="10">
        <v>0.77120081357465597</v>
      </c>
      <c r="D4" s="10">
        <v>0.35724538732257399</v>
      </c>
      <c r="E4" s="10">
        <v>1.6648240004318999</v>
      </c>
      <c r="F4" s="10">
        <v>0.392622466131407</v>
      </c>
      <c r="G4" s="10">
        <v>-0.66172087221573495</v>
      </c>
      <c r="H4" s="13">
        <v>0.50815012557627404</v>
      </c>
    </row>
    <row r="5" spans="1:8" x14ac:dyDescent="0.3">
      <c r="A5" s="9" t="s">
        <v>272</v>
      </c>
      <c r="B5" s="9" t="s">
        <v>271</v>
      </c>
      <c r="C5" s="10">
        <v>1.2862916548577199</v>
      </c>
      <c r="D5" s="10">
        <v>0.65126245757057</v>
      </c>
      <c r="E5" s="10">
        <v>2.5405214167090602</v>
      </c>
      <c r="F5" s="10">
        <v>0.34725431443109001</v>
      </c>
      <c r="G5" s="10">
        <v>0.72501156042725401</v>
      </c>
      <c r="H5" s="13">
        <v>0.46844493833751399</v>
      </c>
    </row>
  </sheetData>
  <autoFilter ref="A1:H5" xr:uid="{00000000-0009-0000-0000-000003000000}"/>
  <pageMargins left="0.7" right="0.7" top="0.75" bottom="0.75" header="0.3" footer="0.3"/>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2FA10-AD60-401C-9BC4-94F2EEA3E8D0}">
  <sheetPr>
    <tabColor rgb="FF462300"/>
  </sheetPr>
  <dimension ref="A1:D3"/>
  <sheetViews>
    <sheetView workbookViewId="0">
      <pane ySplit="1" topLeftCell="A2" activePane="bottomLeft" state="frozen"/>
      <selection pane="bottomLeft"/>
    </sheetView>
  </sheetViews>
  <sheetFormatPr defaultColWidth="11.5546875" defaultRowHeight="14.4" x14ac:dyDescent="0.3"/>
  <cols>
    <col min="1" max="1" width="15.6640625" style="3" customWidth="1"/>
    <col min="2" max="2" width="11.77734375" style="3" bestFit="1" customWidth="1"/>
    <col min="3" max="3" width="10.109375" style="3" bestFit="1" customWidth="1"/>
    <col min="4" max="4" width="10.44140625" style="3" bestFit="1" customWidth="1"/>
    <col min="5" max="16384" width="11.5546875" style="3"/>
  </cols>
  <sheetData>
    <row r="1" spans="1:4" x14ac:dyDescent="0.3">
      <c r="A1" s="8" t="s">
        <v>280</v>
      </c>
      <c r="B1" s="8" t="s">
        <v>279</v>
      </c>
      <c r="C1" s="8" t="s">
        <v>278</v>
      </c>
      <c r="D1" s="8" t="s">
        <v>277</v>
      </c>
    </row>
    <row r="2" spans="1:4" x14ac:dyDescent="0.3">
      <c r="A2" s="9" t="s">
        <v>276</v>
      </c>
      <c r="B2" s="10">
        <v>20</v>
      </c>
      <c r="C2" s="10">
        <v>16</v>
      </c>
      <c r="D2" s="10">
        <v>33</v>
      </c>
    </row>
    <row r="3" spans="1:4" x14ac:dyDescent="0.3">
      <c r="A3" s="9" t="s">
        <v>275</v>
      </c>
      <c r="B3" s="10">
        <v>14</v>
      </c>
      <c r="C3" s="10">
        <v>10</v>
      </c>
      <c r="D3" s="10">
        <v>19</v>
      </c>
    </row>
  </sheetData>
  <autoFilter ref="A1:D3" xr:uid="{00000000-0009-0000-0000-000004000000}"/>
  <pageMargins left="0.7" right="0.7" top="0.75" bottom="0.75" header="0.3" footer="0.3"/>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E15BE-818D-4238-8C00-B4351C559BFA}">
  <sheetPr>
    <tabColor rgb="FF462300"/>
  </sheetPr>
  <dimension ref="A1:D2"/>
  <sheetViews>
    <sheetView workbookViewId="0">
      <pane ySplit="1" topLeftCell="A2" activePane="bottomLeft" state="frozen"/>
      <selection pane="bottomLeft"/>
    </sheetView>
  </sheetViews>
  <sheetFormatPr defaultColWidth="11.5546875" defaultRowHeight="14.4" x14ac:dyDescent="0.3"/>
  <cols>
    <col min="1" max="1" width="22.6640625" style="3" customWidth="1"/>
    <col min="2" max="2" width="11.6640625" style="3" customWidth="1"/>
    <col min="3" max="3" width="7.21875" style="3" bestFit="1" customWidth="1"/>
    <col min="4" max="4" width="11.6640625" style="3" customWidth="1"/>
    <col min="5" max="16384" width="11.5546875" style="3"/>
  </cols>
  <sheetData>
    <row r="1" spans="1:4" x14ac:dyDescent="0.3">
      <c r="A1" s="8" t="s">
        <v>284</v>
      </c>
      <c r="B1" s="8" t="s">
        <v>283</v>
      </c>
      <c r="C1" s="8" t="s">
        <v>282</v>
      </c>
      <c r="D1" s="8" t="s">
        <v>265</v>
      </c>
    </row>
    <row r="2" spans="1:4" x14ac:dyDescent="0.3">
      <c r="A2" s="9" t="s">
        <v>281</v>
      </c>
      <c r="B2" s="10">
        <v>4.0712417469210296</v>
      </c>
      <c r="C2" s="10">
        <v>1</v>
      </c>
      <c r="D2" s="13">
        <v>4.3619197709302802E-2</v>
      </c>
    </row>
  </sheetData>
  <autoFilter ref="A1:D2" xr:uid="{00000000-0009-0000-0000-000005000000}"/>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FB1F0-1F44-44C8-A820-88CDFF4BB2F6}">
  <sheetPr>
    <tabColor rgb="FF462300"/>
  </sheetPr>
  <dimension ref="A1:L4"/>
  <sheetViews>
    <sheetView workbookViewId="0">
      <pane ySplit="1" topLeftCell="A2" activePane="bottomLeft" state="frozen"/>
      <selection pane="bottomLeft"/>
    </sheetView>
  </sheetViews>
  <sheetFormatPr defaultColWidth="11.5546875" defaultRowHeight="14.4" x14ac:dyDescent="0.3"/>
  <cols>
    <col min="1" max="1" width="35.6640625" style="3" customWidth="1"/>
    <col min="2" max="2" width="14.6640625" style="3" customWidth="1"/>
    <col min="3" max="10" width="11.6640625" style="3" customWidth="1"/>
    <col min="11" max="11" width="6.77734375" style="3" bestFit="1" customWidth="1"/>
    <col min="12" max="12" width="6.6640625" style="3" customWidth="1"/>
    <col min="13" max="16384" width="11.5546875" style="3"/>
  </cols>
  <sheetData>
    <row r="1" spans="1:12" x14ac:dyDescent="0.3">
      <c r="A1" s="8" t="s">
        <v>90</v>
      </c>
      <c r="B1" s="8" t="s">
        <v>268</v>
      </c>
      <c r="C1" s="8" t="s">
        <v>249</v>
      </c>
      <c r="D1" s="8" t="s">
        <v>86</v>
      </c>
      <c r="E1" s="8" t="s">
        <v>85</v>
      </c>
      <c r="F1" s="8" t="s">
        <v>84</v>
      </c>
      <c r="G1" s="8" t="s">
        <v>267</v>
      </c>
      <c r="H1" s="8" t="s">
        <v>266</v>
      </c>
      <c r="I1" s="8" t="s">
        <v>265</v>
      </c>
      <c r="J1" s="8" t="s">
        <v>89</v>
      </c>
      <c r="K1" s="8" t="s">
        <v>71</v>
      </c>
      <c r="L1" s="8" t="s">
        <v>105</v>
      </c>
    </row>
    <row r="2" spans="1:12" x14ac:dyDescent="0.3">
      <c r="A2" s="9" t="s">
        <v>264</v>
      </c>
      <c r="B2" s="9" t="s">
        <v>241</v>
      </c>
      <c r="C2" s="10">
        <v>0.15317161697590501</v>
      </c>
      <c r="D2" s="10">
        <v>1.1655249856533501</v>
      </c>
      <c r="E2" s="10">
        <v>0.87646171233321601</v>
      </c>
      <c r="F2" s="10">
        <v>1.5499233715137899</v>
      </c>
      <c r="G2" s="10">
        <v>0.145428118704445</v>
      </c>
      <c r="H2" s="10">
        <v>1.0532462245984</v>
      </c>
      <c r="I2" s="13">
        <v>0.29222815797588397</v>
      </c>
      <c r="J2" s="10">
        <v>0.54772014029905902</v>
      </c>
      <c r="K2" s="14">
        <v>125</v>
      </c>
      <c r="L2" s="14">
        <v>84</v>
      </c>
    </row>
    <row r="3" spans="1:12" x14ac:dyDescent="0.3">
      <c r="A3" s="9" t="s">
        <v>263</v>
      </c>
      <c r="B3" s="9" t="s">
        <v>241</v>
      </c>
      <c r="C3" s="10">
        <v>0.22003109178094499</v>
      </c>
      <c r="D3" s="10">
        <v>1.24611547393443</v>
      </c>
      <c r="E3" s="10">
        <v>0.93394187243245796</v>
      </c>
      <c r="F3" s="10">
        <v>1.6626342818686699</v>
      </c>
      <c r="G3" s="10">
        <v>0.14713136150898001</v>
      </c>
      <c r="H3" s="10">
        <v>1.4954737693194999</v>
      </c>
      <c r="I3" s="13">
        <v>0.13479084066170799</v>
      </c>
      <c r="J3" s="10">
        <v>0.60217832748753897</v>
      </c>
      <c r="K3" s="14">
        <v>125</v>
      </c>
      <c r="L3" s="14">
        <v>84</v>
      </c>
    </row>
    <row r="4" spans="1:12" x14ac:dyDescent="0.3">
      <c r="A4" s="9" t="s">
        <v>262</v>
      </c>
      <c r="B4" s="9" t="s">
        <v>261</v>
      </c>
      <c r="C4" s="10">
        <v>0.44059134354847301</v>
      </c>
      <c r="D4" s="10">
        <v>1.5536256734421099</v>
      </c>
      <c r="E4" s="10">
        <v>1.0082254858411199</v>
      </c>
      <c r="F4" s="10">
        <v>2.3940604230657301</v>
      </c>
      <c r="G4" s="10">
        <v>0.220616045016817</v>
      </c>
      <c r="H4" s="10">
        <v>1.9970956487543301</v>
      </c>
      <c r="I4" s="13">
        <v>4.5814793536680297E-2</v>
      </c>
      <c r="J4" s="10">
        <v>0.56673435480893497</v>
      </c>
      <c r="K4" s="14">
        <v>125</v>
      </c>
      <c r="L4" s="14">
        <v>84</v>
      </c>
    </row>
  </sheetData>
  <autoFilter ref="A1:L4" xr:uid="{00000000-0009-0000-0000-000000000000}"/>
  <pageMargins left="0.7" right="0.7" top="0.75" bottom="0.75" header="0.3" footer="0.3"/>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AE3EA-3A5B-4772-AA17-BD8522833290}">
  <sheetPr>
    <tabColor rgb="FF462300"/>
  </sheetPr>
  <dimension ref="A1"/>
  <sheetViews>
    <sheetView workbookViewId="0"/>
  </sheetViews>
  <sheetFormatPr defaultRowHeight="14.4" x14ac:dyDescent="0.3"/>
  <cols>
    <col min="1" max="16384" width="8.88671875" style="1"/>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0E2F9-5FC0-4A74-A7C8-F9F7D117DD54}">
  <sheetPr>
    <tabColor rgb="FF462300"/>
  </sheetPr>
  <dimension ref="A1:F126"/>
  <sheetViews>
    <sheetView workbookViewId="0">
      <pane ySplit="1" topLeftCell="A2" activePane="bottomLeft" state="frozen"/>
      <selection pane="bottomLeft"/>
    </sheetView>
  </sheetViews>
  <sheetFormatPr defaultColWidth="11.5546875" defaultRowHeight="14.4" x14ac:dyDescent="0.3"/>
  <cols>
    <col min="1" max="1" width="10.6640625" style="3" customWidth="1"/>
    <col min="2" max="2" width="6.6640625" style="3" customWidth="1"/>
    <col min="3" max="3" width="8.6640625" style="3" customWidth="1"/>
    <col min="4" max="4" width="6.6640625" style="3" customWidth="1"/>
    <col min="5" max="5" width="7.6640625" style="3" customWidth="1"/>
    <col min="6" max="6" width="11.5546875" style="3" bestFit="1" customWidth="1"/>
    <col min="7" max="16384" width="11.5546875" style="3"/>
  </cols>
  <sheetData>
    <row r="1" spans="1:6" x14ac:dyDescent="0.3">
      <c r="A1" s="8" t="s">
        <v>248</v>
      </c>
      <c r="B1" s="8" t="s">
        <v>80</v>
      </c>
      <c r="C1" s="8" t="s">
        <v>79</v>
      </c>
      <c r="D1" s="8" t="s">
        <v>81</v>
      </c>
      <c r="E1" s="8" t="s">
        <v>78</v>
      </c>
      <c r="F1" s="8" t="s">
        <v>82</v>
      </c>
    </row>
    <row r="2" spans="1:6" x14ac:dyDescent="0.3">
      <c r="A2" s="9" t="s">
        <v>239</v>
      </c>
      <c r="B2" s="10">
        <v>4.649</v>
      </c>
      <c r="C2" s="10">
        <v>0.34399999999999997</v>
      </c>
      <c r="D2" s="10">
        <v>5.7110000000000003</v>
      </c>
      <c r="E2" s="10">
        <v>3.214</v>
      </c>
      <c r="F2" s="10">
        <v>0.72199999999999998</v>
      </c>
    </row>
    <row r="3" spans="1:6" x14ac:dyDescent="0.3">
      <c r="A3" s="9" t="s">
        <v>238</v>
      </c>
      <c r="B3" s="10">
        <v>5.4619999999999997</v>
      </c>
      <c r="C3" s="10">
        <v>0.96199999999999997</v>
      </c>
      <c r="D3" s="10">
        <v>6.0410000000000004</v>
      </c>
      <c r="E3" s="10">
        <v>3.7770000000000001</v>
      </c>
      <c r="F3" s="10">
        <v>1.0649999999999999</v>
      </c>
    </row>
    <row r="4" spans="1:6" x14ac:dyDescent="0.3">
      <c r="A4" s="9" t="s">
        <v>237</v>
      </c>
      <c r="B4" s="10">
        <v>3.9350000000000001</v>
      </c>
      <c r="C4" s="10">
        <v>0.88</v>
      </c>
      <c r="D4" s="10">
        <v>5.7489999999999997</v>
      </c>
      <c r="E4" s="10">
        <v>3.5880000000000001</v>
      </c>
      <c r="F4" s="10">
        <v>1.3129999999999999</v>
      </c>
    </row>
    <row r="5" spans="1:6" x14ac:dyDescent="0.3">
      <c r="A5" s="9" t="s">
        <v>236</v>
      </c>
      <c r="B5" s="10">
        <v>5.4770000000000003</v>
      </c>
      <c r="C5" s="10">
        <v>0.45800000000000002</v>
      </c>
      <c r="D5" s="10">
        <v>6.4740000000000002</v>
      </c>
      <c r="E5" s="10">
        <v>5.1059999999999999</v>
      </c>
      <c r="F5" s="10">
        <v>1.387</v>
      </c>
    </row>
    <row r="6" spans="1:6" x14ac:dyDescent="0.3">
      <c r="A6" s="9" t="s">
        <v>235</v>
      </c>
      <c r="B6" s="10">
        <v>7.21</v>
      </c>
      <c r="C6" s="10">
        <v>0.88700000000000001</v>
      </c>
      <c r="D6" s="10">
        <v>7.2720000000000002</v>
      </c>
      <c r="E6" s="10">
        <v>4.3979999999999997</v>
      </c>
      <c r="F6" s="10">
        <v>0.97199999999999998</v>
      </c>
    </row>
    <row r="7" spans="1:6" x14ac:dyDescent="0.3">
      <c r="A7" s="9" t="s">
        <v>234</v>
      </c>
      <c r="B7" s="10">
        <v>4.2290000000000001</v>
      </c>
      <c r="C7" s="10">
        <v>1.2529999999999999</v>
      </c>
      <c r="D7" s="10">
        <v>7.5839999999999996</v>
      </c>
      <c r="E7" s="10">
        <v>4.1289999999999996</v>
      </c>
      <c r="F7" s="10">
        <v>0.57899999999999996</v>
      </c>
    </row>
    <row r="8" spans="1:6" x14ac:dyDescent="0.3">
      <c r="A8" s="9" t="s">
        <v>233</v>
      </c>
      <c r="B8" s="10">
        <v>5.2709999999999999</v>
      </c>
      <c r="C8" s="10">
        <v>0.76800000000000002</v>
      </c>
      <c r="D8" s="10">
        <v>7.3140000000000001</v>
      </c>
      <c r="E8" s="10">
        <v>3.5990000000000002</v>
      </c>
      <c r="F8" s="10">
        <v>1.2010000000000001</v>
      </c>
    </row>
    <row r="9" spans="1:6" x14ac:dyDescent="0.3">
      <c r="A9" s="9" t="s">
        <v>232</v>
      </c>
      <c r="B9" s="10">
        <v>6.7720000000000002</v>
      </c>
      <c r="C9" s="10">
        <v>0.95</v>
      </c>
      <c r="D9" s="10">
        <v>6.7080000000000002</v>
      </c>
      <c r="E9" s="10">
        <v>4.5339999999999998</v>
      </c>
      <c r="F9" s="10">
        <v>0.71899999999999997</v>
      </c>
    </row>
    <row r="10" spans="1:6" x14ac:dyDescent="0.3">
      <c r="A10" s="9" t="s">
        <v>231</v>
      </c>
      <c r="B10" s="10">
        <v>13.109</v>
      </c>
      <c r="C10" s="10">
        <v>2.1030000000000002</v>
      </c>
      <c r="D10" s="10">
        <v>8.2460000000000004</v>
      </c>
      <c r="E10" s="10">
        <v>6.4180000000000001</v>
      </c>
      <c r="F10" s="10">
        <v>0.48199999999999998</v>
      </c>
    </row>
    <row r="11" spans="1:6" x14ac:dyDescent="0.3">
      <c r="A11" s="9" t="s">
        <v>230</v>
      </c>
      <c r="B11" s="10">
        <v>5.8929999999999998</v>
      </c>
      <c r="C11" s="10">
        <v>0.60299999999999998</v>
      </c>
      <c r="D11" s="10">
        <v>5.8810000000000002</v>
      </c>
      <c r="E11" s="10">
        <v>4.5119999999999996</v>
      </c>
      <c r="F11" s="10">
        <v>0.77600000000000002</v>
      </c>
    </row>
    <row r="12" spans="1:6" x14ac:dyDescent="0.3">
      <c r="A12" s="9" t="s">
        <v>229</v>
      </c>
      <c r="B12" s="10">
        <v>4.32</v>
      </c>
      <c r="C12" s="10">
        <v>0.67800000000000005</v>
      </c>
      <c r="D12" s="10">
        <v>6.6840000000000002</v>
      </c>
      <c r="E12" s="10">
        <v>3.8809999999999998</v>
      </c>
      <c r="F12" s="10">
        <v>1.0229999999999999</v>
      </c>
    </row>
    <row r="13" spans="1:6" x14ac:dyDescent="0.3">
      <c r="A13" s="9" t="s">
        <v>228</v>
      </c>
      <c r="B13" s="10">
        <v>6.0039999999999996</v>
      </c>
      <c r="C13" s="10">
        <v>0.96699999999999997</v>
      </c>
      <c r="D13" s="10">
        <v>5.9020000000000001</v>
      </c>
      <c r="E13" s="10">
        <v>4.0430000000000001</v>
      </c>
      <c r="F13" s="10">
        <v>0.84</v>
      </c>
    </row>
    <row r="14" spans="1:6" x14ac:dyDescent="0.3">
      <c r="A14" s="9" t="s">
        <v>227</v>
      </c>
      <c r="B14" s="10">
        <v>7.008</v>
      </c>
      <c r="C14" s="10">
        <v>0.45800000000000002</v>
      </c>
      <c r="D14" s="10">
        <v>5.4740000000000002</v>
      </c>
      <c r="E14" s="10">
        <v>3.8820000000000001</v>
      </c>
      <c r="F14" s="10">
        <v>0.87</v>
      </c>
    </row>
    <row r="15" spans="1:6" x14ac:dyDescent="0.3">
      <c r="A15" s="9" t="s">
        <v>226</v>
      </c>
      <c r="B15" s="10">
        <v>7.3460000000000001</v>
      </c>
      <c r="C15" s="10">
        <v>1.01</v>
      </c>
      <c r="D15" s="10">
        <v>7.726</v>
      </c>
      <c r="E15" s="10">
        <v>4.0090000000000003</v>
      </c>
      <c r="F15" s="10">
        <v>1.042</v>
      </c>
    </row>
    <row r="16" spans="1:6" x14ac:dyDescent="0.3">
      <c r="A16" s="9" t="s">
        <v>225</v>
      </c>
      <c r="B16" s="10">
        <v>7.4939999999999998</v>
      </c>
      <c r="C16" s="10">
        <v>0.40300000000000002</v>
      </c>
      <c r="D16" s="10">
        <v>4.6189999999999998</v>
      </c>
      <c r="E16" s="10">
        <v>4.149</v>
      </c>
      <c r="F16" s="10">
        <v>0.90600000000000003</v>
      </c>
    </row>
    <row r="17" spans="1:6" x14ac:dyDescent="0.3">
      <c r="A17" s="9" t="s">
        <v>224</v>
      </c>
      <c r="B17" s="10">
        <v>4.9059999999999997</v>
      </c>
      <c r="C17" s="10">
        <v>0.59399999999999997</v>
      </c>
      <c r="D17" s="10">
        <v>4.6529999999999996</v>
      </c>
      <c r="E17" s="10">
        <v>2.97</v>
      </c>
      <c r="F17" s="10">
        <v>0.75900000000000001</v>
      </c>
    </row>
    <row r="18" spans="1:6" x14ac:dyDescent="0.3">
      <c r="A18" s="9" t="s">
        <v>223</v>
      </c>
      <c r="B18" s="10">
        <v>7.1929999999999996</v>
      </c>
      <c r="C18" s="10">
        <v>0.73299999999999998</v>
      </c>
      <c r="D18" s="10">
        <v>5.1109999999999998</v>
      </c>
      <c r="E18" s="10">
        <v>3.1930000000000001</v>
      </c>
      <c r="F18" s="10">
        <v>0.73299999999999998</v>
      </c>
    </row>
    <row r="19" spans="1:6" x14ac:dyDescent="0.3">
      <c r="A19" s="9" t="s">
        <v>222</v>
      </c>
      <c r="B19" s="10">
        <v>4.5570000000000004</v>
      </c>
      <c r="C19" s="10">
        <v>0.67</v>
      </c>
      <c r="D19" s="10">
        <v>6.4189999999999996</v>
      </c>
      <c r="E19" s="10">
        <v>2.6880000000000002</v>
      </c>
      <c r="F19" s="10">
        <v>0.38400000000000001</v>
      </c>
    </row>
    <row r="20" spans="1:6" x14ac:dyDescent="0.3">
      <c r="A20" s="9" t="s">
        <v>221</v>
      </c>
      <c r="B20" s="10">
        <v>6.7140000000000004</v>
      </c>
      <c r="C20" s="10">
        <v>0.747</v>
      </c>
      <c r="D20" s="10">
        <v>6.601</v>
      </c>
      <c r="E20" s="10">
        <v>2.8109999999999999</v>
      </c>
      <c r="F20" s="10">
        <v>0.375</v>
      </c>
    </row>
    <row r="21" spans="1:6" x14ac:dyDescent="0.3">
      <c r="A21" s="9" t="s">
        <v>220</v>
      </c>
      <c r="B21" s="10">
        <v>5.1840000000000002</v>
      </c>
      <c r="C21" s="10">
        <v>1.5529999999999999</v>
      </c>
      <c r="D21" s="10">
        <v>6.069</v>
      </c>
      <c r="E21" s="10">
        <v>2.7370000000000001</v>
      </c>
      <c r="F21" s="10">
        <v>0.61199999999999999</v>
      </c>
    </row>
    <row r="22" spans="1:6" x14ac:dyDescent="0.3">
      <c r="A22" s="9" t="s">
        <v>219</v>
      </c>
      <c r="B22" s="10">
        <v>3.3860000000000001</v>
      </c>
      <c r="C22" s="10">
        <v>1.6240000000000001</v>
      </c>
      <c r="D22" s="10">
        <v>6.94</v>
      </c>
      <c r="E22" s="10">
        <v>3.3879999999999999</v>
      </c>
      <c r="F22" s="10">
        <v>0.70299999999999996</v>
      </c>
    </row>
    <row r="23" spans="1:6" x14ac:dyDescent="0.3">
      <c r="A23" s="9" t="s">
        <v>218</v>
      </c>
      <c r="B23" s="10">
        <v>4.2220000000000004</v>
      </c>
      <c r="C23" s="10">
        <v>0.51200000000000001</v>
      </c>
      <c r="D23" s="10">
        <v>6.7859999999999996</v>
      </c>
      <c r="E23" s="10">
        <v>2.7730000000000001</v>
      </c>
      <c r="F23" s="10">
        <v>2.157</v>
      </c>
    </row>
    <row r="24" spans="1:6" x14ac:dyDescent="0.3">
      <c r="A24" s="9" t="s">
        <v>217</v>
      </c>
      <c r="B24" s="10">
        <v>8.8249999999999993</v>
      </c>
      <c r="C24" s="10">
        <v>1.5129999999999999</v>
      </c>
      <c r="D24" s="10">
        <v>6.3869999999999996</v>
      </c>
      <c r="E24" s="10">
        <v>4.0990000000000002</v>
      </c>
      <c r="F24" s="10">
        <v>1.306</v>
      </c>
    </row>
    <row r="25" spans="1:6" x14ac:dyDescent="0.3">
      <c r="A25" s="9" t="s">
        <v>216</v>
      </c>
      <c r="B25" s="10">
        <v>10.298999999999999</v>
      </c>
      <c r="C25" s="10">
        <v>1.65</v>
      </c>
      <c r="D25" s="10">
        <v>6.7859999999999996</v>
      </c>
      <c r="E25" s="10">
        <v>5.17</v>
      </c>
      <c r="F25" s="10">
        <v>0.80400000000000005</v>
      </c>
    </row>
    <row r="26" spans="1:6" x14ac:dyDescent="0.3">
      <c r="A26" s="9" t="s">
        <v>215</v>
      </c>
      <c r="B26" s="10">
        <v>6.3280000000000003</v>
      </c>
      <c r="C26" s="10">
        <v>1.0589999999999999</v>
      </c>
      <c r="D26" s="10">
        <v>6.3369999999999997</v>
      </c>
      <c r="E26" s="10">
        <v>5.2939999999999996</v>
      </c>
      <c r="F26" s="10">
        <v>1.069</v>
      </c>
    </row>
    <row r="27" spans="1:6" x14ac:dyDescent="0.3">
      <c r="A27" s="9" t="s">
        <v>214</v>
      </c>
      <c r="B27" s="10">
        <v>11.233000000000001</v>
      </c>
      <c r="C27" s="10">
        <v>2.6589999999999998</v>
      </c>
      <c r="D27" s="10">
        <v>7.3949999999999996</v>
      </c>
      <c r="E27" s="10">
        <v>5.593</v>
      </c>
      <c r="F27" s="10">
        <v>0.53700000000000003</v>
      </c>
    </row>
    <row r="28" spans="1:6" x14ac:dyDescent="0.3">
      <c r="A28" s="9" t="s">
        <v>213</v>
      </c>
      <c r="B28" s="10">
        <v>8.125</v>
      </c>
      <c r="C28" s="10">
        <v>0.96399999999999997</v>
      </c>
      <c r="D28" s="10">
        <v>6.3220000000000001</v>
      </c>
      <c r="E28" s="10">
        <v>3.8570000000000002</v>
      </c>
      <c r="F28" s="10">
        <v>0.5</v>
      </c>
    </row>
    <row r="29" spans="1:6" x14ac:dyDescent="0.3">
      <c r="A29" s="9" t="s">
        <v>212</v>
      </c>
      <c r="B29" s="10">
        <v>4.5019999999999998</v>
      </c>
      <c r="C29" s="10">
        <v>2.4860000000000002</v>
      </c>
      <c r="D29" s="10">
        <v>6.5739999999999998</v>
      </c>
      <c r="E29" s="10">
        <v>3.2080000000000002</v>
      </c>
      <c r="F29" s="10">
        <v>0.59</v>
      </c>
    </row>
    <row r="30" spans="1:6" x14ac:dyDescent="0.3">
      <c r="A30" s="9" t="s">
        <v>211</v>
      </c>
      <c r="B30" s="10">
        <v>5.8710000000000004</v>
      </c>
      <c r="C30" s="10">
        <v>1.135</v>
      </c>
      <c r="D30" s="10">
        <v>6.133</v>
      </c>
      <c r="E30" s="10">
        <v>3.5659999999999998</v>
      </c>
      <c r="F30" s="10">
        <v>0.68300000000000005</v>
      </c>
    </row>
    <row r="31" spans="1:6" x14ac:dyDescent="0.3">
      <c r="A31" s="9" t="s">
        <v>210</v>
      </c>
      <c r="B31" s="10">
        <v>5.3070000000000004</v>
      </c>
      <c r="C31" s="10">
        <v>1.492</v>
      </c>
      <c r="D31" s="10">
        <v>5.4249999999999998</v>
      </c>
      <c r="E31" s="10">
        <v>3.577</v>
      </c>
      <c r="F31" s="10">
        <v>0.71599999999999997</v>
      </c>
    </row>
    <row r="32" spans="1:6" x14ac:dyDescent="0.3">
      <c r="A32" s="9" t="s">
        <v>209</v>
      </c>
      <c r="B32" s="10">
        <v>5.6040000000000001</v>
      </c>
      <c r="C32" s="10">
        <v>0.86799999999999999</v>
      </c>
      <c r="D32" s="10">
        <v>6.8010000000000002</v>
      </c>
      <c r="E32" s="10">
        <v>3.9369999999999998</v>
      </c>
      <c r="F32" s="10">
        <v>1.258</v>
      </c>
    </row>
    <row r="33" spans="1:6" x14ac:dyDescent="0.3">
      <c r="A33" s="9" t="s">
        <v>208</v>
      </c>
      <c r="B33" s="10">
        <v>5.2679999999999998</v>
      </c>
      <c r="C33" s="10">
        <v>1.3109999999999999</v>
      </c>
      <c r="D33" s="10">
        <v>5.9950000000000001</v>
      </c>
      <c r="E33" s="10">
        <v>3.9620000000000002</v>
      </c>
      <c r="F33" s="10">
        <v>0.90600000000000003</v>
      </c>
    </row>
    <row r="34" spans="1:6" x14ac:dyDescent="0.3">
      <c r="A34" s="9" t="s">
        <v>207</v>
      </c>
      <c r="B34" s="10">
        <v>6.9939999999999998</v>
      </c>
      <c r="C34" s="10">
        <v>0.8</v>
      </c>
      <c r="D34" s="10">
        <v>6.09</v>
      </c>
      <c r="E34" s="10">
        <v>3.6219999999999999</v>
      </c>
      <c r="F34" s="10">
        <v>1.1200000000000001</v>
      </c>
    </row>
    <row r="35" spans="1:6" x14ac:dyDescent="0.3">
      <c r="A35" s="9" t="s">
        <v>206</v>
      </c>
      <c r="B35" s="10">
        <v>7.0369999999999999</v>
      </c>
      <c r="C35" s="10">
        <v>0.55900000000000005</v>
      </c>
      <c r="D35" s="10">
        <v>6.9379999999999997</v>
      </c>
      <c r="E35" s="10">
        <v>3.617</v>
      </c>
      <c r="F35" s="10">
        <v>1.9850000000000001</v>
      </c>
    </row>
    <row r="36" spans="1:6" x14ac:dyDescent="0.3">
      <c r="A36" s="9" t="s">
        <v>205</v>
      </c>
      <c r="B36" s="10">
        <v>5.5819999999999999</v>
      </c>
      <c r="C36" s="10">
        <v>0.89300000000000002</v>
      </c>
      <c r="D36" s="10">
        <v>5.8940000000000001</v>
      </c>
      <c r="E36" s="10">
        <v>2.9340000000000002</v>
      </c>
      <c r="F36" s="10">
        <v>1.2969999999999999</v>
      </c>
    </row>
    <row r="37" spans="1:6" x14ac:dyDescent="0.3">
      <c r="A37" s="9" t="s">
        <v>204</v>
      </c>
      <c r="B37" s="10">
        <v>6.5410000000000004</v>
      </c>
      <c r="C37" s="10">
        <v>0.66400000000000003</v>
      </c>
      <c r="D37" s="10">
        <v>5.2889999999999997</v>
      </c>
      <c r="E37" s="10">
        <v>4.1989999999999998</v>
      </c>
      <c r="F37" s="10">
        <v>0.64800000000000002</v>
      </c>
    </row>
    <row r="38" spans="1:6" x14ac:dyDescent="0.3">
      <c r="A38" s="9" t="s">
        <v>203</v>
      </c>
      <c r="B38" s="10">
        <v>7.2450000000000001</v>
      </c>
      <c r="C38" s="10">
        <v>0.53600000000000003</v>
      </c>
      <c r="D38" s="10">
        <v>6.4160000000000004</v>
      </c>
      <c r="E38" s="10">
        <v>4.056</v>
      </c>
      <c r="F38" s="10">
        <v>0.61599999999999999</v>
      </c>
    </row>
    <row r="39" spans="1:6" x14ac:dyDescent="0.3">
      <c r="A39" s="9" t="s">
        <v>202</v>
      </c>
      <c r="B39" s="10">
        <v>3.3769999999999998</v>
      </c>
      <c r="C39" s="10">
        <v>0.77700000000000002</v>
      </c>
      <c r="D39" s="10">
        <v>5.1660000000000004</v>
      </c>
      <c r="E39" s="10">
        <v>3.6389999999999998</v>
      </c>
      <c r="F39" s="10">
        <v>1.32</v>
      </c>
    </row>
    <row r="40" spans="1:6" x14ac:dyDescent="0.3">
      <c r="A40" s="9" t="s">
        <v>201</v>
      </c>
      <c r="B40" s="10">
        <v>6.335</v>
      </c>
      <c r="C40" s="10">
        <v>1.0580000000000001</v>
      </c>
      <c r="D40" s="10">
        <v>5.5410000000000004</v>
      </c>
      <c r="E40" s="10">
        <v>3.823</v>
      </c>
      <c r="F40" s="10">
        <v>0.51900000000000002</v>
      </c>
    </row>
    <row r="41" spans="1:6" x14ac:dyDescent="0.3">
      <c r="A41" s="9" t="s">
        <v>200</v>
      </c>
      <c r="B41" s="10">
        <v>4.5640000000000001</v>
      </c>
      <c r="C41" s="10">
        <v>0.70599999999999996</v>
      </c>
      <c r="D41" s="10">
        <v>7.0949999999999998</v>
      </c>
      <c r="E41" s="10">
        <v>4.2480000000000002</v>
      </c>
      <c r="F41" s="10">
        <v>0.54300000000000004</v>
      </c>
    </row>
    <row r="42" spans="1:6" x14ac:dyDescent="0.3">
      <c r="A42" s="9" t="s">
        <v>199</v>
      </c>
      <c r="B42" s="10">
        <v>5.8179999999999996</v>
      </c>
      <c r="C42" s="10">
        <v>0.93200000000000005</v>
      </c>
      <c r="D42" s="10">
        <v>5.3710000000000004</v>
      </c>
      <c r="E42" s="10">
        <v>3.714</v>
      </c>
      <c r="F42" s="10">
        <v>0.77600000000000002</v>
      </c>
    </row>
    <row r="43" spans="1:6" x14ac:dyDescent="0.3">
      <c r="A43" s="9" t="s">
        <v>198</v>
      </c>
      <c r="B43" s="10">
        <v>6.8529999999999998</v>
      </c>
      <c r="C43" s="10">
        <v>0.75700000000000001</v>
      </c>
      <c r="D43" s="10">
        <v>6.298</v>
      </c>
      <c r="E43" s="10">
        <v>3.472</v>
      </c>
      <c r="F43" s="10">
        <v>0.70399999999999996</v>
      </c>
    </row>
    <row r="44" spans="1:6" x14ac:dyDescent="0.3">
      <c r="A44" s="9" t="s">
        <v>197</v>
      </c>
      <c r="B44" s="10">
        <v>8.4489999999999998</v>
      </c>
      <c r="C44" s="10">
        <v>1.825</v>
      </c>
      <c r="D44" s="10">
        <v>6.6829999999999998</v>
      </c>
      <c r="E44" s="10">
        <v>4.3120000000000003</v>
      </c>
      <c r="F44" s="10">
        <v>0.63200000000000001</v>
      </c>
    </row>
    <row r="45" spans="1:6" x14ac:dyDescent="0.3">
      <c r="A45" s="9" t="s">
        <v>196</v>
      </c>
      <c r="B45" s="10">
        <v>8.3849999999999998</v>
      </c>
      <c r="C45" s="10">
        <v>2.109</v>
      </c>
      <c r="D45" s="10">
        <v>6.6890000000000001</v>
      </c>
      <c r="E45" s="10">
        <v>4.1040000000000001</v>
      </c>
      <c r="F45" s="10">
        <v>0.496</v>
      </c>
    </row>
    <row r="46" spans="1:6" x14ac:dyDescent="0.3">
      <c r="A46" s="9" t="s">
        <v>195</v>
      </c>
      <c r="B46" s="10">
        <v>6.6859999999999999</v>
      </c>
      <c r="C46" s="10">
        <v>1.994</v>
      </c>
      <c r="D46" s="10">
        <v>6.617</v>
      </c>
      <c r="E46" s="10">
        <v>3.4689999999999999</v>
      </c>
      <c r="F46" s="10">
        <v>0.40100000000000002</v>
      </c>
    </row>
    <row r="47" spans="1:6" x14ac:dyDescent="0.3">
      <c r="A47" s="9" t="s">
        <v>194</v>
      </c>
      <c r="B47" s="10">
        <v>5.8920000000000003</v>
      </c>
      <c r="C47" s="10">
        <v>0.58299999999999996</v>
      </c>
      <c r="D47" s="10">
        <v>6.1609999999999996</v>
      </c>
      <c r="E47" s="10">
        <v>3.4359999999999999</v>
      </c>
      <c r="F47" s="10">
        <v>0.505</v>
      </c>
    </row>
    <row r="48" spans="1:6" x14ac:dyDescent="0.3">
      <c r="A48" s="9" t="s">
        <v>193</v>
      </c>
      <c r="B48" s="10">
        <v>6.5209999999999999</v>
      </c>
      <c r="C48" s="10">
        <v>0.78800000000000003</v>
      </c>
      <c r="D48" s="10">
        <v>6.0430000000000001</v>
      </c>
      <c r="E48" s="10">
        <v>4.1840000000000002</v>
      </c>
      <c r="F48" s="10">
        <v>0.78800000000000003</v>
      </c>
    </row>
    <row r="49" spans="1:6" x14ac:dyDescent="0.3">
      <c r="A49" s="9" t="s">
        <v>192</v>
      </c>
      <c r="B49" s="10">
        <v>6.125</v>
      </c>
      <c r="C49" s="10">
        <v>1.468</v>
      </c>
      <c r="D49" s="10">
        <v>4.9240000000000004</v>
      </c>
      <c r="E49" s="10">
        <v>2.87</v>
      </c>
      <c r="F49" s="10">
        <v>1.042</v>
      </c>
    </row>
    <row r="50" spans="1:6" x14ac:dyDescent="0.3">
      <c r="A50" s="9" t="s">
        <v>191</v>
      </c>
      <c r="B50" s="10">
        <v>10.36</v>
      </c>
      <c r="C50" s="10">
        <v>1.4470000000000001</v>
      </c>
      <c r="D50" s="10">
        <v>7.165</v>
      </c>
      <c r="E50" s="10">
        <v>5.1130000000000004</v>
      </c>
      <c r="F50" s="10">
        <v>0.38900000000000001</v>
      </c>
    </row>
    <row r="51" spans="1:6" x14ac:dyDescent="0.3">
      <c r="A51" s="9" t="s">
        <v>190</v>
      </c>
      <c r="B51" s="10">
        <v>7.3390000000000004</v>
      </c>
      <c r="C51" s="10">
        <v>0.93300000000000005</v>
      </c>
      <c r="D51" s="10">
        <v>5.194</v>
      </c>
      <c r="E51" s="10">
        <v>3.0670000000000002</v>
      </c>
      <c r="F51" s="10">
        <v>0.86799999999999999</v>
      </c>
    </row>
    <row r="52" spans="1:6" x14ac:dyDescent="0.3">
      <c r="A52" s="9" t="s">
        <v>189</v>
      </c>
      <c r="B52" s="10">
        <v>6.1760000000000002</v>
      </c>
      <c r="C52" s="10">
        <v>0.505</v>
      </c>
      <c r="D52" s="10">
        <v>5.6349999999999998</v>
      </c>
      <c r="E52" s="10">
        <v>4.2510000000000003</v>
      </c>
      <c r="F52" s="10">
        <v>1.0229999999999999</v>
      </c>
    </row>
    <row r="53" spans="1:6" x14ac:dyDescent="0.3">
      <c r="A53" s="9" t="s">
        <v>188</v>
      </c>
      <c r="B53" s="10">
        <v>6.8289999999999997</v>
      </c>
      <c r="C53" s="10">
        <v>1.6080000000000001</v>
      </c>
      <c r="D53" s="10">
        <v>6.3440000000000003</v>
      </c>
      <c r="E53" s="10">
        <v>2.9289999999999998</v>
      </c>
      <c r="F53" s="10">
        <v>0.70499999999999996</v>
      </c>
    </row>
    <row r="54" spans="1:6" x14ac:dyDescent="0.3">
      <c r="A54" s="9" t="s">
        <v>187</v>
      </c>
      <c r="B54" s="10">
        <v>13.109</v>
      </c>
      <c r="C54" s="10">
        <v>1.7769999999999999</v>
      </c>
      <c r="D54" s="10">
        <v>8.782</v>
      </c>
      <c r="E54" s="10">
        <v>7.0709999999999997</v>
      </c>
      <c r="F54" s="10">
        <v>0.48399999999999999</v>
      </c>
    </row>
    <row r="55" spans="1:6" x14ac:dyDescent="0.3">
      <c r="A55" s="9" t="s">
        <v>186</v>
      </c>
      <c r="B55" s="10">
        <v>3.79</v>
      </c>
      <c r="C55" s="10">
        <v>1.5309999999999999</v>
      </c>
      <c r="D55" s="10">
        <v>6.056</v>
      </c>
      <c r="E55" s="10">
        <v>4.0999999999999996</v>
      </c>
      <c r="F55" s="10">
        <v>0.42099999999999999</v>
      </c>
    </row>
    <row r="56" spans="1:6" x14ac:dyDescent="0.3">
      <c r="A56" s="9" t="s">
        <v>185</v>
      </c>
      <c r="B56" s="10">
        <v>11.816000000000001</v>
      </c>
      <c r="C56" s="10">
        <v>2.1349999999999998</v>
      </c>
      <c r="D56" s="10">
        <v>7.19</v>
      </c>
      <c r="E56" s="10">
        <v>4.5220000000000002</v>
      </c>
      <c r="F56" s="10">
        <v>1.8839999999999999</v>
      </c>
    </row>
    <row r="57" spans="1:6" x14ac:dyDescent="0.3">
      <c r="A57" s="9" t="s">
        <v>184</v>
      </c>
      <c r="B57" s="10">
        <v>9.9659999999999993</v>
      </c>
      <c r="C57" s="10">
        <v>1.99</v>
      </c>
      <c r="D57" s="10">
        <v>6.4379999999999997</v>
      </c>
      <c r="E57" s="10">
        <v>4.1689999999999996</v>
      </c>
      <c r="F57" s="10">
        <v>2.1019999999999999</v>
      </c>
    </row>
    <row r="58" spans="1:6" x14ac:dyDescent="0.3">
      <c r="A58" s="9" t="s">
        <v>183</v>
      </c>
      <c r="B58" s="10">
        <v>5.0670000000000002</v>
      </c>
      <c r="C58" s="10">
        <v>1.806</v>
      </c>
      <c r="D58" s="10">
        <v>6.133</v>
      </c>
      <c r="E58" s="10">
        <v>3.2669999999999999</v>
      </c>
      <c r="F58" s="10">
        <v>0.97499999999999998</v>
      </c>
    </row>
    <row r="59" spans="1:6" x14ac:dyDescent="0.3">
      <c r="A59" s="9" t="s">
        <v>182</v>
      </c>
      <c r="B59" s="10">
        <v>4.8070000000000004</v>
      </c>
      <c r="C59" s="10">
        <v>2.7890000000000001</v>
      </c>
      <c r="D59" s="10">
        <v>6.2169999999999996</v>
      </c>
      <c r="E59" s="10">
        <v>3.399</v>
      </c>
      <c r="F59" s="10">
        <v>1.7749999999999999</v>
      </c>
    </row>
    <row r="60" spans="1:6" x14ac:dyDescent="0.3">
      <c r="A60" s="9" t="s">
        <v>181</v>
      </c>
      <c r="B60" s="10">
        <v>10.77</v>
      </c>
      <c r="C60" s="10">
        <v>1.968</v>
      </c>
      <c r="D60" s="10">
        <v>6.8929999999999998</v>
      </c>
      <c r="E60" s="10">
        <v>4.6689999999999996</v>
      </c>
      <c r="F60" s="10">
        <v>0.86099999999999999</v>
      </c>
    </row>
    <row r="61" spans="1:6" x14ac:dyDescent="0.3">
      <c r="A61" s="9" t="s">
        <v>180</v>
      </c>
      <c r="B61" s="10">
        <v>11.069000000000001</v>
      </c>
      <c r="C61" s="10">
        <v>2.6930000000000001</v>
      </c>
      <c r="D61" s="10">
        <v>6.9969999999999999</v>
      </c>
      <c r="E61" s="10">
        <v>4.9359999999999999</v>
      </c>
      <c r="F61" s="10">
        <v>2.0569999999999999</v>
      </c>
    </row>
    <row r="62" spans="1:6" x14ac:dyDescent="0.3">
      <c r="A62" s="9" t="s">
        <v>179</v>
      </c>
      <c r="B62" s="10">
        <v>11.7</v>
      </c>
      <c r="C62" s="10">
        <v>2.6339999999999999</v>
      </c>
      <c r="D62" s="10">
        <v>6.5609999999999999</v>
      </c>
      <c r="E62" s="10">
        <v>4.3620000000000001</v>
      </c>
      <c r="F62" s="10">
        <v>1.42</v>
      </c>
    </row>
    <row r="63" spans="1:6" x14ac:dyDescent="0.3">
      <c r="A63" s="9" t="s">
        <v>178</v>
      </c>
      <c r="B63" s="10">
        <v>12.180999999999999</v>
      </c>
      <c r="C63" s="10">
        <v>2.153</v>
      </c>
      <c r="D63" s="10">
        <v>7.6980000000000004</v>
      </c>
      <c r="E63" s="10">
        <v>5.8209999999999997</v>
      </c>
      <c r="F63" s="10">
        <v>2.181</v>
      </c>
    </row>
    <row r="64" spans="1:6" x14ac:dyDescent="0.3">
      <c r="A64" s="9" t="s">
        <v>177</v>
      </c>
      <c r="B64" s="10">
        <v>12.840999999999999</v>
      </c>
      <c r="C64" s="10">
        <v>4.5199999999999996</v>
      </c>
      <c r="D64" s="10">
        <v>8.7309999999999999</v>
      </c>
      <c r="E64" s="10">
        <v>6.6820000000000004</v>
      </c>
      <c r="F64" s="10">
        <v>2.4700000000000002</v>
      </c>
    </row>
    <row r="65" spans="1:6" x14ac:dyDescent="0.3">
      <c r="A65" s="9" t="s">
        <v>176</v>
      </c>
      <c r="B65" s="10">
        <v>11.839</v>
      </c>
      <c r="C65" s="10">
        <v>4.6379999999999999</v>
      </c>
      <c r="D65" s="10">
        <v>8.9459999999999997</v>
      </c>
      <c r="E65" s="10">
        <v>6.5419999999999998</v>
      </c>
      <c r="F65" s="10">
        <v>2.13</v>
      </c>
    </row>
    <row r="66" spans="1:6" x14ac:dyDescent="0.3">
      <c r="A66" s="9" t="s">
        <v>175</v>
      </c>
      <c r="B66" s="10">
        <v>11.911</v>
      </c>
      <c r="C66" s="10">
        <v>2.835</v>
      </c>
      <c r="D66" s="10">
        <v>7.0279999999999996</v>
      </c>
      <c r="E66" s="10">
        <v>4.806</v>
      </c>
      <c r="F66" s="10">
        <v>2.0070000000000001</v>
      </c>
    </row>
    <row r="67" spans="1:6" x14ac:dyDescent="0.3">
      <c r="A67" s="9" t="s">
        <v>174</v>
      </c>
      <c r="B67" s="10">
        <v>7.4059999999999997</v>
      </c>
      <c r="C67" s="10">
        <v>1.919</v>
      </c>
      <c r="D67" s="10">
        <v>5.9859999999999998</v>
      </c>
      <c r="E67" s="10">
        <v>3.4940000000000002</v>
      </c>
      <c r="F67" s="10">
        <v>1.762</v>
      </c>
    </row>
    <row r="68" spans="1:6" x14ac:dyDescent="0.3">
      <c r="A68" s="9" t="s">
        <v>173</v>
      </c>
      <c r="B68" s="10">
        <v>3.089</v>
      </c>
      <c r="C68" s="10">
        <v>1.4730000000000001</v>
      </c>
      <c r="D68" s="10">
        <v>6.7750000000000004</v>
      </c>
      <c r="E68" s="10">
        <v>3.2029999999999998</v>
      </c>
      <c r="F68" s="10">
        <v>0.752</v>
      </c>
    </row>
    <row r="69" spans="1:6" x14ac:dyDescent="0.3">
      <c r="A69" s="9" t="s">
        <v>172</v>
      </c>
      <c r="B69" s="10">
        <v>7.1909999999999998</v>
      </c>
      <c r="C69" s="10">
        <v>0.58699999999999997</v>
      </c>
      <c r="D69" s="10">
        <v>6.1230000000000002</v>
      </c>
      <c r="E69" s="10">
        <v>4.319</v>
      </c>
      <c r="F69" s="10">
        <v>1.2629999999999999</v>
      </c>
    </row>
    <row r="70" spans="1:6" x14ac:dyDescent="0.3">
      <c r="A70" s="9" t="s">
        <v>171</v>
      </c>
      <c r="B70" s="10">
        <v>5.3890000000000002</v>
      </c>
      <c r="C70" s="10">
        <v>3.11</v>
      </c>
      <c r="D70" s="10">
        <v>6.4429999999999996</v>
      </c>
      <c r="E70" s="10">
        <v>3.448</v>
      </c>
      <c r="F70" s="10">
        <v>1.87</v>
      </c>
    </row>
    <row r="71" spans="1:6" x14ac:dyDescent="0.3">
      <c r="A71" s="9" t="s">
        <v>170</v>
      </c>
      <c r="B71" s="10">
        <v>13.109</v>
      </c>
      <c r="C71" s="10">
        <v>2.2469999999999999</v>
      </c>
      <c r="D71" s="10">
        <v>8.0359999999999996</v>
      </c>
      <c r="E71" s="10">
        <v>5.923</v>
      </c>
      <c r="F71" s="10">
        <v>1.7869999999999999</v>
      </c>
    </row>
    <row r="72" spans="1:6" x14ac:dyDescent="0.3">
      <c r="A72" s="9" t="s">
        <v>169</v>
      </c>
      <c r="B72" s="10">
        <v>3.2919999999999998</v>
      </c>
      <c r="C72" s="10">
        <v>2.077</v>
      </c>
      <c r="D72" s="10">
        <v>5.64</v>
      </c>
      <c r="E72" s="10">
        <v>2.681</v>
      </c>
      <c r="F72" s="10">
        <v>1.8640000000000001</v>
      </c>
    </row>
    <row r="73" spans="1:6" x14ac:dyDescent="0.3">
      <c r="A73" s="9" t="s">
        <v>168</v>
      </c>
      <c r="B73" s="10">
        <v>5.0250000000000004</v>
      </c>
      <c r="C73" s="10">
        <v>1.3</v>
      </c>
      <c r="D73" s="10">
        <v>7.3689999999999998</v>
      </c>
      <c r="E73" s="10">
        <v>3.7440000000000002</v>
      </c>
      <c r="F73" s="10">
        <v>1.5329999999999999</v>
      </c>
    </row>
    <row r="74" spans="1:6" x14ac:dyDescent="0.3">
      <c r="A74" s="9" t="s">
        <v>167</v>
      </c>
      <c r="B74" s="10">
        <v>4.4660000000000002</v>
      </c>
      <c r="C74" s="10">
        <v>3.3780000000000001</v>
      </c>
      <c r="D74" s="10">
        <v>7.2140000000000004</v>
      </c>
      <c r="E74" s="10">
        <v>3.6419999999999999</v>
      </c>
      <c r="F74" s="10">
        <v>0.54500000000000004</v>
      </c>
    </row>
    <row r="75" spans="1:6" x14ac:dyDescent="0.3">
      <c r="A75" s="9" t="s">
        <v>166</v>
      </c>
      <c r="B75" s="10">
        <v>10.545999999999999</v>
      </c>
      <c r="C75" s="10">
        <v>1.9359999999999999</v>
      </c>
      <c r="D75" s="10">
        <v>7.3049999999999997</v>
      </c>
      <c r="E75" s="10">
        <v>5.0439999999999996</v>
      </c>
      <c r="F75" s="10">
        <v>0.67200000000000004</v>
      </c>
    </row>
    <row r="76" spans="1:6" x14ac:dyDescent="0.3">
      <c r="A76" s="9" t="s">
        <v>165</v>
      </c>
      <c r="B76" s="10">
        <v>2.2000000000000002</v>
      </c>
      <c r="C76" s="10">
        <v>1.2629999999999999</v>
      </c>
      <c r="D76" s="10">
        <v>6.6390000000000002</v>
      </c>
      <c r="E76" s="10">
        <v>3.012</v>
      </c>
      <c r="F76" s="10">
        <v>0.86299999999999999</v>
      </c>
    </row>
    <row r="77" spans="1:6" x14ac:dyDescent="0.3">
      <c r="A77" s="9" t="s">
        <v>164</v>
      </c>
      <c r="B77" s="10">
        <v>9.1080000000000005</v>
      </c>
      <c r="C77" s="10">
        <v>0.76800000000000002</v>
      </c>
      <c r="D77" s="10">
        <v>7.7359999999999998</v>
      </c>
      <c r="E77" s="10">
        <v>4.1150000000000002</v>
      </c>
      <c r="F77" s="10">
        <v>1.3959999999999999</v>
      </c>
    </row>
    <row r="78" spans="1:6" x14ac:dyDescent="0.3">
      <c r="A78" s="9" t="s">
        <v>163</v>
      </c>
      <c r="B78" s="10">
        <v>6.17</v>
      </c>
      <c r="C78" s="10">
        <v>0.72299999999999998</v>
      </c>
      <c r="D78" s="10">
        <v>6.2309999999999999</v>
      </c>
      <c r="E78" s="10">
        <v>5.23</v>
      </c>
      <c r="F78" s="10">
        <v>1.4339999999999999</v>
      </c>
    </row>
    <row r="79" spans="1:6" x14ac:dyDescent="0.3">
      <c r="A79" s="9" t="s">
        <v>162</v>
      </c>
      <c r="B79" s="10">
        <v>6.6029999999999998</v>
      </c>
      <c r="C79" s="10">
        <v>1.196</v>
      </c>
      <c r="D79" s="10">
        <v>6.2160000000000002</v>
      </c>
      <c r="E79" s="10">
        <v>4.415</v>
      </c>
      <c r="F79" s="10">
        <v>0.81499999999999995</v>
      </c>
    </row>
    <row r="80" spans="1:6" x14ac:dyDescent="0.3">
      <c r="A80" s="9" t="s">
        <v>161</v>
      </c>
      <c r="B80" s="10">
        <v>3.6619999999999999</v>
      </c>
      <c r="C80" s="10">
        <v>2.0179999999999998</v>
      </c>
      <c r="D80" s="10">
        <v>6.3319999999999999</v>
      </c>
      <c r="E80" s="10">
        <v>3.1629999999999998</v>
      </c>
      <c r="F80" s="10">
        <v>1.3440000000000001</v>
      </c>
    </row>
    <row r="81" spans="1:6" x14ac:dyDescent="0.3">
      <c r="A81" s="9" t="s">
        <v>160</v>
      </c>
      <c r="B81" s="10">
        <v>6.7190000000000003</v>
      </c>
      <c r="C81" s="10">
        <v>1.956</v>
      </c>
      <c r="D81" s="10">
        <v>6.8109999999999999</v>
      </c>
      <c r="E81" s="10">
        <v>4.4450000000000003</v>
      </c>
      <c r="F81" s="10">
        <v>0.92</v>
      </c>
    </row>
    <row r="82" spans="1:6" x14ac:dyDescent="0.3">
      <c r="A82" s="9" t="s">
        <v>159</v>
      </c>
      <c r="B82" s="10">
        <v>9.2089999999999996</v>
      </c>
      <c r="C82" s="10">
        <v>1.431</v>
      </c>
      <c r="D82" s="10">
        <v>7.4320000000000004</v>
      </c>
      <c r="E82" s="10">
        <v>4.6130000000000004</v>
      </c>
      <c r="F82" s="10">
        <v>0.86099999999999999</v>
      </c>
    </row>
    <row r="83" spans="1:6" x14ac:dyDescent="0.3">
      <c r="A83" s="9" t="s">
        <v>158</v>
      </c>
      <c r="B83" s="10">
        <v>8.5120000000000005</v>
      </c>
      <c r="C83" s="10">
        <v>1.123</v>
      </c>
      <c r="D83" s="10">
        <v>7.7119999999999997</v>
      </c>
      <c r="E83" s="10">
        <v>4.8339999999999996</v>
      </c>
      <c r="F83" s="10">
        <v>0.90800000000000003</v>
      </c>
    </row>
    <row r="84" spans="1:6" x14ac:dyDescent="0.3">
      <c r="A84" s="9" t="s">
        <v>157</v>
      </c>
      <c r="B84" s="10">
        <v>9.3810000000000002</v>
      </c>
      <c r="C84" s="10">
        <v>2.5</v>
      </c>
      <c r="D84" s="10">
        <v>6.2649999999999997</v>
      </c>
      <c r="E84" s="10">
        <v>3.2149999999999999</v>
      </c>
      <c r="F84" s="10">
        <v>1.5469999999999999</v>
      </c>
    </row>
    <row r="85" spans="1:6" x14ac:dyDescent="0.3">
      <c r="A85" s="9" t="s">
        <v>156</v>
      </c>
      <c r="B85" s="10">
        <v>7.8369999999999997</v>
      </c>
      <c r="C85" s="10">
        <v>1.2829999999999999</v>
      </c>
      <c r="D85" s="10">
        <v>6.8819999999999997</v>
      </c>
      <c r="E85" s="10">
        <v>3.2320000000000002</v>
      </c>
      <c r="F85" s="10">
        <v>1.829</v>
      </c>
    </row>
    <row r="86" spans="1:6" x14ac:dyDescent="0.3">
      <c r="A86" s="9" t="s">
        <v>155</v>
      </c>
      <c r="B86" s="10">
        <v>11.029</v>
      </c>
      <c r="C86" s="10">
        <v>3.0950000000000002</v>
      </c>
      <c r="D86" s="10">
        <v>7.2770000000000001</v>
      </c>
      <c r="E86" s="10">
        <v>4.7409999999999997</v>
      </c>
      <c r="F86" s="10">
        <v>1.617</v>
      </c>
    </row>
    <row r="87" spans="1:6" x14ac:dyDescent="0.3">
      <c r="A87" s="9" t="s">
        <v>154</v>
      </c>
      <c r="B87" s="10">
        <v>11.365</v>
      </c>
      <c r="C87" s="10">
        <v>3.9430000000000001</v>
      </c>
      <c r="D87" s="10">
        <v>7.1660000000000004</v>
      </c>
      <c r="E87" s="10">
        <v>6.1239999999999997</v>
      </c>
      <c r="F87" s="10">
        <v>0.83599999999999997</v>
      </c>
    </row>
    <row r="88" spans="1:6" x14ac:dyDescent="0.3">
      <c r="A88" s="9" t="s">
        <v>153</v>
      </c>
      <c r="B88" s="10">
        <v>8.5920000000000005</v>
      </c>
      <c r="C88" s="10">
        <v>2.6219999999999999</v>
      </c>
      <c r="D88" s="10">
        <v>6.718</v>
      </c>
      <c r="E88" s="10">
        <v>4.7770000000000001</v>
      </c>
      <c r="F88" s="10">
        <v>0.71699999999999997</v>
      </c>
    </row>
    <row r="89" spans="1:6" x14ac:dyDescent="0.3">
      <c r="A89" s="9" t="s">
        <v>152</v>
      </c>
      <c r="B89" s="10">
        <v>12.581</v>
      </c>
      <c r="C89" s="10">
        <v>4.423</v>
      </c>
      <c r="D89" s="10">
        <v>9.1419999999999995</v>
      </c>
      <c r="E89" s="10">
        <v>6.726</v>
      </c>
      <c r="F89" s="10">
        <v>1.696</v>
      </c>
    </row>
    <row r="90" spans="1:6" x14ac:dyDescent="0.3">
      <c r="A90" s="9" t="s">
        <v>151</v>
      </c>
      <c r="B90" s="10">
        <v>7.1260000000000003</v>
      </c>
      <c r="C90" s="10">
        <v>1.1519999999999999</v>
      </c>
      <c r="D90" s="10">
        <v>6.0789999999999997</v>
      </c>
      <c r="E90" s="10">
        <v>3.3159999999999998</v>
      </c>
      <c r="F90" s="10">
        <v>1.097</v>
      </c>
    </row>
    <row r="91" spans="1:6" x14ac:dyDescent="0.3">
      <c r="A91" s="9" t="s">
        <v>150</v>
      </c>
      <c r="B91" s="10">
        <v>4.9820000000000002</v>
      </c>
      <c r="C91" s="10">
        <v>2.1619999999999999</v>
      </c>
      <c r="D91" s="10">
        <v>6.6609999999999996</v>
      </c>
      <c r="E91" s="10">
        <v>3.4409999999999998</v>
      </c>
      <c r="F91" s="10">
        <v>0.56899999999999995</v>
      </c>
    </row>
    <row r="92" spans="1:6" x14ac:dyDescent="0.3">
      <c r="A92" s="9" t="s">
        <v>149</v>
      </c>
      <c r="B92" s="10">
        <v>10.436999999999999</v>
      </c>
      <c r="C92" s="10">
        <v>2.1019999999999999</v>
      </c>
      <c r="D92" s="10">
        <v>7.5490000000000004</v>
      </c>
      <c r="E92" s="10">
        <v>6.0330000000000004</v>
      </c>
      <c r="F92" s="10">
        <v>1.7909999999999999</v>
      </c>
    </row>
    <row r="93" spans="1:6" x14ac:dyDescent="0.3">
      <c r="A93" s="9" t="s">
        <v>148</v>
      </c>
      <c r="B93" s="10">
        <v>3.0169999999999999</v>
      </c>
      <c r="C93" s="10">
        <v>0.82199999999999995</v>
      </c>
      <c r="D93" s="10">
        <v>6.0410000000000004</v>
      </c>
      <c r="E93" s="10">
        <v>3.548</v>
      </c>
      <c r="F93" s="10">
        <v>0.90300000000000002</v>
      </c>
    </row>
    <row r="94" spans="1:6" x14ac:dyDescent="0.3">
      <c r="A94" s="9" t="s">
        <v>147</v>
      </c>
      <c r="B94" s="10">
        <v>4.2009999999999996</v>
      </c>
      <c r="C94" s="10">
        <v>1.94</v>
      </c>
      <c r="D94" s="10">
        <v>6.1619999999999999</v>
      </c>
      <c r="E94" s="10">
        <v>3.3180000000000001</v>
      </c>
      <c r="F94" s="10">
        <v>0.85499999999999998</v>
      </c>
    </row>
    <row r="95" spans="1:6" x14ac:dyDescent="0.3">
      <c r="A95" s="9" t="s">
        <v>146</v>
      </c>
      <c r="B95" s="10">
        <v>6.6689999999999996</v>
      </c>
      <c r="C95" s="10">
        <v>1.3180000000000001</v>
      </c>
      <c r="D95" s="10">
        <v>6.835</v>
      </c>
      <c r="E95" s="10">
        <v>3.6480000000000001</v>
      </c>
      <c r="F95" s="10">
        <v>0.69799999999999995</v>
      </c>
    </row>
    <row r="96" spans="1:6" x14ac:dyDescent="0.3">
      <c r="A96" s="9" t="s">
        <v>145</v>
      </c>
      <c r="B96" s="10">
        <v>3.07</v>
      </c>
      <c r="C96" s="10">
        <v>0.94499999999999995</v>
      </c>
      <c r="D96" s="10">
        <v>5.5720000000000001</v>
      </c>
      <c r="E96" s="10">
        <v>3.4860000000000002</v>
      </c>
      <c r="F96" s="10">
        <v>0.69499999999999995</v>
      </c>
    </row>
    <row r="97" spans="1:6" x14ac:dyDescent="0.3">
      <c r="A97" s="9" t="s">
        <v>144</v>
      </c>
      <c r="B97" s="10">
        <v>6.2729999999999997</v>
      </c>
      <c r="C97" s="10">
        <v>1.633</v>
      </c>
      <c r="D97" s="10">
        <v>5.9409999999999998</v>
      </c>
      <c r="E97" s="10">
        <v>3.4239999999999999</v>
      </c>
      <c r="F97" s="10">
        <v>0.89700000000000002</v>
      </c>
    </row>
    <row r="98" spans="1:6" x14ac:dyDescent="0.3">
      <c r="A98" s="9" t="s">
        <v>143</v>
      </c>
      <c r="B98" s="10">
        <v>4.8</v>
      </c>
      <c r="C98" s="10">
        <v>2.78</v>
      </c>
      <c r="D98" s="10">
        <v>6.4690000000000003</v>
      </c>
      <c r="E98" s="10">
        <v>3.58</v>
      </c>
      <c r="F98" s="10">
        <v>0.73</v>
      </c>
    </row>
    <row r="99" spans="1:6" x14ac:dyDescent="0.3">
      <c r="A99" s="9" t="s">
        <v>142</v>
      </c>
      <c r="B99" s="10">
        <v>11.397</v>
      </c>
      <c r="C99" s="10">
        <v>3.359</v>
      </c>
      <c r="D99" s="10">
        <v>8.1189999999999998</v>
      </c>
      <c r="E99" s="10">
        <v>6.1760000000000002</v>
      </c>
      <c r="F99" s="10">
        <v>1.0960000000000001</v>
      </c>
    </row>
    <row r="100" spans="1:6" x14ac:dyDescent="0.3">
      <c r="A100" s="9" t="s">
        <v>141</v>
      </c>
      <c r="B100" s="10">
        <v>6.39</v>
      </c>
      <c r="C100" s="10">
        <v>3.1179999999999999</v>
      </c>
      <c r="D100" s="10">
        <v>6.7380000000000004</v>
      </c>
      <c r="E100" s="10">
        <v>3.3570000000000002</v>
      </c>
      <c r="F100" s="10">
        <v>0.76800000000000002</v>
      </c>
    </row>
    <row r="101" spans="1:6" x14ac:dyDescent="0.3">
      <c r="A101" s="9" t="s">
        <v>140</v>
      </c>
      <c r="B101" s="10">
        <v>3.778</v>
      </c>
      <c r="C101" s="10">
        <v>2.8580000000000001</v>
      </c>
      <c r="D101" s="10">
        <v>6.6040000000000001</v>
      </c>
      <c r="E101" s="10">
        <v>3.7789999999999999</v>
      </c>
      <c r="F101" s="10">
        <v>0.73099999999999998</v>
      </c>
    </row>
    <row r="102" spans="1:6" x14ac:dyDescent="0.3">
      <c r="A102" s="9" t="s">
        <v>139</v>
      </c>
      <c r="B102" s="10">
        <v>9.7289999999999992</v>
      </c>
      <c r="C102" s="10">
        <v>1.3660000000000001</v>
      </c>
      <c r="D102" s="10">
        <v>6.3109999999999999</v>
      </c>
      <c r="E102" s="10">
        <v>5.298</v>
      </c>
      <c r="F102" s="10">
        <v>1.909</v>
      </c>
    </row>
    <row r="103" spans="1:6" x14ac:dyDescent="0.3">
      <c r="A103" s="9" t="s">
        <v>138</v>
      </c>
      <c r="B103" s="10">
        <v>4.97</v>
      </c>
      <c r="C103" s="10">
        <v>0.81399999999999995</v>
      </c>
      <c r="D103" s="10">
        <v>5.5469999999999997</v>
      </c>
      <c r="E103" s="10">
        <v>4.95</v>
      </c>
      <c r="F103" s="10">
        <v>0.65200000000000002</v>
      </c>
    </row>
    <row r="104" spans="1:6" x14ac:dyDescent="0.3">
      <c r="A104" s="9" t="s">
        <v>137</v>
      </c>
      <c r="B104" s="10">
        <v>5.2050000000000001</v>
      </c>
      <c r="C104" s="10">
        <v>2.972</v>
      </c>
      <c r="D104" s="10">
        <v>7.2309999999999999</v>
      </c>
      <c r="E104" s="10">
        <v>3.117</v>
      </c>
      <c r="F104" s="10">
        <v>0.878</v>
      </c>
    </row>
    <row r="105" spans="1:6" x14ac:dyDescent="0.3">
      <c r="A105" s="9" t="s">
        <v>136</v>
      </c>
      <c r="B105" s="10">
        <v>6.2729999999999997</v>
      </c>
      <c r="C105" s="10">
        <v>0.95199999999999996</v>
      </c>
      <c r="D105" s="10">
        <v>5.4779999999999998</v>
      </c>
      <c r="E105" s="10">
        <v>3.677</v>
      </c>
      <c r="F105" s="10">
        <v>0.9</v>
      </c>
    </row>
    <row r="106" spans="1:6" x14ac:dyDescent="0.3">
      <c r="A106" s="9" t="s">
        <v>135</v>
      </c>
      <c r="B106" s="10">
        <v>2.2109999999999999</v>
      </c>
      <c r="C106" s="10">
        <v>3.202</v>
      </c>
      <c r="D106" s="10">
        <v>7.8620000000000001</v>
      </c>
      <c r="E106" s="10">
        <v>3.2490000000000001</v>
      </c>
      <c r="F106" s="10">
        <v>1.4390000000000001</v>
      </c>
    </row>
    <row r="107" spans="1:6" x14ac:dyDescent="0.3">
      <c r="A107" s="9" t="s">
        <v>134</v>
      </c>
      <c r="B107" s="10">
        <v>5.8840000000000003</v>
      </c>
      <c r="C107" s="10">
        <v>1.468</v>
      </c>
      <c r="D107" s="10">
        <v>5.9870000000000001</v>
      </c>
      <c r="E107" s="10">
        <v>2.6909999999999998</v>
      </c>
      <c r="F107" s="10">
        <v>0.65400000000000003</v>
      </c>
    </row>
    <row r="108" spans="1:6" x14ac:dyDescent="0.3">
      <c r="A108" s="9" t="s">
        <v>133</v>
      </c>
      <c r="B108" s="10">
        <v>6.2030000000000003</v>
      </c>
      <c r="C108" s="10">
        <v>2.2959999999999998</v>
      </c>
      <c r="D108" s="10">
        <v>6.4909999999999997</v>
      </c>
      <c r="E108" s="10">
        <v>3.4329999999999998</v>
      </c>
      <c r="F108" s="10">
        <v>0.94099999999999995</v>
      </c>
    </row>
    <row r="109" spans="1:6" x14ac:dyDescent="0.3">
      <c r="A109" s="9" t="s">
        <v>132</v>
      </c>
      <c r="B109" s="10">
        <v>10.138999999999999</v>
      </c>
      <c r="C109" s="10">
        <v>2.996</v>
      </c>
      <c r="D109" s="10">
        <v>6.5529999999999999</v>
      </c>
      <c r="E109" s="10">
        <v>4.09</v>
      </c>
      <c r="F109" s="10">
        <v>0.84599999999999997</v>
      </c>
    </row>
    <row r="110" spans="1:6" x14ac:dyDescent="0.3">
      <c r="A110" s="9" t="s">
        <v>131</v>
      </c>
      <c r="B110" s="10">
        <v>9.2940000000000005</v>
      </c>
      <c r="C110" s="10">
        <v>2.069</v>
      </c>
      <c r="D110" s="10">
        <v>6.109</v>
      </c>
      <c r="E110" s="10">
        <v>4.1159999999999997</v>
      </c>
      <c r="F110" s="10">
        <v>0.89100000000000001</v>
      </c>
    </row>
    <row r="111" spans="1:6" x14ac:dyDescent="0.3">
      <c r="A111" s="9" t="s">
        <v>130</v>
      </c>
      <c r="B111" s="10">
        <v>10.038</v>
      </c>
      <c r="C111" s="10">
        <v>2.9529999999999998</v>
      </c>
      <c r="D111" s="10">
        <v>7.6769999999999996</v>
      </c>
      <c r="E111" s="10">
        <v>3.9590000000000001</v>
      </c>
      <c r="F111" s="10">
        <v>1.5049999999999999</v>
      </c>
    </row>
    <row r="112" spans="1:6" x14ac:dyDescent="0.3">
      <c r="A112" s="9" t="s">
        <v>129</v>
      </c>
      <c r="B112" s="10">
        <v>5.0339999999999998</v>
      </c>
      <c r="C112" s="10">
        <v>1.571</v>
      </c>
      <c r="D112" s="10">
        <v>5.85</v>
      </c>
      <c r="E112" s="10">
        <v>3.1360000000000001</v>
      </c>
      <c r="F112" s="10">
        <v>0.998</v>
      </c>
    </row>
    <row r="113" spans="1:6" x14ac:dyDescent="0.3">
      <c r="A113" s="9" t="s">
        <v>128</v>
      </c>
      <c r="B113" s="10">
        <v>9.92</v>
      </c>
      <c r="C113" s="10">
        <v>1.8859999999999999</v>
      </c>
      <c r="D113" s="10">
        <v>6.6429999999999998</v>
      </c>
      <c r="E113" s="10">
        <v>4.8140000000000001</v>
      </c>
      <c r="F113" s="10">
        <v>1.4450000000000001</v>
      </c>
    </row>
    <row r="114" spans="1:6" x14ac:dyDescent="0.3">
      <c r="A114" s="9" t="s">
        <v>127</v>
      </c>
      <c r="B114" s="10">
        <v>5.3520000000000003</v>
      </c>
      <c r="C114" s="10">
        <v>0.97099999999999997</v>
      </c>
      <c r="D114" s="10">
        <v>5.7530000000000001</v>
      </c>
      <c r="E114" s="10">
        <v>3.3359999999999999</v>
      </c>
      <c r="F114" s="10">
        <v>1</v>
      </c>
    </row>
    <row r="115" spans="1:6" x14ac:dyDescent="0.3">
      <c r="A115" s="9" t="s">
        <v>126</v>
      </c>
      <c r="B115" s="10">
        <v>8.4949999999999992</v>
      </c>
      <c r="C115" s="10">
        <v>0.89100000000000001</v>
      </c>
      <c r="D115" s="10">
        <v>6.2759999999999998</v>
      </c>
      <c r="E115" s="10">
        <v>4.4279999999999999</v>
      </c>
      <c r="F115" s="10">
        <v>1.4079999999999999</v>
      </c>
    </row>
    <row r="116" spans="1:6" x14ac:dyDescent="0.3">
      <c r="A116" s="9" t="s">
        <v>125</v>
      </c>
      <c r="B116" s="10">
        <v>4.0229999999999997</v>
      </c>
      <c r="C116" s="10">
        <v>0.51200000000000001</v>
      </c>
      <c r="D116" s="10">
        <v>5.9749999999999996</v>
      </c>
      <c r="E116" s="10">
        <v>2.1779999999999999</v>
      </c>
      <c r="F116" s="10">
        <v>1.125</v>
      </c>
    </row>
    <row r="117" spans="1:6" x14ac:dyDescent="0.3">
      <c r="A117" s="9" t="s">
        <v>124</v>
      </c>
      <c r="B117" s="10">
        <v>5.867</v>
      </c>
      <c r="C117" s="10">
        <v>1.2270000000000001</v>
      </c>
      <c r="D117" s="10">
        <v>6.8520000000000003</v>
      </c>
      <c r="E117" s="10">
        <v>3.6760000000000002</v>
      </c>
      <c r="F117" s="10">
        <v>0.80600000000000005</v>
      </c>
    </row>
    <row r="118" spans="1:6" x14ac:dyDescent="0.3">
      <c r="A118" s="9" t="s">
        <v>123</v>
      </c>
      <c r="B118" s="10">
        <v>9.2650000000000006</v>
      </c>
      <c r="C118" s="10">
        <v>2.6110000000000002</v>
      </c>
      <c r="D118" s="10">
        <v>6.452</v>
      </c>
      <c r="E118" s="10">
        <v>4.125</v>
      </c>
      <c r="F118" s="10">
        <v>0.878</v>
      </c>
    </row>
    <row r="119" spans="1:6" x14ac:dyDescent="0.3">
      <c r="A119" s="9" t="s">
        <v>122</v>
      </c>
      <c r="B119" s="10">
        <v>2.5219999999999998</v>
      </c>
      <c r="C119" s="10">
        <v>2.375</v>
      </c>
      <c r="D119" s="10">
        <v>6.5010000000000003</v>
      </c>
      <c r="E119" s="10">
        <v>3.9529999999999998</v>
      </c>
      <c r="F119" s="10">
        <v>0.57799999999999996</v>
      </c>
    </row>
    <row r="120" spans="1:6" x14ac:dyDescent="0.3">
      <c r="A120" s="9" t="s">
        <v>121</v>
      </c>
      <c r="B120" s="10">
        <v>5.4210000000000003</v>
      </c>
      <c r="C120" s="10">
        <v>1.032</v>
      </c>
      <c r="D120" s="10">
        <v>5.4909999999999997</v>
      </c>
      <c r="E120" s="10">
        <v>4.133</v>
      </c>
      <c r="F120" s="10">
        <v>1.0620000000000001</v>
      </c>
    </row>
    <row r="121" spans="1:6" x14ac:dyDescent="0.3">
      <c r="A121" s="9" t="s">
        <v>120</v>
      </c>
      <c r="B121" s="10">
        <v>6.7210000000000001</v>
      </c>
      <c r="C121" s="10">
        <v>0.99299999999999999</v>
      </c>
      <c r="D121" s="10">
        <v>5.9279999999999999</v>
      </c>
      <c r="E121" s="10">
        <v>3.488</v>
      </c>
      <c r="F121" s="10">
        <v>1.131</v>
      </c>
    </row>
    <row r="122" spans="1:6" x14ac:dyDescent="0.3">
      <c r="A122" s="9" t="s">
        <v>119</v>
      </c>
      <c r="B122" s="10">
        <v>5.7880000000000003</v>
      </c>
      <c r="C122" s="10">
        <v>1.9119999999999999</v>
      </c>
      <c r="D122" s="10">
        <v>5.8940000000000001</v>
      </c>
      <c r="E122" s="10">
        <v>3.1139999999999999</v>
      </c>
      <c r="F122" s="10">
        <v>1.4710000000000001</v>
      </c>
    </row>
    <row r="123" spans="1:6" x14ac:dyDescent="0.3">
      <c r="A123" s="9" t="s">
        <v>118</v>
      </c>
      <c r="B123" s="10">
        <v>8.2780000000000005</v>
      </c>
      <c r="C123" s="10">
        <v>2.36</v>
      </c>
      <c r="D123" s="10">
        <v>6.0590000000000002</v>
      </c>
      <c r="E123" s="10">
        <v>3.9590000000000001</v>
      </c>
      <c r="F123" s="10">
        <v>1.137</v>
      </c>
    </row>
    <row r="124" spans="1:6" x14ac:dyDescent="0.3">
      <c r="A124" s="9" t="s">
        <v>117</v>
      </c>
      <c r="B124" s="10">
        <v>3.0720000000000001</v>
      </c>
      <c r="C124" s="10">
        <v>1.7430000000000001</v>
      </c>
      <c r="D124" s="10">
        <v>6.8079999999999998</v>
      </c>
      <c r="E124" s="10">
        <v>3.294</v>
      </c>
      <c r="F124" s="10">
        <v>1.077</v>
      </c>
    </row>
    <row r="125" spans="1:6" x14ac:dyDescent="0.3">
      <c r="A125" s="9" t="s">
        <v>116</v>
      </c>
      <c r="B125" s="10">
        <v>2.323</v>
      </c>
      <c r="C125" s="10">
        <v>1.679</v>
      </c>
      <c r="D125" s="10">
        <v>8.952</v>
      </c>
      <c r="E125" s="10">
        <v>4.0140000000000002</v>
      </c>
      <c r="F125" s="10">
        <v>1.6639999999999999</v>
      </c>
    </row>
    <row r="126" spans="1:6" x14ac:dyDescent="0.3">
      <c r="A126" s="9" t="s">
        <v>115</v>
      </c>
      <c r="B126" s="10">
        <v>11.75</v>
      </c>
      <c r="C126" s="10">
        <v>4.3230000000000004</v>
      </c>
      <c r="D126" s="10">
        <v>8.9149999999999991</v>
      </c>
      <c r="E126" s="10">
        <v>5.7510000000000003</v>
      </c>
      <c r="F126" s="10">
        <v>2.4009999999999998</v>
      </c>
    </row>
  </sheetData>
  <autoFilter ref="A1:F126" xr:uid="{00000000-0009-0000-0000-000000000000}"/>
  <pageMargins left="0.7" right="0.7" top="0.75" bottom="0.75" header="0.3" footer="0.3"/>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84F64-1230-4260-9A12-A5AF78AD77D6}">
  <sheetPr>
    <tabColor rgb="FF462300"/>
  </sheetPr>
  <dimension ref="A1:G626"/>
  <sheetViews>
    <sheetView workbookViewId="0">
      <pane ySplit="1" topLeftCell="A2" activePane="bottomLeft" state="frozen"/>
      <selection pane="bottomLeft"/>
    </sheetView>
  </sheetViews>
  <sheetFormatPr defaultColWidth="11.5546875" defaultRowHeight="14.4" x14ac:dyDescent="0.3"/>
  <cols>
    <col min="1" max="1" width="10.6640625" style="3" customWidth="1"/>
    <col min="2" max="2" width="8.6640625" style="3" customWidth="1"/>
    <col min="3" max="3" width="10.6640625" style="3" customWidth="1"/>
    <col min="4" max="4" width="11.6640625" style="3" customWidth="1"/>
    <col min="5" max="5" width="10.6640625" style="3" customWidth="1"/>
    <col min="6" max="6" width="7.6640625" style="3" customWidth="1"/>
    <col min="7" max="7" width="8.6640625" style="3" customWidth="1"/>
    <col min="8" max="16384" width="11.5546875" style="3"/>
  </cols>
  <sheetData>
    <row r="1" spans="1:7" x14ac:dyDescent="0.3">
      <c r="A1" s="8" t="s">
        <v>248</v>
      </c>
      <c r="B1" s="8" t="s">
        <v>250</v>
      </c>
      <c r="C1" s="8" t="s">
        <v>285</v>
      </c>
      <c r="D1" s="8" t="s">
        <v>241</v>
      </c>
      <c r="E1" s="8" t="s">
        <v>240</v>
      </c>
      <c r="F1" s="8" t="s">
        <v>243</v>
      </c>
      <c r="G1" s="8" t="s">
        <v>242</v>
      </c>
    </row>
    <row r="2" spans="1:7" x14ac:dyDescent="0.3">
      <c r="A2" s="9" t="s">
        <v>239</v>
      </c>
      <c r="B2" s="9" t="s">
        <v>80</v>
      </c>
      <c r="C2" s="10">
        <v>4.649</v>
      </c>
      <c r="D2" s="10">
        <v>-0.81184410035300003</v>
      </c>
      <c r="E2" s="9" t="s">
        <v>87</v>
      </c>
      <c r="F2" s="10">
        <v>7</v>
      </c>
      <c r="G2" s="10">
        <v>1</v>
      </c>
    </row>
    <row r="3" spans="1:7" x14ac:dyDescent="0.3">
      <c r="A3" s="9" t="s">
        <v>239</v>
      </c>
      <c r="B3" s="9" t="s">
        <v>79</v>
      </c>
      <c r="C3" s="10">
        <v>0.34399999999999997</v>
      </c>
      <c r="D3" s="10">
        <v>-0.81184410035300003</v>
      </c>
      <c r="E3" s="9" t="s">
        <v>87</v>
      </c>
      <c r="F3" s="10">
        <v>7</v>
      </c>
      <c r="G3" s="10">
        <v>1</v>
      </c>
    </row>
    <row r="4" spans="1:7" x14ac:dyDescent="0.3">
      <c r="A4" s="9" t="s">
        <v>239</v>
      </c>
      <c r="B4" s="9" t="s">
        <v>81</v>
      </c>
      <c r="C4" s="10">
        <v>5.7110000000000003</v>
      </c>
      <c r="D4" s="10">
        <v>-0.81184410035300003</v>
      </c>
      <c r="E4" s="9" t="s">
        <v>87</v>
      </c>
      <c r="F4" s="10">
        <v>7</v>
      </c>
      <c r="G4" s="10">
        <v>1</v>
      </c>
    </row>
    <row r="5" spans="1:7" x14ac:dyDescent="0.3">
      <c r="A5" s="9" t="s">
        <v>239</v>
      </c>
      <c r="B5" s="9" t="s">
        <v>78</v>
      </c>
      <c r="C5" s="10">
        <v>3.214</v>
      </c>
      <c r="D5" s="10">
        <v>-0.81184410035300003</v>
      </c>
      <c r="E5" s="9" t="s">
        <v>87</v>
      </c>
      <c r="F5" s="10">
        <v>7</v>
      </c>
      <c r="G5" s="10">
        <v>1</v>
      </c>
    </row>
    <row r="6" spans="1:7" x14ac:dyDescent="0.3">
      <c r="A6" s="9" t="s">
        <v>239</v>
      </c>
      <c r="B6" s="9" t="s">
        <v>82</v>
      </c>
      <c r="C6" s="10">
        <v>0.72199999999999998</v>
      </c>
      <c r="D6" s="10">
        <v>-0.81184410035300003</v>
      </c>
      <c r="E6" s="9" t="s">
        <v>87</v>
      </c>
      <c r="F6" s="10">
        <v>7</v>
      </c>
      <c r="G6" s="10">
        <v>1</v>
      </c>
    </row>
    <row r="7" spans="1:7" x14ac:dyDescent="0.3">
      <c r="A7" s="9" t="s">
        <v>238</v>
      </c>
      <c r="B7" s="9" t="s">
        <v>80</v>
      </c>
      <c r="C7" s="10">
        <v>5.4619999999999997</v>
      </c>
      <c r="D7" s="10">
        <v>-1.3308256895949999</v>
      </c>
      <c r="E7" s="9" t="s">
        <v>87</v>
      </c>
      <c r="F7" s="10">
        <v>11</v>
      </c>
      <c r="G7" s="10">
        <v>1</v>
      </c>
    </row>
    <row r="8" spans="1:7" x14ac:dyDescent="0.3">
      <c r="A8" s="9" t="s">
        <v>238</v>
      </c>
      <c r="B8" s="9" t="s">
        <v>79</v>
      </c>
      <c r="C8" s="10">
        <v>0.96199999999999997</v>
      </c>
      <c r="D8" s="10">
        <v>-1.3308256895949999</v>
      </c>
      <c r="E8" s="9" t="s">
        <v>87</v>
      </c>
      <c r="F8" s="10">
        <v>11</v>
      </c>
      <c r="G8" s="10">
        <v>1</v>
      </c>
    </row>
    <row r="9" spans="1:7" x14ac:dyDescent="0.3">
      <c r="A9" s="9" t="s">
        <v>238</v>
      </c>
      <c r="B9" s="9" t="s">
        <v>81</v>
      </c>
      <c r="C9" s="10">
        <v>6.0410000000000004</v>
      </c>
      <c r="D9" s="10">
        <v>-1.3308256895949999</v>
      </c>
      <c r="E9" s="9" t="s">
        <v>87</v>
      </c>
      <c r="F9" s="10">
        <v>11</v>
      </c>
      <c r="G9" s="10">
        <v>1</v>
      </c>
    </row>
    <row r="10" spans="1:7" x14ac:dyDescent="0.3">
      <c r="A10" s="9" t="s">
        <v>238</v>
      </c>
      <c r="B10" s="9" t="s">
        <v>78</v>
      </c>
      <c r="C10" s="10">
        <v>3.7770000000000001</v>
      </c>
      <c r="D10" s="10">
        <v>-1.3308256895949999</v>
      </c>
      <c r="E10" s="9" t="s">
        <v>87</v>
      </c>
      <c r="F10" s="10">
        <v>11</v>
      </c>
      <c r="G10" s="10">
        <v>1</v>
      </c>
    </row>
    <row r="11" spans="1:7" x14ac:dyDescent="0.3">
      <c r="A11" s="9" t="s">
        <v>238</v>
      </c>
      <c r="B11" s="9" t="s">
        <v>82</v>
      </c>
      <c r="C11" s="10">
        <v>1.0649999999999999</v>
      </c>
      <c r="D11" s="10">
        <v>-1.3308256895949999</v>
      </c>
      <c r="E11" s="9" t="s">
        <v>87</v>
      </c>
      <c r="F11" s="10">
        <v>11</v>
      </c>
      <c r="G11" s="10">
        <v>1</v>
      </c>
    </row>
    <row r="12" spans="1:7" x14ac:dyDescent="0.3">
      <c r="A12" s="9" t="s">
        <v>237</v>
      </c>
      <c r="B12" s="9" t="s">
        <v>80</v>
      </c>
      <c r="C12" s="10">
        <v>3.9350000000000001</v>
      </c>
      <c r="D12" s="10">
        <v>-0.45737464100699998</v>
      </c>
      <c r="E12" s="9" t="s">
        <v>87</v>
      </c>
      <c r="F12" s="10">
        <v>47</v>
      </c>
      <c r="G12" s="10">
        <v>0</v>
      </c>
    </row>
    <row r="13" spans="1:7" x14ac:dyDescent="0.3">
      <c r="A13" s="9" t="s">
        <v>237</v>
      </c>
      <c r="B13" s="9" t="s">
        <v>79</v>
      </c>
      <c r="C13" s="10">
        <v>0.88</v>
      </c>
      <c r="D13" s="10">
        <v>-0.45737464100699998</v>
      </c>
      <c r="E13" s="9" t="s">
        <v>87</v>
      </c>
      <c r="F13" s="10">
        <v>47</v>
      </c>
      <c r="G13" s="10">
        <v>0</v>
      </c>
    </row>
    <row r="14" spans="1:7" x14ac:dyDescent="0.3">
      <c r="A14" s="9" t="s">
        <v>237</v>
      </c>
      <c r="B14" s="9" t="s">
        <v>81</v>
      </c>
      <c r="C14" s="10">
        <v>5.7489999999999997</v>
      </c>
      <c r="D14" s="10">
        <v>-0.45737464100699998</v>
      </c>
      <c r="E14" s="9" t="s">
        <v>87</v>
      </c>
      <c r="F14" s="10">
        <v>47</v>
      </c>
      <c r="G14" s="10">
        <v>0</v>
      </c>
    </row>
    <row r="15" spans="1:7" x14ac:dyDescent="0.3">
      <c r="A15" s="9" t="s">
        <v>237</v>
      </c>
      <c r="B15" s="9" t="s">
        <v>78</v>
      </c>
      <c r="C15" s="10">
        <v>3.5880000000000001</v>
      </c>
      <c r="D15" s="10">
        <v>-0.45737464100699998</v>
      </c>
      <c r="E15" s="9" t="s">
        <v>87</v>
      </c>
      <c r="F15" s="10">
        <v>47</v>
      </c>
      <c r="G15" s="10">
        <v>0</v>
      </c>
    </row>
    <row r="16" spans="1:7" x14ac:dyDescent="0.3">
      <c r="A16" s="9" t="s">
        <v>237</v>
      </c>
      <c r="B16" s="9" t="s">
        <v>82</v>
      </c>
      <c r="C16" s="10">
        <v>1.3129999999999999</v>
      </c>
      <c r="D16" s="10">
        <v>-0.45737464100699998</v>
      </c>
      <c r="E16" s="9" t="s">
        <v>87</v>
      </c>
      <c r="F16" s="10">
        <v>47</v>
      </c>
      <c r="G16" s="10">
        <v>0</v>
      </c>
    </row>
    <row r="17" spans="1:7" x14ac:dyDescent="0.3">
      <c r="A17" s="9" t="s">
        <v>236</v>
      </c>
      <c r="B17" s="9" t="s">
        <v>80</v>
      </c>
      <c r="C17" s="10">
        <v>5.4770000000000003</v>
      </c>
      <c r="D17" s="10">
        <v>0.36907541079900003</v>
      </c>
      <c r="E17" s="9" t="s">
        <v>88</v>
      </c>
      <c r="F17" s="10">
        <v>10</v>
      </c>
      <c r="G17" s="10">
        <v>1</v>
      </c>
    </row>
    <row r="18" spans="1:7" x14ac:dyDescent="0.3">
      <c r="A18" s="9" t="s">
        <v>236</v>
      </c>
      <c r="B18" s="9" t="s">
        <v>79</v>
      </c>
      <c r="C18" s="10">
        <v>0.45800000000000002</v>
      </c>
      <c r="D18" s="10">
        <v>0.36907541079900003</v>
      </c>
      <c r="E18" s="9" t="s">
        <v>88</v>
      </c>
      <c r="F18" s="10">
        <v>10</v>
      </c>
      <c r="G18" s="10">
        <v>1</v>
      </c>
    </row>
    <row r="19" spans="1:7" x14ac:dyDescent="0.3">
      <c r="A19" s="9" t="s">
        <v>236</v>
      </c>
      <c r="B19" s="9" t="s">
        <v>81</v>
      </c>
      <c r="C19" s="10">
        <v>6.4740000000000002</v>
      </c>
      <c r="D19" s="10">
        <v>0.36907541079900003</v>
      </c>
      <c r="E19" s="9" t="s">
        <v>88</v>
      </c>
      <c r="F19" s="10">
        <v>10</v>
      </c>
      <c r="G19" s="10">
        <v>1</v>
      </c>
    </row>
    <row r="20" spans="1:7" x14ac:dyDescent="0.3">
      <c r="A20" s="9" t="s">
        <v>236</v>
      </c>
      <c r="B20" s="9" t="s">
        <v>78</v>
      </c>
      <c r="C20" s="10">
        <v>5.1059999999999999</v>
      </c>
      <c r="D20" s="10">
        <v>0.36907541079900003</v>
      </c>
      <c r="E20" s="9" t="s">
        <v>88</v>
      </c>
      <c r="F20" s="10">
        <v>10</v>
      </c>
      <c r="G20" s="10">
        <v>1</v>
      </c>
    </row>
    <row r="21" spans="1:7" x14ac:dyDescent="0.3">
      <c r="A21" s="9" t="s">
        <v>236</v>
      </c>
      <c r="B21" s="9" t="s">
        <v>82</v>
      </c>
      <c r="C21" s="10">
        <v>1.387</v>
      </c>
      <c r="D21" s="10">
        <v>0.36907541079900003</v>
      </c>
      <c r="E21" s="9" t="s">
        <v>88</v>
      </c>
      <c r="F21" s="10">
        <v>10</v>
      </c>
      <c r="G21" s="10">
        <v>1</v>
      </c>
    </row>
    <row r="22" spans="1:7" x14ac:dyDescent="0.3">
      <c r="A22" s="9" t="s">
        <v>235</v>
      </c>
      <c r="B22" s="9" t="s">
        <v>80</v>
      </c>
      <c r="C22" s="10">
        <v>7.21</v>
      </c>
      <c r="D22" s="10">
        <v>0.19519016747000001</v>
      </c>
      <c r="E22" s="9" t="s">
        <v>88</v>
      </c>
      <c r="F22" s="10">
        <v>1</v>
      </c>
      <c r="G22" s="10">
        <v>1</v>
      </c>
    </row>
    <row r="23" spans="1:7" x14ac:dyDescent="0.3">
      <c r="A23" s="9" t="s">
        <v>235</v>
      </c>
      <c r="B23" s="9" t="s">
        <v>79</v>
      </c>
      <c r="C23" s="10">
        <v>0.88700000000000001</v>
      </c>
      <c r="D23" s="10">
        <v>0.19519016747000001</v>
      </c>
      <c r="E23" s="9" t="s">
        <v>88</v>
      </c>
      <c r="F23" s="10">
        <v>1</v>
      </c>
      <c r="G23" s="10">
        <v>1</v>
      </c>
    </row>
    <row r="24" spans="1:7" x14ac:dyDescent="0.3">
      <c r="A24" s="9" t="s">
        <v>235</v>
      </c>
      <c r="B24" s="9" t="s">
        <v>81</v>
      </c>
      <c r="C24" s="10">
        <v>7.2720000000000002</v>
      </c>
      <c r="D24" s="10">
        <v>0.19519016747000001</v>
      </c>
      <c r="E24" s="9" t="s">
        <v>88</v>
      </c>
      <c r="F24" s="10">
        <v>1</v>
      </c>
      <c r="G24" s="10">
        <v>1</v>
      </c>
    </row>
    <row r="25" spans="1:7" x14ac:dyDescent="0.3">
      <c r="A25" s="9" t="s">
        <v>235</v>
      </c>
      <c r="B25" s="9" t="s">
        <v>78</v>
      </c>
      <c r="C25" s="10">
        <v>4.3979999999999997</v>
      </c>
      <c r="D25" s="10">
        <v>0.19519016747000001</v>
      </c>
      <c r="E25" s="9" t="s">
        <v>88</v>
      </c>
      <c r="F25" s="10">
        <v>1</v>
      </c>
      <c r="G25" s="10">
        <v>1</v>
      </c>
    </row>
    <row r="26" spans="1:7" x14ac:dyDescent="0.3">
      <c r="A26" s="9" t="s">
        <v>235</v>
      </c>
      <c r="B26" s="9" t="s">
        <v>82</v>
      </c>
      <c r="C26" s="10">
        <v>0.97199999999999998</v>
      </c>
      <c r="D26" s="10">
        <v>0.19519016747000001</v>
      </c>
      <c r="E26" s="9" t="s">
        <v>88</v>
      </c>
      <c r="F26" s="10">
        <v>1</v>
      </c>
      <c r="G26" s="10">
        <v>1</v>
      </c>
    </row>
    <row r="27" spans="1:7" x14ac:dyDescent="0.3">
      <c r="A27" s="9" t="s">
        <v>234</v>
      </c>
      <c r="B27" s="9" t="s">
        <v>80</v>
      </c>
      <c r="C27" s="10">
        <v>4.2290000000000001</v>
      </c>
      <c r="D27" s="10">
        <v>-0.85558865345199997</v>
      </c>
      <c r="E27" s="9" t="s">
        <v>87</v>
      </c>
      <c r="F27" s="10">
        <v>6</v>
      </c>
      <c r="G27" s="10">
        <v>1</v>
      </c>
    </row>
    <row r="28" spans="1:7" x14ac:dyDescent="0.3">
      <c r="A28" s="9" t="s">
        <v>234</v>
      </c>
      <c r="B28" s="9" t="s">
        <v>79</v>
      </c>
      <c r="C28" s="10">
        <v>1.2529999999999999</v>
      </c>
      <c r="D28" s="10">
        <v>-0.85558865345199997</v>
      </c>
      <c r="E28" s="9" t="s">
        <v>87</v>
      </c>
      <c r="F28" s="10">
        <v>6</v>
      </c>
      <c r="G28" s="10">
        <v>1</v>
      </c>
    </row>
    <row r="29" spans="1:7" x14ac:dyDescent="0.3">
      <c r="A29" s="9" t="s">
        <v>234</v>
      </c>
      <c r="B29" s="9" t="s">
        <v>81</v>
      </c>
      <c r="C29" s="10">
        <v>7.5839999999999996</v>
      </c>
      <c r="D29" s="10">
        <v>-0.85558865345199997</v>
      </c>
      <c r="E29" s="9" t="s">
        <v>87</v>
      </c>
      <c r="F29" s="10">
        <v>6</v>
      </c>
      <c r="G29" s="10">
        <v>1</v>
      </c>
    </row>
    <row r="30" spans="1:7" x14ac:dyDescent="0.3">
      <c r="A30" s="9" t="s">
        <v>234</v>
      </c>
      <c r="B30" s="9" t="s">
        <v>78</v>
      </c>
      <c r="C30" s="10">
        <v>4.1289999999999996</v>
      </c>
      <c r="D30" s="10">
        <v>-0.85558865345199997</v>
      </c>
      <c r="E30" s="9" t="s">
        <v>87</v>
      </c>
      <c r="F30" s="10">
        <v>6</v>
      </c>
      <c r="G30" s="10">
        <v>1</v>
      </c>
    </row>
    <row r="31" spans="1:7" x14ac:dyDescent="0.3">
      <c r="A31" s="9" t="s">
        <v>234</v>
      </c>
      <c r="B31" s="9" t="s">
        <v>82</v>
      </c>
      <c r="C31" s="10">
        <v>0.57899999999999996</v>
      </c>
      <c r="D31" s="10">
        <v>-0.85558865345199997</v>
      </c>
      <c r="E31" s="9" t="s">
        <v>87</v>
      </c>
      <c r="F31" s="10">
        <v>6</v>
      </c>
      <c r="G31" s="10">
        <v>1</v>
      </c>
    </row>
    <row r="32" spans="1:7" x14ac:dyDescent="0.3">
      <c r="A32" s="9" t="s">
        <v>233</v>
      </c>
      <c r="B32" s="9" t="s">
        <v>80</v>
      </c>
      <c r="C32" s="10">
        <v>5.2709999999999999</v>
      </c>
      <c r="D32" s="10">
        <v>-1.495379444706</v>
      </c>
      <c r="E32" s="9" t="s">
        <v>87</v>
      </c>
      <c r="F32" s="10">
        <v>2</v>
      </c>
      <c r="G32" s="10">
        <v>1</v>
      </c>
    </row>
    <row r="33" spans="1:7" x14ac:dyDescent="0.3">
      <c r="A33" s="9" t="s">
        <v>233</v>
      </c>
      <c r="B33" s="9" t="s">
        <v>79</v>
      </c>
      <c r="C33" s="10">
        <v>0.76800000000000002</v>
      </c>
      <c r="D33" s="10">
        <v>-1.495379444706</v>
      </c>
      <c r="E33" s="9" t="s">
        <v>87</v>
      </c>
      <c r="F33" s="10">
        <v>2</v>
      </c>
      <c r="G33" s="10">
        <v>1</v>
      </c>
    </row>
    <row r="34" spans="1:7" x14ac:dyDescent="0.3">
      <c r="A34" s="9" t="s">
        <v>233</v>
      </c>
      <c r="B34" s="9" t="s">
        <v>81</v>
      </c>
      <c r="C34" s="10">
        <v>7.3140000000000001</v>
      </c>
      <c r="D34" s="10">
        <v>-1.495379444706</v>
      </c>
      <c r="E34" s="9" t="s">
        <v>87</v>
      </c>
      <c r="F34" s="10">
        <v>2</v>
      </c>
      <c r="G34" s="10">
        <v>1</v>
      </c>
    </row>
    <row r="35" spans="1:7" x14ac:dyDescent="0.3">
      <c r="A35" s="9" t="s">
        <v>233</v>
      </c>
      <c r="B35" s="9" t="s">
        <v>78</v>
      </c>
      <c r="C35" s="10">
        <v>3.5990000000000002</v>
      </c>
      <c r="D35" s="10">
        <v>-1.495379444706</v>
      </c>
      <c r="E35" s="9" t="s">
        <v>87</v>
      </c>
      <c r="F35" s="10">
        <v>2</v>
      </c>
      <c r="G35" s="10">
        <v>1</v>
      </c>
    </row>
    <row r="36" spans="1:7" x14ac:dyDescent="0.3">
      <c r="A36" s="9" t="s">
        <v>233</v>
      </c>
      <c r="B36" s="9" t="s">
        <v>82</v>
      </c>
      <c r="C36" s="10">
        <v>1.2010000000000001</v>
      </c>
      <c r="D36" s="10">
        <v>-1.495379444706</v>
      </c>
      <c r="E36" s="9" t="s">
        <v>87</v>
      </c>
      <c r="F36" s="10">
        <v>2</v>
      </c>
      <c r="G36" s="10">
        <v>1</v>
      </c>
    </row>
    <row r="37" spans="1:7" x14ac:dyDescent="0.3">
      <c r="A37" s="9" t="s">
        <v>232</v>
      </c>
      <c r="B37" s="9" t="s">
        <v>80</v>
      </c>
      <c r="C37" s="10">
        <v>6.7720000000000002</v>
      </c>
      <c r="D37" s="10">
        <v>-0.41729140325300002</v>
      </c>
      <c r="E37" s="9" t="s">
        <v>88</v>
      </c>
      <c r="F37" s="10">
        <v>2</v>
      </c>
      <c r="G37" s="10">
        <v>0</v>
      </c>
    </row>
    <row r="38" spans="1:7" x14ac:dyDescent="0.3">
      <c r="A38" s="9" t="s">
        <v>232</v>
      </c>
      <c r="B38" s="9" t="s">
        <v>79</v>
      </c>
      <c r="C38" s="10">
        <v>0.95</v>
      </c>
      <c r="D38" s="10">
        <v>-0.41729140325300002</v>
      </c>
      <c r="E38" s="9" t="s">
        <v>88</v>
      </c>
      <c r="F38" s="10">
        <v>2</v>
      </c>
      <c r="G38" s="10">
        <v>0</v>
      </c>
    </row>
    <row r="39" spans="1:7" x14ac:dyDescent="0.3">
      <c r="A39" s="9" t="s">
        <v>232</v>
      </c>
      <c r="B39" s="9" t="s">
        <v>81</v>
      </c>
      <c r="C39" s="10">
        <v>6.7080000000000002</v>
      </c>
      <c r="D39" s="10">
        <v>-0.41729140325300002</v>
      </c>
      <c r="E39" s="9" t="s">
        <v>88</v>
      </c>
      <c r="F39" s="10">
        <v>2</v>
      </c>
      <c r="G39" s="10">
        <v>0</v>
      </c>
    </row>
    <row r="40" spans="1:7" x14ac:dyDescent="0.3">
      <c r="A40" s="9" t="s">
        <v>232</v>
      </c>
      <c r="B40" s="9" t="s">
        <v>78</v>
      </c>
      <c r="C40" s="10">
        <v>4.5339999999999998</v>
      </c>
      <c r="D40" s="10">
        <v>-0.41729140325300002</v>
      </c>
      <c r="E40" s="9" t="s">
        <v>88</v>
      </c>
      <c r="F40" s="10">
        <v>2</v>
      </c>
      <c r="G40" s="10">
        <v>0</v>
      </c>
    </row>
    <row r="41" spans="1:7" x14ac:dyDescent="0.3">
      <c r="A41" s="9" t="s">
        <v>232</v>
      </c>
      <c r="B41" s="9" t="s">
        <v>82</v>
      </c>
      <c r="C41" s="10">
        <v>0.71899999999999997</v>
      </c>
      <c r="D41" s="10">
        <v>-0.41729140325300002</v>
      </c>
      <c r="E41" s="9" t="s">
        <v>88</v>
      </c>
      <c r="F41" s="10">
        <v>2</v>
      </c>
      <c r="G41" s="10">
        <v>0</v>
      </c>
    </row>
    <row r="42" spans="1:7" x14ac:dyDescent="0.3">
      <c r="A42" s="9" t="s">
        <v>231</v>
      </c>
      <c r="B42" s="9" t="s">
        <v>80</v>
      </c>
      <c r="C42" s="10">
        <v>13.109</v>
      </c>
      <c r="D42" s="10">
        <v>1.067085999466</v>
      </c>
      <c r="E42" s="9" t="s">
        <v>88</v>
      </c>
      <c r="F42" s="10">
        <v>17</v>
      </c>
      <c r="G42" s="10">
        <v>0</v>
      </c>
    </row>
    <row r="43" spans="1:7" x14ac:dyDescent="0.3">
      <c r="A43" s="9" t="s">
        <v>231</v>
      </c>
      <c r="B43" s="9" t="s">
        <v>79</v>
      </c>
      <c r="C43" s="10">
        <v>2.1030000000000002</v>
      </c>
      <c r="D43" s="10">
        <v>1.067085999466</v>
      </c>
      <c r="E43" s="9" t="s">
        <v>88</v>
      </c>
      <c r="F43" s="10">
        <v>17</v>
      </c>
      <c r="G43" s="10">
        <v>0</v>
      </c>
    </row>
    <row r="44" spans="1:7" x14ac:dyDescent="0.3">
      <c r="A44" s="9" t="s">
        <v>231</v>
      </c>
      <c r="B44" s="9" t="s">
        <v>81</v>
      </c>
      <c r="C44" s="10">
        <v>8.2460000000000004</v>
      </c>
      <c r="D44" s="10">
        <v>1.067085999466</v>
      </c>
      <c r="E44" s="9" t="s">
        <v>88</v>
      </c>
      <c r="F44" s="10">
        <v>17</v>
      </c>
      <c r="G44" s="10">
        <v>0</v>
      </c>
    </row>
    <row r="45" spans="1:7" x14ac:dyDescent="0.3">
      <c r="A45" s="9" t="s">
        <v>231</v>
      </c>
      <c r="B45" s="9" t="s">
        <v>78</v>
      </c>
      <c r="C45" s="10">
        <v>6.4180000000000001</v>
      </c>
      <c r="D45" s="10">
        <v>1.067085999466</v>
      </c>
      <c r="E45" s="9" t="s">
        <v>88</v>
      </c>
      <c r="F45" s="10">
        <v>17</v>
      </c>
      <c r="G45" s="10">
        <v>0</v>
      </c>
    </row>
    <row r="46" spans="1:7" x14ac:dyDescent="0.3">
      <c r="A46" s="9" t="s">
        <v>231</v>
      </c>
      <c r="B46" s="9" t="s">
        <v>82</v>
      </c>
      <c r="C46" s="10">
        <v>0.48199999999999998</v>
      </c>
      <c r="D46" s="10">
        <v>1.067085999466</v>
      </c>
      <c r="E46" s="9" t="s">
        <v>88</v>
      </c>
      <c r="F46" s="10">
        <v>17</v>
      </c>
      <c r="G46" s="10">
        <v>0</v>
      </c>
    </row>
    <row r="47" spans="1:7" x14ac:dyDescent="0.3">
      <c r="A47" s="9" t="s">
        <v>230</v>
      </c>
      <c r="B47" s="9" t="s">
        <v>80</v>
      </c>
      <c r="C47" s="10">
        <v>5.8929999999999998</v>
      </c>
      <c r="D47" s="10">
        <v>4.4660864582999997E-2</v>
      </c>
      <c r="E47" s="9" t="s">
        <v>88</v>
      </c>
      <c r="F47" s="10">
        <v>49</v>
      </c>
      <c r="G47" s="10">
        <v>1</v>
      </c>
    </row>
    <row r="48" spans="1:7" x14ac:dyDescent="0.3">
      <c r="A48" s="9" t="s">
        <v>230</v>
      </c>
      <c r="B48" s="9" t="s">
        <v>79</v>
      </c>
      <c r="C48" s="10">
        <v>0.60299999999999998</v>
      </c>
      <c r="D48" s="10">
        <v>4.4660864582999997E-2</v>
      </c>
      <c r="E48" s="9" t="s">
        <v>88</v>
      </c>
      <c r="F48" s="10">
        <v>49</v>
      </c>
      <c r="G48" s="10">
        <v>1</v>
      </c>
    </row>
    <row r="49" spans="1:7" x14ac:dyDescent="0.3">
      <c r="A49" s="9" t="s">
        <v>230</v>
      </c>
      <c r="B49" s="9" t="s">
        <v>81</v>
      </c>
      <c r="C49" s="10">
        <v>5.8810000000000002</v>
      </c>
      <c r="D49" s="10">
        <v>4.4660864582999997E-2</v>
      </c>
      <c r="E49" s="9" t="s">
        <v>88</v>
      </c>
      <c r="F49" s="10">
        <v>49</v>
      </c>
      <c r="G49" s="10">
        <v>1</v>
      </c>
    </row>
    <row r="50" spans="1:7" x14ac:dyDescent="0.3">
      <c r="A50" s="9" t="s">
        <v>230</v>
      </c>
      <c r="B50" s="9" t="s">
        <v>78</v>
      </c>
      <c r="C50" s="10">
        <v>4.5119999999999996</v>
      </c>
      <c r="D50" s="10">
        <v>4.4660864582999997E-2</v>
      </c>
      <c r="E50" s="9" t="s">
        <v>88</v>
      </c>
      <c r="F50" s="10">
        <v>49</v>
      </c>
      <c r="G50" s="10">
        <v>1</v>
      </c>
    </row>
    <row r="51" spans="1:7" x14ac:dyDescent="0.3">
      <c r="A51" s="9" t="s">
        <v>230</v>
      </c>
      <c r="B51" s="9" t="s">
        <v>82</v>
      </c>
      <c r="C51" s="10">
        <v>0.77600000000000002</v>
      </c>
      <c r="D51" s="10">
        <v>4.4660864582999997E-2</v>
      </c>
      <c r="E51" s="9" t="s">
        <v>88</v>
      </c>
      <c r="F51" s="10">
        <v>49</v>
      </c>
      <c r="G51" s="10">
        <v>1</v>
      </c>
    </row>
    <row r="52" spans="1:7" x14ac:dyDescent="0.3">
      <c r="A52" s="9" t="s">
        <v>229</v>
      </c>
      <c r="B52" s="9" t="s">
        <v>80</v>
      </c>
      <c r="C52" s="10">
        <v>4.32</v>
      </c>
      <c r="D52" s="10">
        <v>-0.79884092663299999</v>
      </c>
      <c r="E52" s="9" t="s">
        <v>87</v>
      </c>
      <c r="F52" s="10">
        <v>52</v>
      </c>
      <c r="G52" s="10">
        <v>0</v>
      </c>
    </row>
    <row r="53" spans="1:7" x14ac:dyDescent="0.3">
      <c r="A53" s="9" t="s">
        <v>229</v>
      </c>
      <c r="B53" s="9" t="s">
        <v>79</v>
      </c>
      <c r="C53" s="10">
        <v>0.67800000000000005</v>
      </c>
      <c r="D53" s="10">
        <v>-0.79884092663299999</v>
      </c>
      <c r="E53" s="9" t="s">
        <v>87</v>
      </c>
      <c r="F53" s="10">
        <v>52</v>
      </c>
      <c r="G53" s="10">
        <v>0</v>
      </c>
    </row>
    <row r="54" spans="1:7" x14ac:dyDescent="0.3">
      <c r="A54" s="9" t="s">
        <v>229</v>
      </c>
      <c r="B54" s="9" t="s">
        <v>81</v>
      </c>
      <c r="C54" s="10">
        <v>6.6840000000000002</v>
      </c>
      <c r="D54" s="10">
        <v>-0.79884092663299999</v>
      </c>
      <c r="E54" s="9" t="s">
        <v>87</v>
      </c>
      <c r="F54" s="10">
        <v>52</v>
      </c>
      <c r="G54" s="10">
        <v>0</v>
      </c>
    </row>
    <row r="55" spans="1:7" x14ac:dyDescent="0.3">
      <c r="A55" s="9" t="s">
        <v>229</v>
      </c>
      <c r="B55" s="9" t="s">
        <v>78</v>
      </c>
      <c r="C55" s="10">
        <v>3.8809999999999998</v>
      </c>
      <c r="D55" s="10">
        <v>-0.79884092663299999</v>
      </c>
      <c r="E55" s="9" t="s">
        <v>87</v>
      </c>
      <c r="F55" s="10">
        <v>52</v>
      </c>
      <c r="G55" s="10">
        <v>0</v>
      </c>
    </row>
    <row r="56" spans="1:7" x14ac:dyDescent="0.3">
      <c r="A56" s="9" t="s">
        <v>229</v>
      </c>
      <c r="B56" s="9" t="s">
        <v>82</v>
      </c>
      <c r="C56" s="10">
        <v>1.0229999999999999</v>
      </c>
      <c r="D56" s="10">
        <v>-0.79884092663299999</v>
      </c>
      <c r="E56" s="9" t="s">
        <v>87</v>
      </c>
      <c r="F56" s="10">
        <v>52</v>
      </c>
      <c r="G56" s="10">
        <v>0</v>
      </c>
    </row>
    <row r="57" spans="1:7" x14ac:dyDescent="0.3">
      <c r="A57" s="9" t="s">
        <v>228</v>
      </c>
      <c r="B57" s="9" t="s">
        <v>80</v>
      </c>
      <c r="C57" s="10">
        <v>6.0039999999999996</v>
      </c>
      <c r="D57" s="10">
        <v>-1.378124870085</v>
      </c>
      <c r="E57" s="9" t="s">
        <v>87</v>
      </c>
      <c r="F57" s="10">
        <v>55</v>
      </c>
      <c r="G57" s="10">
        <v>0</v>
      </c>
    </row>
    <row r="58" spans="1:7" x14ac:dyDescent="0.3">
      <c r="A58" s="9" t="s">
        <v>228</v>
      </c>
      <c r="B58" s="9" t="s">
        <v>79</v>
      </c>
      <c r="C58" s="10">
        <v>0.96699999999999997</v>
      </c>
      <c r="D58" s="10">
        <v>-1.378124870085</v>
      </c>
      <c r="E58" s="9" t="s">
        <v>87</v>
      </c>
      <c r="F58" s="10">
        <v>55</v>
      </c>
      <c r="G58" s="10">
        <v>0</v>
      </c>
    </row>
    <row r="59" spans="1:7" x14ac:dyDescent="0.3">
      <c r="A59" s="9" t="s">
        <v>228</v>
      </c>
      <c r="B59" s="9" t="s">
        <v>81</v>
      </c>
      <c r="C59" s="10">
        <v>5.9020000000000001</v>
      </c>
      <c r="D59" s="10">
        <v>-1.378124870085</v>
      </c>
      <c r="E59" s="9" t="s">
        <v>87</v>
      </c>
      <c r="F59" s="10">
        <v>55</v>
      </c>
      <c r="G59" s="10">
        <v>0</v>
      </c>
    </row>
    <row r="60" spans="1:7" x14ac:dyDescent="0.3">
      <c r="A60" s="9" t="s">
        <v>228</v>
      </c>
      <c r="B60" s="9" t="s">
        <v>78</v>
      </c>
      <c r="C60" s="10">
        <v>4.0430000000000001</v>
      </c>
      <c r="D60" s="10">
        <v>-1.378124870085</v>
      </c>
      <c r="E60" s="9" t="s">
        <v>87</v>
      </c>
      <c r="F60" s="10">
        <v>55</v>
      </c>
      <c r="G60" s="10">
        <v>0</v>
      </c>
    </row>
    <row r="61" spans="1:7" x14ac:dyDescent="0.3">
      <c r="A61" s="9" t="s">
        <v>228</v>
      </c>
      <c r="B61" s="9" t="s">
        <v>82</v>
      </c>
      <c r="C61" s="10">
        <v>0.84</v>
      </c>
      <c r="D61" s="10">
        <v>-1.378124870085</v>
      </c>
      <c r="E61" s="9" t="s">
        <v>87</v>
      </c>
      <c r="F61" s="10">
        <v>55</v>
      </c>
      <c r="G61" s="10">
        <v>0</v>
      </c>
    </row>
    <row r="62" spans="1:7" x14ac:dyDescent="0.3">
      <c r="A62" s="9" t="s">
        <v>227</v>
      </c>
      <c r="B62" s="9" t="s">
        <v>80</v>
      </c>
      <c r="C62" s="10">
        <v>7.008</v>
      </c>
      <c r="D62" s="10">
        <v>-0.38215036728000001</v>
      </c>
      <c r="E62" s="9" t="s">
        <v>88</v>
      </c>
      <c r="F62" s="10">
        <v>8</v>
      </c>
      <c r="G62" s="10">
        <v>1</v>
      </c>
    </row>
    <row r="63" spans="1:7" x14ac:dyDescent="0.3">
      <c r="A63" s="9" t="s">
        <v>227</v>
      </c>
      <c r="B63" s="9" t="s">
        <v>79</v>
      </c>
      <c r="C63" s="10">
        <v>0.45800000000000002</v>
      </c>
      <c r="D63" s="10">
        <v>-0.38215036728000001</v>
      </c>
      <c r="E63" s="9" t="s">
        <v>88</v>
      </c>
      <c r="F63" s="10">
        <v>8</v>
      </c>
      <c r="G63" s="10">
        <v>1</v>
      </c>
    </row>
    <row r="64" spans="1:7" x14ac:dyDescent="0.3">
      <c r="A64" s="9" t="s">
        <v>227</v>
      </c>
      <c r="B64" s="9" t="s">
        <v>81</v>
      </c>
      <c r="C64" s="10">
        <v>5.4740000000000002</v>
      </c>
      <c r="D64" s="10">
        <v>-0.38215036728000001</v>
      </c>
      <c r="E64" s="9" t="s">
        <v>88</v>
      </c>
      <c r="F64" s="10">
        <v>8</v>
      </c>
      <c r="G64" s="10">
        <v>1</v>
      </c>
    </row>
    <row r="65" spans="1:7" x14ac:dyDescent="0.3">
      <c r="A65" s="9" t="s">
        <v>227</v>
      </c>
      <c r="B65" s="9" t="s">
        <v>78</v>
      </c>
      <c r="C65" s="10">
        <v>3.8820000000000001</v>
      </c>
      <c r="D65" s="10">
        <v>-0.38215036728000001</v>
      </c>
      <c r="E65" s="9" t="s">
        <v>88</v>
      </c>
      <c r="F65" s="10">
        <v>8</v>
      </c>
      <c r="G65" s="10">
        <v>1</v>
      </c>
    </row>
    <row r="66" spans="1:7" x14ac:dyDescent="0.3">
      <c r="A66" s="9" t="s">
        <v>227</v>
      </c>
      <c r="B66" s="9" t="s">
        <v>82</v>
      </c>
      <c r="C66" s="10">
        <v>0.87</v>
      </c>
      <c r="D66" s="10">
        <v>-0.38215036728000001</v>
      </c>
      <c r="E66" s="9" t="s">
        <v>88</v>
      </c>
      <c r="F66" s="10">
        <v>8</v>
      </c>
      <c r="G66" s="10">
        <v>1</v>
      </c>
    </row>
    <row r="67" spans="1:7" x14ac:dyDescent="0.3">
      <c r="A67" s="9" t="s">
        <v>226</v>
      </c>
      <c r="B67" s="9" t="s">
        <v>80</v>
      </c>
      <c r="C67" s="10">
        <v>7.3460000000000001</v>
      </c>
      <c r="D67" s="10">
        <v>0.50219488393400002</v>
      </c>
      <c r="E67" s="9" t="s">
        <v>88</v>
      </c>
      <c r="F67" s="10">
        <v>19</v>
      </c>
      <c r="G67" s="10">
        <v>1</v>
      </c>
    </row>
    <row r="68" spans="1:7" x14ac:dyDescent="0.3">
      <c r="A68" s="9" t="s">
        <v>226</v>
      </c>
      <c r="B68" s="9" t="s">
        <v>79</v>
      </c>
      <c r="C68" s="10">
        <v>1.01</v>
      </c>
      <c r="D68" s="10">
        <v>0.50219488393400002</v>
      </c>
      <c r="E68" s="9" t="s">
        <v>88</v>
      </c>
      <c r="F68" s="10">
        <v>19</v>
      </c>
      <c r="G68" s="10">
        <v>1</v>
      </c>
    </row>
    <row r="69" spans="1:7" x14ac:dyDescent="0.3">
      <c r="A69" s="9" t="s">
        <v>226</v>
      </c>
      <c r="B69" s="9" t="s">
        <v>81</v>
      </c>
      <c r="C69" s="10">
        <v>7.726</v>
      </c>
      <c r="D69" s="10">
        <v>0.50219488393400002</v>
      </c>
      <c r="E69" s="9" t="s">
        <v>88</v>
      </c>
      <c r="F69" s="10">
        <v>19</v>
      </c>
      <c r="G69" s="10">
        <v>1</v>
      </c>
    </row>
    <row r="70" spans="1:7" x14ac:dyDescent="0.3">
      <c r="A70" s="9" t="s">
        <v>226</v>
      </c>
      <c r="B70" s="9" t="s">
        <v>78</v>
      </c>
      <c r="C70" s="10">
        <v>4.0090000000000003</v>
      </c>
      <c r="D70" s="10">
        <v>0.50219488393400002</v>
      </c>
      <c r="E70" s="9" t="s">
        <v>88</v>
      </c>
      <c r="F70" s="10">
        <v>19</v>
      </c>
      <c r="G70" s="10">
        <v>1</v>
      </c>
    </row>
    <row r="71" spans="1:7" x14ac:dyDescent="0.3">
      <c r="A71" s="9" t="s">
        <v>226</v>
      </c>
      <c r="B71" s="9" t="s">
        <v>82</v>
      </c>
      <c r="C71" s="10">
        <v>1.042</v>
      </c>
      <c r="D71" s="10">
        <v>0.50219488393400002</v>
      </c>
      <c r="E71" s="9" t="s">
        <v>88</v>
      </c>
      <c r="F71" s="10">
        <v>19</v>
      </c>
      <c r="G71" s="10">
        <v>1</v>
      </c>
    </row>
    <row r="72" spans="1:7" x14ac:dyDescent="0.3">
      <c r="A72" s="9" t="s">
        <v>225</v>
      </c>
      <c r="B72" s="9" t="s">
        <v>80</v>
      </c>
      <c r="C72" s="10">
        <v>7.4939999999999998</v>
      </c>
      <c r="D72" s="10">
        <v>1.4839944499999301E-3</v>
      </c>
      <c r="E72" s="9" t="s">
        <v>88</v>
      </c>
      <c r="F72" s="10">
        <v>52</v>
      </c>
      <c r="G72" s="10">
        <v>0</v>
      </c>
    </row>
    <row r="73" spans="1:7" x14ac:dyDescent="0.3">
      <c r="A73" s="9" t="s">
        <v>225</v>
      </c>
      <c r="B73" s="9" t="s">
        <v>79</v>
      </c>
      <c r="C73" s="10">
        <v>0.40300000000000002</v>
      </c>
      <c r="D73" s="10">
        <v>1.4839944499999301E-3</v>
      </c>
      <c r="E73" s="9" t="s">
        <v>88</v>
      </c>
      <c r="F73" s="10">
        <v>52</v>
      </c>
      <c r="G73" s="10">
        <v>0</v>
      </c>
    </row>
    <row r="74" spans="1:7" x14ac:dyDescent="0.3">
      <c r="A74" s="9" t="s">
        <v>225</v>
      </c>
      <c r="B74" s="9" t="s">
        <v>81</v>
      </c>
      <c r="C74" s="10">
        <v>4.6189999999999998</v>
      </c>
      <c r="D74" s="10">
        <v>1.4839944499999301E-3</v>
      </c>
      <c r="E74" s="9" t="s">
        <v>88</v>
      </c>
      <c r="F74" s="10">
        <v>52</v>
      </c>
      <c r="G74" s="10">
        <v>0</v>
      </c>
    </row>
    <row r="75" spans="1:7" x14ac:dyDescent="0.3">
      <c r="A75" s="9" t="s">
        <v>225</v>
      </c>
      <c r="B75" s="9" t="s">
        <v>78</v>
      </c>
      <c r="C75" s="10">
        <v>4.149</v>
      </c>
      <c r="D75" s="10">
        <v>1.4839944499999301E-3</v>
      </c>
      <c r="E75" s="9" t="s">
        <v>88</v>
      </c>
      <c r="F75" s="10">
        <v>52</v>
      </c>
      <c r="G75" s="10">
        <v>0</v>
      </c>
    </row>
    <row r="76" spans="1:7" x14ac:dyDescent="0.3">
      <c r="A76" s="9" t="s">
        <v>225</v>
      </c>
      <c r="B76" s="9" t="s">
        <v>82</v>
      </c>
      <c r="C76" s="10">
        <v>0.90600000000000003</v>
      </c>
      <c r="D76" s="10">
        <v>1.4839944499999301E-3</v>
      </c>
      <c r="E76" s="9" t="s">
        <v>88</v>
      </c>
      <c r="F76" s="10">
        <v>52</v>
      </c>
      <c r="G76" s="10">
        <v>0</v>
      </c>
    </row>
    <row r="77" spans="1:7" x14ac:dyDescent="0.3">
      <c r="A77" s="9" t="s">
        <v>224</v>
      </c>
      <c r="B77" s="9" t="s">
        <v>80</v>
      </c>
      <c r="C77" s="10">
        <v>4.9059999999999997</v>
      </c>
      <c r="D77" s="10">
        <v>-1.119320983825</v>
      </c>
      <c r="E77" s="9" t="s">
        <v>87</v>
      </c>
      <c r="F77" s="10">
        <v>18</v>
      </c>
      <c r="G77" s="10">
        <v>1</v>
      </c>
    </row>
    <row r="78" spans="1:7" x14ac:dyDescent="0.3">
      <c r="A78" s="9" t="s">
        <v>224</v>
      </c>
      <c r="B78" s="9" t="s">
        <v>79</v>
      </c>
      <c r="C78" s="10">
        <v>0.59399999999999997</v>
      </c>
      <c r="D78" s="10">
        <v>-1.119320983825</v>
      </c>
      <c r="E78" s="9" t="s">
        <v>87</v>
      </c>
      <c r="F78" s="10">
        <v>18</v>
      </c>
      <c r="G78" s="10">
        <v>1</v>
      </c>
    </row>
    <row r="79" spans="1:7" x14ac:dyDescent="0.3">
      <c r="A79" s="9" t="s">
        <v>224</v>
      </c>
      <c r="B79" s="9" t="s">
        <v>81</v>
      </c>
      <c r="C79" s="10">
        <v>4.6529999999999996</v>
      </c>
      <c r="D79" s="10">
        <v>-1.119320983825</v>
      </c>
      <c r="E79" s="9" t="s">
        <v>87</v>
      </c>
      <c r="F79" s="10">
        <v>18</v>
      </c>
      <c r="G79" s="10">
        <v>1</v>
      </c>
    </row>
    <row r="80" spans="1:7" x14ac:dyDescent="0.3">
      <c r="A80" s="9" t="s">
        <v>224</v>
      </c>
      <c r="B80" s="9" t="s">
        <v>78</v>
      </c>
      <c r="C80" s="10">
        <v>2.97</v>
      </c>
      <c r="D80" s="10">
        <v>-1.119320983825</v>
      </c>
      <c r="E80" s="9" t="s">
        <v>87</v>
      </c>
      <c r="F80" s="10">
        <v>18</v>
      </c>
      <c r="G80" s="10">
        <v>1</v>
      </c>
    </row>
    <row r="81" spans="1:7" x14ac:dyDescent="0.3">
      <c r="A81" s="9" t="s">
        <v>224</v>
      </c>
      <c r="B81" s="9" t="s">
        <v>82</v>
      </c>
      <c r="C81" s="10">
        <v>0.75900000000000001</v>
      </c>
      <c r="D81" s="10">
        <v>-1.119320983825</v>
      </c>
      <c r="E81" s="9" t="s">
        <v>87</v>
      </c>
      <c r="F81" s="10">
        <v>18</v>
      </c>
      <c r="G81" s="10">
        <v>1</v>
      </c>
    </row>
    <row r="82" spans="1:7" x14ac:dyDescent="0.3">
      <c r="A82" s="9" t="s">
        <v>223</v>
      </c>
      <c r="B82" s="9" t="s">
        <v>80</v>
      </c>
      <c r="C82" s="10">
        <v>7.1929999999999996</v>
      </c>
      <c r="D82" s="10">
        <v>-0.39635090242799997</v>
      </c>
      <c r="E82" s="9" t="s">
        <v>88</v>
      </c>
      <c r="F82" s="10">
        <v>29</v>
      </c>
      <c r="G82" s="10">
        <v>1</v>
      </c>
    </row>
    <row r="83" spans="1:7" x14ac:dyDescent="0.3">
      <c r="A83" s="9" t="s">
        <v>223</v>
      </c>
      <c r="B83" s="9" t="s">
        <v>79</v>
      </c>
      <c r="C83" s="10">
        <v>0.73299999999999998</v>
      </c>
      <c r="D83" s="10">
        <v>-0.39635090242799997</v>
      </c>
      <c r="E83" s="9" t="s">
        <v>88</v>
      </c>
      <c r="F83" s="10">
        <v>29</v>
      </c>
      <c r="G83" s="10">
        <v>1</v>
      </c>
    </row>
    <row r="84" spans="1:7" x14ac:dyDescent="0.3">
      <c r="A84" s="9" t="s">
        <v>223</v>
      </c>
      <c r="B84" s="9" t="s">
        <v>81</v>
      </c>
      <c r="C84" s="10">
        <v>5.1109999999999998</v>
      </c>
      <c r="D84" s="10">
        <v>-0.39635090242799997</v>
      </c>
      <c r="E84" s="9" t="s">
        <v>88</v>
      </c>
      <c r="F84" s="10">
        <v>29</v>
      </c>
      <c r="G84" s="10">
        <v>1</v>
      </c>
    </row>
    <row r="85" spans="1:7" x14ac:dyDescent="0.3">
      <c r="A85" s="9" t="s">
        <v>223</v>
      </c>
      <c r="B85" s="9" t="s">
        <v>78</v>
      </c>
      <c r="C85" s="10">
        <v>3.1930000000000001</v>
      </c>
      <c r="D85" s="10">
        <v>-0.39635090242799997</v>
      </c>
      <c r="E85" s="9" t="s">
        <v>88</v>
      </c>
      <c r="F85" s="10">
        <v>29</v>
      </c>
      <c r="G85" s="10">
        <v>1</v>
      </c>
    </row>
    <row r="86" spans="1:7" x14ac:dyDescent="0.3">
      <c r="A86" s="9" t="s">
        <v>223</v>
      </c>
      <c r="B86" s="9" t="s">
        <v>82</v>
      </c>
      <c r="C86" s="10">
        <v>0.73299999999999998</v>
      </c>
      <c r="D86" s="10">
        <v>-0.39635090242799997</v>
      </c>
      <c r="E86" s="9" t="s">
        <v>88</v>
      </c>
      <c r="F86" s="10">
        <v>29</v>
      </c>
      <c r="G86" s="10">
        <v>1</v>
      </c>
    </row>
    <row r="87" spans="1:7" x14ac:dyDescent="0.3">
      <c r="A87" s="9" t="s">
        <v>222</v>
      </c>
      <c r="B87" s="9" t="s">
        <v>80</v>
      </c>
      <c r="C87" s="10">
        <v>4.5570000000000004</v>
      </c>
      <c r="D87" s="10">
        <v>0.31690619037700002</v>
      </c>
      <c r="E87" s="9" t="s">
        <v>88</v>
      </c>
      <c r="F87" s="10">
        <v>43</v>
      </c>
      <c r="G87" s="10">
        <v>0</v>
      </c>
    </row>
    <row r="88" spans="1:7" x14ac:dyDescent="0.3">
      <c r="A88" s="9" t="s">
        <v>222</v>
      </c>
      <c r="B88" s="9" t="s">
        <v>79</v>
      </c>
      <c r="C88" s="10">
        <v>0.67</v>
      </c>
      <c r="D88" s="10">
        <v>0.31690619037700002</v>
      </c>
      <c r="E88" s="9" t="s">
        <v>88</v>
      </c>
      <c r="F88" s="10">
        <v>43</v>
      </c>
      <c r="G88" s="10">
        <v>0</v>
      </c>
    </row>
    <row r="89" spans="1:7" x14ac:dyDescent="0.3">
      <c r="A89" s="9" t="s">
        <v>222</v>
      </c>
      <c r="B89" s="9" t="s">
        <v>81</v>
      </c>
      <c r="C89" s="10">
        <v>6.4189999999999996</v>
      </c>
      <c r="D89" s="10">
        <v>0.31690619037700002</v>
      </c>
      <c r="E89" s="9" t="s">
        <v>88</v>
      </c>
      <c r="F89" s="10">
        <v>43</v>
      </c>
      <c r="G89" s="10">
        <v>0</v>
      </c>
    </row>
    <row r="90" spans="1:7" x14ac:dyDescent="0.3">
      <c r="A90" s="9" t="s">
        <v>222</v>
      </c>
      <c r="B90" s="9" t="s">
        <v>78</v>
      </c>
      <c r="C90" s="10">
        <v>2.6880000000000002</v>
      </c>
      <c r="D90" s="10">
        <v>0.31690619037700002</v>
      </c>
      <c r="E90" s="9" t="s">
        <v>88</v>
      </c>
      <c r="F90" s="10">
        <v>43</v>
      </c>
      <c r="G90" s="10">
        <v>0</v>
      </c>
    </row>
    <row r="91" spans="1:7" x14ac:dyDescent="0.3">
      <c r="A91" s="9" t="s">
        <v>222</v>
      </c>
      <c r="B91" s="9" t="s">
        <v>82</v>
      </c>
      <c r="C91" s="10">
        <v>0.38400000000000001</v>
      </c>
      <c r="D91" s="10">
        <v>0.31690619037700002</v>
      </c>
      <c r="E91" s="9" t="s">
        <v>88</v>
      </c>
      <c r="F91" s="10">
        <v>43</v>
      </c>
      <c r="G91" s="10">
        <v>0</v>
      </c>
    </row>
    <row r="92" spans="1:7" x14ac:dyDescent="0.3">
      <c r="A92" s="9" t="s">
        <v>221</v>
      </c>
      <c r="B92" s="9" t="s">
        <v>80</v>
      </c>
      <c r="C92" s="10">
        <v>6.7140000000000004</v>
      </c>
      <c r="D92" s="10">
        <v>0.34934970973200002</v>
      </c>
      <c r="E92" s="9" t="s">
        <v>88</v>
      </c>
      <c r="F92" s="10">
        <v>6</v>
      </c>
      <c r="G92" s="10">
        <v>1</v>
      </c>
    </row>
    <row r="93" spans="1:7" x14ac:dyDescent="0.3">
      <c r="A93" s="9" t="s">
        <v>221</v>
      </c>
      <c r="B93" s="9" t="s">
        <v>79</v>
      </c>
      <c r="C93" s="10">
        <v>0.747</v>
      </c>
      <c r="D93" s="10">
        <v>0.34934970973200002</v>
      </c>
      <c r="E93" s="9" t="s">
        <v>88</v>
      </c>
      <c r="F93" s="10">
        <v>6</v>
      </c>
      <c r="G93" s="10">
        <v>1</v>
      </c>
    </row>
    <row r="94" spans="1:7" x14ac:dyDescent="0.3">
      <c r="A94" s="9" t="s">
        <v>221</v>
      </c>
      <c r="B94" s="9" t="s">
        <v>81</v>
      </c>
      <c r="C94" s="10">
        <v>6.601</v>
      </c>
      <c r="D94" s="10">
        <v>0.34934970973200002</v>
      </c>
      <c r="E94" s="9" t="s">
        <v>88</v>
      </c>
      <c r="F94" s="10">
        <v>6</v>
      </c>
      <c r="G94" s="10">
        <v>1</v>
      </c>
    </row>
    <row r="95" spans="1:7" x14ac:dyDescent="0.3">
      <c r="A95" s="9" t="s">
        <v>221</v>
      </c>
      <c r="B95" s="9" t="s">
        <v>78</v>
      </c>
      <c r="C95" s="10">
        <v>2.8109999999999999</v>
      </c>
      <c r="D95" s="10">
        <v>0.34934970973200002</v>
      </c>
      <c r="E95" s="9" t="s">
        <v>88</v>
      </c>
      <c r="F95" s="10">
        <v>6</v>
      </c>
      <c r="G95" s="10">
        <v>1</v>
      </c>
    </row>
    <row r="96" spans="1:7" x14ac:dyDescent="0.3">
      <c r="A96" s="9" t="s">
        <v>221</v>
      </c>
      <c r="B96" s="9" t="s">
        <v>82</v>
      </c>
      <c r="C96" s="10">
        <v>0.375</v>
      </c>
      <c r="D96" s="10">
        <v>0.34934970973200002</v>
      </c>
      <c r="E96" s="9" t="s">
        <v>88</v>
      </c>
      <c r="F96" s="10">
        <v>6</v>
      </c>
      <c r="G96" s="10">
        <v>1</v>
      </c>
    </row>
    <row r="97" spans="1:7" x14ac:dyDescent="0.3">
      <c r="A97" s="9" t="s">
        <v>220</v>
      </c>
      <c r="B97" s="9" t="s">
        <v>80</v>
      </c>
      <c r="C97" s="10">
        <v>5.1840000000000002</v>
      </c>
      <c r="D97" s="10">
        <v>-0.852310191248</v>
      </c>
      <c r="E97" s="9" t="s">
        <v>87</v>
      </c>
      <c r="F97" s="10">
        <v>42</v>
      </c>
      <c r="G97" s="10">
        <v>0</v>
      </c>
    </row>
    <row r="98" spans="1:7" x14ac:dyDescent="0.3">
      <c r="A98" s="9" t="s">
        <v>220</v>
      </c>
      <c r="B98" s="9" t="s">
        <v>79</v>
      </c>
      <c r="C98" s="10">
        <v>1.5529999999999999</v>
      </c>
      <c r="D98" s="10">
        <v>-0.852310191248</v>
      </c>
      <c r="E98" s="9" t="s">
        <v>87</v>
      </c>
      <c r="F98" s="10">
        <v>42</v>
      </c>
      <c r="G98" s="10">
        <v>0</v>
      </c>
    </row>
    <row r="99" spans="1:7" x14ac:dyDescent="0.3">
      <c r="A99" s="9" t="s">
        <v>220</v>
      </c>
      <c r="B99" s="9" t="s">
        <v>81</v>
      </c>
      <c r="C99" s="10">
        <v>6.069</v>
      </c>
      <c r="D99" s="10">
        <v>-0.852310191248</v>
      </c>
      <c r="E99" s="9" t="s">
        <v>87</v>
      </c>
      <c r="F99" s="10">
        <v>42</v>
      </c>
      <c r="G99" s="10">
        <v>0</v>
      </c>
    </row>
    <row r="100" spans="1:7" x14ac:dyDescent="0.3">
      <c r="A100" s="9" t="s">
        <v>220</v>
      </c>
      <c r="B100" s="9" t="s">
        <v>78</v>
      </c>
      <c r="C100" s="10">
        <v>2.7370000000000001</v>
      </c>
      <c r="D100" s="10">
        <v>-0.852310191248</v>
      </c>
      <c r="E100" s="9" t="s">
        <v>87</v>
      </c>
      <c r="F100" s="10">
        <v>42</v>
      </c>
      <c r="G100" s="10">
        <v>0</v>
      </c>
    </row>
    <row r="101" spans="1:7" x14ac:dyDescent="0.3">
      <c r="A101" s="9" t="s">
        <v>220</v>
      </c>
      <c r="B101" s="9" t="s">
        <v>82</v>
      </c>
      <c r="C101" s="10">
        <v>0.61199999999999999</v>
      </c>
      <c r="D101" s="10">
        <v>-0.852310191248</v>
      </c>
      <c r="E101" s="9" t="s">
        <v>87</v>
      </c>
      <c r="F101" s="10">
        <v>42</v>
      </c>
      <c r="G101" s="10">
        <v>0</v>
      </c>
    </row>
    <row r="102" spans="1:7" x14ac:dyDescent="0.3">
      <c r="A102" s="9" t="s">
        <v>219</v>
      </c>
      <c r="B102" s="9" t="s">
        <v>80</v>
      </c>
      <c r="C102" s="10">
        <v>3.3860000000000001</v>
      </c>
      <c r="D102" s="10">
        <v>-1.1514206394940001</v>
      </c>
      <c r="E102" s="9" t="s">
        <v>87</v>
      </c>
      <c r="F102" s="10">
        <v>20</v>
      </c>
      <c r="G102" s="10">
        <v>1</v>
      </c>
    </row>
    <row r="103" spans="1:7" x14ac:dyDescent="0.3">
      <c r="A103" s="9" t="s">
        <v>219</v>
      </c>
      <c r="B103" s="9" t="s">
        <v>79</v>
      </c>
      <c r="C103" s="10">
        <v>1.6240000000000001</v>
      </c>
      <c r="D103" s="10">
        <v>-1.1514206394940001</v>
      </c>
      <c r="E103" s="9" t="s">
        <v>87</v>
      </c>
      <c r="F103" s="10">
        <v>20</v>
      </c>
      <c r="G103" s="10">
        <v>1</v>
      </c>
    </row>
    <row r="104" spans="1:7" x14ac:dyDescent="0.3">
      <c r="A104" s="9" t="s">
        <v>219</v>
      </c>
      <c r="B104" s="9" t="s">
        <v>81</v>
      </c>
      <c r="C104" s="10">
        <v>6.94</v>
      </c>
      <c r="D104" s="10">
        <v>-1.1514206394940001</v>
      </c>
      <c r="E104" s="9" t="s">
        <v>87</v>
      </c>
      <c r="F104" s="10">
        <v>20</v>
      </c>
      <c r="G104" s="10">
        <v>1</v>
      </c>
    </row>
    <row r="105" spans="1:7" x14ac:dyDescent="0.3">
      <c r="A105" s="9" t="s">
        <v>219</v>
      </c>
      <c r="B105" s="9" t="s">
        <v>78</v>
      </c>
      <c r="C105" s="10">
        <v>3.3879999999999999</v>
      </c>
      <c r="D105" s="10">
        <v>-1.1514206394940001</v>
      </c>
      <c r="E105" s="9" t="s">
        <v>87</v>
      </c>
      <c r="F105" s="10">
        <v>20</v>
      </c>
      <c r="G105" s="10">
        <v>1</v>
      </c>
    </row>
    <row r="106" spans="1:7" x14ac:dyDescent="0.3">
      <c r="A106" s="9" t="s">
        <v>219</v>
      </c>
      <c r="B106" s="9" t="s">
        <v>82</v>
      </c>
      <c r="C106" s="10">
        <v>0.70299999999999996</v>
      </c>
      <c r="D106" s="10">
        <v>-1.1514206394940001</v>
      </c>
      <c r="E106" s="9" t="s">
        <v>87</v>
      </c>
      <c r="F106" s="10">
        <v>20</v>
      </c>
      <c r="G106" s="10">
        <v>1</v>
      </c>
    </row>
    <row r="107" spans="1:7" x14ac:dyDescent="0.3">
      <c r="A107" s="9" t="s">
        <v>218</v>
      </c>
      <c r="B107" s="9" t="s">
        <v>80</v>
      </c>
      <c r="C107" s="10">
        <v>4.2220000000000004</v>
      </c>
      <c r="D107" s="10">
        <v>-0.78004490303999996</v>
      </c>
      <c r="E107" s="9" t="s">
        <v>87</v>
      </c>
      <c r="F107" s="10">
        <v>35</v>
      </c>
      <c r="G107" s="10">
        <v>1</v>
      </c>
    </row>
    <row r="108" spans="1:7" x14ac:dyDescent="0.3">
      <c r="A108" s="9" t="s">
        <v>218</v>
      </c>
      <c r="B108" s="9" t="s">
        <v>79</v>
      </c>
      <c r="C108" s="10">
        <v>0.51200000000000001</v>
      </c>
      <c r="D108" s="10">
        <v>-0.78004490303999996</v>
      </c>
      <c r="E108" s="9" t="s">
        <v>87</v>
      </c>
      <c r="F108" s="10">
        <v>35</v>
      </c>
      <c r="G108" s="10">
        <v>1</v>
      </c>
    </row>
    <row r="109" spans="1:7" x14ac:dyDescent="0.3">
      <c r="A109" s="9" t="s">
        <v>218</v>
      </c>
      <c r="B109" s="9" t="s">
        <v>81</v>
      </c>
      <c r="C109" s="10">
        <v>6.7859999999999996</v>
      </c>
      <c r="D109" s="10">
        <v>-0.78004490303999996</v>
      </c>
      <c r="E109" s="9" t="s">
        <v>87</v>
      </c>
      <c r="F109" s="10">
        <v>35</v>
      </c>
      <c r="G109" s="10">
        <v>1</v>
      </c>
    </row>
    <row r="110" spans="1:7" x14ac:dyDescent="0.3">
      <c r="A110" s="9" t="s">
        <v>218</v>
      </c>
      <c r="B110" s="9" t="s">
        <v>78</v>
      </c>
      <c r="C110" s="10">
        <v>2.7730000000000001</v>
      </c>
      <c r="D110" s="10">
        <v>-0.78004490303999996</v>
      </c>
      <c r="E110" s="9" t="s">
        <v>87</v>
      </c>
      <c r="F110" s="10">
        <v>35</v>
      </c>
      <c r="G110" s="10">
        <v>1</v>
      </c>
    </row>
    <row r="111" spans="1:7" x14ac:dyDescent="0.3">
      <c r="A111" s="9" t="s">
        <v>218</v>
      </c>
      <c r="B111" s="9" t="s">
        <v>82</v>
      </c>
      <c r="C111" s="10">
        <v>2.157</v>
      </c>
      <c r="D111" s="10">
        <v>-0.78004490303999996</v>
      </c>
      <c r="E111" s="9" t="s">
        <v>87</v>
      </c>
      <c r="F111" s="10">
        <v>35</v>
      </c>
      <c r="G111" s="10">
        <v>1</v>
      </c>
    </row>
    <row r="112" spans="1:7" x14ac:dyDescent="0.3">
      <c r="A112" s="9" t="s">
        <v>217</v>
      </c>
      <c r="B112" s="9" t="s">
        <v>80</v>
      </c>
      <c r="C112" s="10">
        <v>8.8249999999999993</v>
      </c>
      <c r="D112" s="10">
        <v>0.583680450608</v>
      </c>
      <c r="E112" s="9" t="s">
        <v>88</v>
      </c>
      <c r="F112" s="10">
        <v>13</v>
      </c>
      <c r="G112" s="10">
        <v>1</v>
      </c>
    </row>
    <row r="113" spans="1:7" x14ac:dyDescent="0.3">
      <c r="A113" s="9" t="s">
        <v>217</v>
      </c>
      <c r="B113" s="9" t="s">
        <v>79</v>
      </c>
      <c r="C113" s="10">
        <v>1.5129999999999999</v>
      </c>
      <c r="D113" s="10">
        <v>0.583680450608</v>
      </c>
      <c r="E113" s="9" t="s">
        <v>88</v>
      </c>
      <c r="F113" s="10">
        <v>13</v>
      </c>
      <c r="G113" s="10">
        <v>1</v>
      </c>
    </row>
    <row r="114" spans="1:7" x14ac:dyDescent="0.3">
      <c r="A114" s="9" t="s">
        <v>217</v>
      </c>
      <c r="B114" s="9" t="s">
        <v>81</v>
      </c>
      <c r="C114" s="10">
        <v>6.3869999999999996</v>
      </c>
      <c r="D114" s="10">
        <v>0.583680450608</v>
      </c>
      <c r="E114" s="9" t="s">
        <v>88</v>
      </c>
      <c r="F114" s="10">
        <v>13</v>
      </c>
      <c r="G114" s="10">
        <v>1</v>
      </c>
    </row>
    <row r="115" spans="1:7" x14ac:dyDescent="0.3">
      <c r="A115" s="9" t="s">
        <v>217</v>
      </c>
      <c r="B115" s="9" t="s">
        <v>78</v>
      </c>
      <c r="C115" s="10">
        <v>4.0990000000000002</v>
      </c>
      <c r="D115" s="10">
        <v>0.583680450608</v>
      </c>
      <c r="E115" s="9" t="s">
        <v>88</v>
      </c>
      <c r="F115" s="10">
        <v>13</v>
      </c>
      <c r="G115" s="10">
        <v>1</v>
      </c>
    </row>
    <row r="116" spans="1:7" x14ac:dyDescent="0.3">
      <c r="A116" s="9" t="s">
        <v>217</v>
      </c>
      <c r="B116" s="9" t="s">
        <v>82</v>
      </c>
      <c r="C116" s="10">
        <v>1.306</v>
      </c>
      <c r="D116" s="10">
        <v>0.583680450608</v>
      </c>
      <c r="E116" s="9" t="s">
        <v>88</v>
      </c>
      <c r="F116" s="10">
        <v>13</v>
      </c>
      <c r="G116" s="10">
        <v>1</v>
      </c>
    </row>
    <row r="117" spans="1:7" x14ac:dyDescent="0.3">
      <c r="A117" s="9" t="s">
        <v>216</v>
      </c>
      <c r="B117" s="9" t="s">
        <v>80</v>
      </c>
      <c r="C117" s="10">
        <v>10.298999999999999</v>
      </c>
      <c r="D117" s="10">
        <v>4.9040931019999198E-3</v>
      </c>
      <c r="E117" s="9" t="s">
        <v>88</v>
      </c>
      <c r="F117" s="10">
        <v>21</v>
      </c>
      <c r="G117" s="10">
        <v>1</v>
      </c>
    </row>
    <row r="118" spans="1:7" x14ac:dyDescent="0.3">
      <c r="A118" s="9" t="s">
        <v>216</v>
      </c>
      <c r="B118" s="9" t="s">
        <v>79</v>
      </c>
      <c r="C118" s="10">
        <v>1.65</v>
      </c>
      <c r="D118" s="10">
        <v>4.9040931019999198E-3</v>
      </c>
      <c r="E118" s="9" t="s">
        <v>88</v>
      </c>
      <c r="F118" s="10">
        <v>21</v>
      </c>
      <c r="G118" s="10">
        <v>1</v>
      </c>
    </row>
    <row r="119" spans="1:7" x14ac:dyDescent="0.3">
      <c r="A119" s="9" t="s">
        <v>216</v>
      </c>
      <c r="B119" s="9" t="s">
        <v>81</v>
      </c>
      <c r="C119" s="10">
        <v>6.7859999999999996</v>
      </c>
      <c r="D119" s="10">
        <v>4.9040931019999198E-3</v>
      </c>
      <c r="E119" s="9" t="s">
        <v>88</v>
      </c>
      <c r="F119" s="10">
        <v>21</v>
      </c>
      <c r="G119" s="10">
        <v>1</v>
      </c>
    </row>
    <row r="120" spans="1:7" x14ac:dyDescent="0.3">
      <c r="A120" s="9" t="s">
        <v>216</v>
      </c>
      <c r="B120" s="9" t="s">
        <v>78</v>
      </c>
      <c r="C120" s="10">
        <v>5.17</v>
      </c>
      <c r="D120" s="10">
        <v>4.9040931019999198E-3</v>
      </c>
      <c r="E120" s="9" t="s">
        <v>88</v>
      </c>
      <c r="F120" s="10">
        <v>21</v>
      </c>
      <c r="G120" s="10">
        <v>1</v>
      </c>
    </row>
    <row r="121" spans="1:7" x14ac:dyDescent="0.3">
      <c r="A121" s="9" t="s">
        <v>216</v>
      </c>
      <c r="B121" s="9" t="s">
        <v>82</v>
      </c>
      <c r="C121" s="10">
        <v>0.80400000000000005</v>
      </c>
      <c r="D121" s="10">
        <v>4.9040931019999198E-3</v>
      </c>
      <c r="E121" s="9" t="s">
        <v>88</v>
      </c>
      <c r="F121" s="10">
        <v>21</v>
      </c>
      <c r="G121" s="10">
        <v>1</v>
      </c>
    </row>
    <row r="122" spans="1:7" x14ac:dyDescent="0.3">
      <c r="A122" s="9" t="s">
        <v>215</v>
      </c>
      <c r="B122" s="9" t="s">
        <v>80</v>
      </c>
      <c r="C122" s="10">
        <v>6.3280000000000003</v>
      </c>
      <c r="D122" s="10">
        <v>-1.2257256465349999</v>
      </c>
      <c r="E122" s="9" t="s">
        <v>87</v>
      </c>
      <c r="F122" s="10">
        <v>30</v>
      </c>
      <c r="G122" s="10">
        <v>0</v>
      </c>
    </row>
    <row r="123" spans="1:7" x14ac:dyDescent="0.3">
      <c r="A123" s="9" t="s">
        <v>215</v>
      </c>
      <c r="B123" s="9" t="s">
        <v>79</v>
      </c>
      <c r="C123" s="10">
        <v>1.0589999999999999</v>
      </c>
      <c r="D123" s="10">
        <v>-1.2257256465349999</v>
      </c>
      <c r="E123" s="9" t="s">
        <v>87</v>
      </c>
      <c r="F123" s="10">
        <v>30</v>
      </c>
      <c r="G123" s="10">
        <v>0</v>
      </c>
    </row>
    <row r="124" spans="1:7" x14ac:dyDescent="0.3">
      <c r="A124" s="9" t="s">
        <v>215</v>
      </c>
      <c r="B124" s="9" t="s">
        <v>81</v>
      </c>
      <c r="C124" s="10">
        <v>6.3369999999999997</v>
      </c>
      <c r="D124" s="10">
        <v>-1.2257256465349999</v>
      </c>
      <c r="E124" s="9" t="s">
        <v>87</v>
      </c>
      <c r="F124" s="10">
        <v>30</v>
      </c>
      <c r="G124" s="10">
        <v>0</v>
      </c>
    </row>
    <row r="125" spans="1:7" x14ac:dyDescent="0.3">
      <c r="A125" s="9" t="s">
        <v>215</v>
      </c>
      <c r="B125" s="9" t="s">
        <v>78</v>
      </c>
      <c r="C125" s="10">
        <v>5.2939999999999996</v>
      </c>
      <c r="D125" s="10">
        <v>-1.2257256465349999</v>
      </c>
      <c r="E125" s="9" t="s">
        <v>87</v>
      </c>
      <c r="F125" s="10">
        <v>30</v>
      </c>
      <c r="G125" s="10">
        <v>0</v>
      </c>
    </row>
    <row r="126" spans="1:7" x14ac:dyDescent="0.3">
      <c r="A126" s="9" t="s">
        <v>215</v>
      </c>
      <c r="B126" s="9" t="s">
        <v>82</v>
      </c>
      <c r="C126" s="10">
        <v>1.069</v>
      </c>
      <c r="D126" s="10">
        <v>-1.2257256465349999</v>
      </c>
      <c r="E126" s="9" t="s">
        <v>87</v>
      </c>
      <c r="F126" s="10">
        <v>30</v>
      </c>
      <c r="G126" s="10">
        <v>0</v>
      </c>
    </row>
    <row r="127" spans="1:7" x14ac:dyDescent="0.3">
      <c r="A127" s="9" t="s">
        <v>214</v>
      </c>
      <c r="B127" s="9" t="s">
        <v>80</v>
      </c>
      <c r="C127" s="10">
        <v>11.233000000000001</v>
      </c>
      <c r="D127" s="10">
        <v>-1.9932738448559999</v>
      </c>
      <c r="E127" s="9" t="s">
        <v>87</v>
      </c>
      <c r="F127" s="10">
        <v>33</v>
      </c>
      <c r="G127" s="10">
        <v>0</v>
      </c>
    </row>
    <row r="128" spans="1:7" x14ac:dyDescent="0.3">
      <c r="A128" s="9" t="s">
        <v>214</v>
      </c>
      <c r="B128" s="9" t="s">
        <v>79</v>
      </c>
      <c r="C128" s="10">
        <v>2.6589999999999998</v>
      </c>
      <c r="D128" s="10">
        <v>-1.9932738448559999</v>
      </c>
      <c r="E128" s="9" t="s">
        <v>87</v>
      </c>
      <c r="F128" s="10">
        <v>33</v>
      </c>
      <c r="G128" s="10">
        <v>0</v>
      </c>
    </row>
    <row r="129" spans="1:7" x14ac:dyDescent="0.3">
      <c r="A129" s="9" t="s">
        <v>214</v>
      </c>
      <c r="B129" s="9" t="s">
        <v>81</v>
      </c>
      <c r="C129" s="10">
        <v>7.3949999999999996</v>
      </c>
      <c r="D129" s="10">
        <v>-1.9932738448559999</v>
      </c>
      <c r="E129" s="9" t="s">
        <v>87</v>
      </c>
      <c r="F129" s="10">
        <v>33</v>
      </c>
      <c r="G129" s="10">
        <v>0</v>
      </c>
    </row>
    <row r="130" spans="1:7" x14ac:dyDescent="0.3">
      <c r="A130" s="9" t="s">
        <v>214</v>
      </c>
      <c r="B130" s="9" t="s">
        <v>78</v>
      </c>
      <c r="C130" s="10">
        <v>5.593</v>
      </c>
      <c r="D130" s="10">
        <v>-1.9932738448559999</v>
      </c>
      <c r="E130" s="9" t="s">
        <v>87</v>
      </c>
      <c r="F130" s="10">
        <v>33</v>
      </c>
      <c r="G130" s="10">
        <v>0</v>
      </c>
    </row>
    <row r="131" spans="1:7" x14ac:dyDescent="0.3">
      <c r="A131" s="9" t="s">
        <v>214</v>
      </c>
      <c r="B131" s="9" t="s">
        <v>82</v>
      </c>
      <c r="C131" s="10">
        <v>0.53700000000000003</v>
      </c>
      <c r="D131" s="10">
        <v>-1.9932738448559999</v>
      </c>
      <c r="E131" s="9" t="s">
        <v>87</v>
      </c>
      <c r="F131" s="10">
        <v>33</v>
      </c>
      <c r="G131" s="10">
        <v>0</v>
      </c>
    </row>
    <row r="132" spans="1:7" x14ac:dyDescent="0.3">
      <c r="A132" s="9" t="s">
        <v>213</v>
      </c>
      <c r="B132" s="9" t="s">
        <v>80</v>
      </c>
      <c r="C132" s="10">
        <v>8.125</v>
      </c>
      <c r="D132" s="10">
        <v>-0.43554064498900003</v>
      </c>
      <c r="E132" s="9" t="s">
        <v>88</v>
      </c>
      <c r="F132" s="10">
        <v>31</v>
      </c>
      <c r="G132" s="10">
        <v>1</v>
      </c>
    </row>
    <row r="133" spans="1:7" x14ac:dyDescent="0.3">
      <c r="A133" s="9" t="s">
        <v>213</v>
      </c>
      <c r="B133" s="9" t="s">
        <v>79</v>
      </c>
      <c r="C133" s="10">
        <v>0.96399999999999997</v>
      </c>
      <c r="D133" s="10">
        <v>-0.43554064498900003</v>
      </c>
      <c r="E133" s="9" t="s">
        <v>88</v>
      </c>
      <c r="F133" s="10">
        <v>31</v>
      </c>
      <c r="G133" s="10">
        <v>1</v>
      </c>
    </row>
    <row r="134" spans="1:7" x14ac:dyDescent="0.3">
      <c r="A134" s="9" t="s">
        <v>213</v>
      </c>
      <c r="B134" s="9" t="s">
        <v>81</v>
      </c>
      <c r="C134" s="10">
        <v>6.3220000000000001</v>
      </c>
      <c r="D134" s="10">
        <v>-0.43554064498900003</v>
      </c>
      <c r="E134" s="9" t="s">
        <v>88</v>
      </c>
      <c r="F134" s="10">
        <v>31</v>
      </c>
      <c r="G134" s="10">
        <v>1</v>
      </c>
    </row>
    <row r="135" spans="1:7" x14ac:dyDescent="0.3">
      <c r="A135" s="9" t="s">
        <v>213</v>
      </c>
      <c r="B135" s="9" t="s">
        <v>78</v>
      </c>
      <c r="C135" s="10">
        <v>3.8570000000000002</v>
      </c>
      <c r="D135" s="10">
        <v>-0.43554064498900003</v>
      </c>
      <c r="E135" s="9" t="s">
        <v>88</v>
      </c>
      <c r="F135" s="10">
        <v>31</v>
      </c>
      <c r="G135" s="10">
        <v>1</v>
      </c>
    </row>
    <row r="136" spans="1:7" x14ac:dyDescent="0.3">
      <c r="A136" s="9" t="s">
        <v>213</v>
      </c>
      <c r="B136" s="9" t="s">
        <v>82</v>
      </c>
      <c r="C136" s="10">
        <v>0.5</v>
      </c>
      <c r="D136" s="10">
        <v>-0.43554064498900003</v>
      </c>
      <c r="E136" s="9" t="s">
        <v>88</v>
      </c>
      <c r="F136" s="10">
        <v>31</v>
      </c>
      <c r="G136" s="10">
        <v>1</v>
      </c>
    </row>
    <row r="137" spans="1:7" x14ac:dyDescent="0.3">
      <c r="A137" s="9" t="s">
        <v>212</v>
      </c>
      <c r="B137" s="9" t="s">
        <v>80</v>
      </c>
      <c r="C137" s="10">
        <v>4.5019999999999998</v>
      </c>
      <c r="D137" s="10">
        <v>5.3080804516000002E-2</v>
      </c>
      <c r="E137" s="9" t="s">
        <v>88</v>
      </c>
      <c r="F137" s="10">
        <v>35</v>
      </c>
      <c r="G137" s="10">
        <v>0</v>
      </c>
    </row>
    <row r="138" spans="1:7" x14ac:dyDescent="0.3">
      <c r="A138" s="9" t="s">
        <v>212</v>
      </c>
      <c r="B138" s="9" t="s">
        <v>79</v>
      </c>
      <c r="C138" s="10">
        <v>2.4860000000000002</v>
      </c>
      <c r="D138" s="10">
        <v>5.3080804516000002E-2</v>
      </c>
      <c r="E138" s="9" t="s">
        <v>88</v>
      </c>
      <c r="F138" s="10">
        <v>35</v>
      </c>
      <c r="G138" s="10">
        <v>0</v>
      </c>
    </row>
    <row r="139" spans="1:7" x14ac:dyDescent="0.3">
      <c r="A139" s="9" t="s">
        <v>212</v>
      </c>
      <c r="B139" s="9" t="s">
        <v>81</v>
      </c>
      <c r="C139" s="10">
        <v>6.5739999999999998</v>
      </c>
      <c r="D139" s="10">
        <v>5.3080804516000002E-2</v>
      </c>
      <c r="E139" s="9" t="s">
        <v>88</v>
      </c>
      <c r="F139" s="10">
        <v>35</v>
      </c>
      <c r="G139" s="10">
        <v>0</v>
      </c>
    </row>
    <row r="140" spans="1:7" x14ac:dyDescent="0.3">
      <c r="A140" s="9" t="s">
        <v>212</v>
      </c>
      <c r="B140" s="9" t="s">
        <v>78</v>
      </c>
      <c r="C140" s="10">
        <v>3.2080000000000002</v>
      </c>
      <c r="D140" s="10">
        <v>5.3080804516000002E-2</v>
      </c>
      <c r="E140" s="9" t="s">
        <v>88</v>
      </c>
      <c r="F140" s="10">
        <v>35</v>
      </c>
      <c r="G140" s="10">
        <v>0</v>
      </c>
    </row>
    <row r="141" spans="1:7" x14ac:dyDescent="0.3">
      <c r="A141" s="9" t="s">
        <v>212</v>
      </c>
      <c r="B141" s="9" t="s">
        <v>82</v>
      </c>
      <c r="C141" s="10">
        <v>0.59</v>
      </c>
      <c r="D141" s="10">
        <v>5.3080804516000002E-2</v>
      </c>
      <c r="E141" s="9" t="s">
        <v>88</v>
      </c>
      <c r="F141" s="10">
        <v>35</v>
      </c>
      <c r="G141" s="10">
        <v>0</v>
      </c>
    </row>
    <row r="142" spans="1:7" x14ac:dyDescent="0.3">
      <c r="A142" s="9" t="s">
        <v>211</v>
      </c>
      <c r="B142" s="9" t="s">
        <v>80</v>
      </c>
      <c r="C142" s="10">
        <v>5.8710000000000004</v>
      </c>
      <c r="D142" s="10">
        <v>0.139720078223</v>
      </c>
      <c r="E142" s="9" t="s">
        <v>88</v>
      </c>
      <c r="F142" s="10">
        <v>13</v>
      </c>
      <c r="G142" s="10">
        <v>1</v>
      </c>
    </row>
    <row r="143" spans="1:7" x14ac:dyDescent="0.3">
      <c r="A143" s="9" t="s">
        <v>211</v>
      </c>
      <c r="B143" s="9" t="s">
        <v>79</v>
      </c>
      <c r="C143" s="10">
        <v>1.135</v>
      </c>
      <c r="D143" s="10">
        <v>0.139720078223</v>
      </c>
      <c r="E143" s="9" t="s">
        <v>88</v>
      </c>
      <c r="F143" s="10">
        <v>13</v>
      </c>
      <c r="G143" s="10">
        <v>1</v>
      </c>
    </row>
    <row r="144" spans="1:7" x14ac:dyDescent="0.3">
      <c r="A144" s="9" t="s">
        <v>211</v>
      </c>
      <c r="B144" s="9" t="s">
        <v>81</v>
      </c>
      <c r="C144" s="10">
        <v>6.133</v>
      </c>
      <c r="D144" s="10">
        <v>0.139720078223</v>
      </c>
      <c r="E144" s="9" t="s">
        <v>88</v>
      </c>
      <c r="F144" s="10">
        <v>13</v>
      </c>
      <c r="G144" s="10">
        <v>1</v>
      </c>
    </row>
    <row r="145" spans="1:7" x14ac:dyDescent="0.3">
      <c r="A145" s="9" t="s">
        <v>211</v>
      </c>
      <c r="B145" s="9" t="s">
        <v>78</v>
      </c>
      <c r="C145" s="10">
        <v>3.5659999999999998</v>
      </c>
      <c r="D145" s="10">
        <v>0.139720078223</v>
      </c>
      <c r="E145" s="9" t="s">
        <v>88</v>
      </c>
      <c r="F145" s="10">
        <v>13</v>
      </c>
      <c r="G145" s="10">
        <v>1</v>
      </c>
    </row>
    <row r="146" spans="1:7" x14ac:dyDescent="0.3">
      <c r="A146" s="9" t="s">
        <v>211</v>
      </c>
      <c r="B146" s="9" t="s">
        <v>82</v>
      </c>
      <c r="C146" s="10">
        <v>0.68300000000000005</v>
      </c>
      <c r="D146" s="10">
        <v>0.139720078223</v>
      </c>
      <c r="E146" s="9" t="s">
        <v>88</v>
      </c>
      <c r="F146" s="10">
        <v>13</v>
      </c>
      <c r="G146" s="10">
        <v>1</v>
      </c>
    </row>
    <row r="147" spans="1:7" x14ac:dyDescent="0.3">
      <c r="A147" s="9" t="s">
        <v>210</v>
      </c>
      <c r="B147" s="9" t="s">
        <v>80</v>
      </c>
      <c r="C147" s="10">
        <v>5.3070000000000004</v>
      </c>
      <c r="D147" s="10">
        <v>-0.95858836826899996</v>
      </c>
      <c r="E147" s="9" t="s">
        <v>87</v>
      </c>
      <c r="F147" s="10">
        <v>8</v>
      </c>
      <c r="G147" s="10">
        <v>1</v>
      </c>
    </row>
    <row r="148" spans="1:7" x14ac:dyDescent="0.3">
      <c r="A148" s="9" t="s">
        <v>210</v>
      </c>
      <c r="B148" s="9" t="s">
        <v>79</v>
      </c>
      <c r="C148" s="10">
        <v>1.492</v>
      </c>
      <c r="D148" s="10">
        <v>-0.95858836826899996</v>
      </c>
      <c r="E148" s="9" t="s">
        <v>87</v>
      </c>
      <c r="F148" s="10">
        <v>8</v>
      </c>
      <c r="G148" s="10">
        <v>1</v>
      </c>
    </row>
    <row r="149" spans="1:7" x14ac:dyDescent="0.3">
      <c r="A149" s="9" t="s">
        <v>210</v>
      </c>
      <c r="B149" s="9" t="s">
        <v>81</v>
      </c>
      <c r="C149" s="10">
        <v>5.4249999999999998</v>
      </c>
      <c r="D149" s="10">
        <v>-0.95858836826899996</v>
      </c>
      <c r="E149" s="9" t="s">
        <v>87</v>
      </c>
      <c r="F149" s="10">
        <v>8</v>
      </c>
      <c r="G149" s="10">
        <v>1</v>
      </c>
    </row>
    <row r="150" spans="1:7" x14ac:dyDescent="0.3">
      <c r="A150" s="9" t="s">
        <v>210</v>
      </c>
      <c r="B150" s="9" t="s">
        <v>78</v>
      </c>
      <c r="C150" s="10">
        <v>3.577</v>
      </c>
      <c r="D150" s="10">
        <v>-0.95858836826899996</v>
      </c>
      <c r="E150" s="9" t="s">
        <v>87</v>
      </c>
      <c r="F150" s="10">
        <v>8</v>
      </c>
      <c r="G150" s="10">
        <v>1</v>
      </c>
    </row>
    <row r="151" spans="1:7" x14ac:dyDescent="0.3">
      <c r="A151" s="9" t="s">
        <v>210</v>
      </c>
      <c r="B151" s="9" t="s">
        <v>82</v>
      </c>
      <c r="C151" s="10">
        <v>0.71599999999999997</v>
      </c>
      <c r="D151" s="10">
        <v>-0.95858836826899996</v>
      </c>
      <c r="E151" s="9" t="s">
        <v>87</v>
      </c>
      <c r="F151" s="10">
        <v>8</v>
      </c>
      <c r="G151" s="10">
        <v>1</v>
      </c>
    </row>
    <row r="152" spans="1:7" x14ac:dyDescent="0.3">
      <c r="A152" s="9" t="s">
        <v>209</v>
      </c>
      <c r="B152" s="9" t="s">
        <v>80</v>
      </c>
      <c r="C152" s="10">
        <v>5.6040000000000001</v>
      </c>
      <c r="D152" s="10">
        <v>-1.4565695476630001</v>
      </c>
      <c r="E152" s="9" t="s">
        <v>87</v>
      </c>
      <c r="F152" s="10">
        <v>18</v>
      </c>
      <c r="G152" s="10">
        <v>0</v>
      </c>
    </row>
    <row r="153" spans="1:7" x14ac:dyDescent="0.3">
      <c r="A153" s="9" t="s">
        <v>209</v>
      </c>
      <c r="B153" s="9" t="s">
        <v>79</v>
      </c>
      <c r="C153" s="10">
        <v>0.86799999999999999</v>
      </c>
      <c r="D153" s="10">
        <v>-1.4565695476630001</v>
      </c>
      <c r="E153" s="9" t="s">
        <v>87</v>
      </c>
      <c r="F153" s="10">
        <v>18</v>
      </c>
      <c r="G153" s="10">
        <v>0</v>
      </c>
    </row>
    <row r="154" spans="1:7" x14ac:dyDescent="0.3">
      <c r="A154" s="9" t="s">
        <v>209</v>
      </c>
      <c r="B154" s="9" t="s">
        <v>81</v>
      </c>
      <c r="C154" s="10">
        <v>6.8010000000000002</v>
      </c>
      <c r="D154" s="10">
        <v>-1.4565695476630001</v>
      </c>
      <c r="E154" s="9" t="s">
        <v>87</v>
      </c>
      <c r="F154" s="10">
        <v>18</v>
      </c>
      <c r="G154" s="10">
        <v>0</v>
      </c>
    </row>
    <row r="155" spans="1:7" x14ac:dyDescent="0.3">
      <c r="A155" s="9" t="s">
        <v>209</v>
      </c>
      <c r="B155" s="9" t="s">
        <v>78</v>
      </c>
      <c r="C155" s="10">
        <v>3.9369999999999998</v>
      </c>
      <c r="D155" s="10">
        <v>-1.4565695476630001</v>
      </c>
      <c r="E155" s="9" t="s">
        <v>87</v>
      </c>
      <c r="F155" s="10">
        <v>18</v>
      </c>
      <c r="G155" s="10">
        <v>0</v>
      </c>
    </row>
    <row r="156" spans="1:7" x14ac:dyDescent="0.3">
      <c r="A156" s="9" t="s">
        <v>209</v>
      </c>
      <c r="B156" s="9" t="s">
        <v>82</v>
      </c>
      <c r="C156" s="10">
        <v>1.258</v>
      </c>
      <c r="D156" s="10">
        <v>-1.4565695476630001</v>
      </c>
      <c r="E156" s="9" t="s">
        <v>87</v>
      </c>
      <c r="F156" s="10">
        <v>18</v>
      </c>
      <c r="G156" s="10">
        <v>0</v>
      </c>
    </row>
    <row r="157" spans="1:7" x14ac:dyDescent="0.3">
      <c r="A157" s="9" t="s">
        <v>208</v>
      </c>
      <c r="B157" s="9" t="s">
        <v>80</v>
      </c>
      <c r="C157" s="10">
        <v>5.2679999999999998</v>
      </c>
      <c r="D157" s="10">
        <v>-0.400715210386</v>
      </c>
      <c r="E157" s="9" t="s">
        <v>88</v>
      </c>
      <c r="F157" s="10">
        <v>4</v>
      </c>
      <c r="G157" s="10">
        <v>1</v>
      </c>
    </row>
    <row r="158" spans="1:7" x14ac:dyDescent="0.3">
      <c r="A158" s="9" t="s">
        <v>208</v>
      </c>
      <c r="B158" s="9" t="s">
        <v>79</v>
      </c>
      <c r="C158" s="10">
        <v>1.3109999999999999</v>
      </c>
      <c r="D158" s="10">
        <v>-0.400715210386</v>
      </c>
      <c r="E158" s="9" t="s">
        <v>88</v>
      </c>
      <c r="F158" s="10">
        <v>4</v>
      </c>
      <c r="G158" s="10">
        <v>1</v>
      </c>
    </row>
    <row r="159" spans="1:7" x14ac:dyDescent="0.3">
      <c r="A159" s="9" t="s">
        <v>208</v>
      </c>
      <c r="B159" s="9" t="s">
        <v>81</v>
      </c>
      <c r="C159" s="10">
        <v>5.9950000000000001</v>
      </c>
      <c r="D159" s="10">
        <v>-0.400715210386</v>
      </c>
      <c r="E159" s="9" t="s">
        <v>88</v>
      </c>
      <c r="F159" s="10">
        <v>4</v>
      </c>
      <c r="G159" s="10">
        <v>1</v>
      </c>
    </row>
    <row r="160" spans="1:7" x14ac:dyDescent="0.3">
      <c r="A160" s="9" t="s">
        <v>208</v>
      </c>
      <c r="B160" s="9" t="s">
        <v>78</v>
      </c>
      <c r="C160" s="10">
        <v>3.9620000000000002</v>
      </c>
      <c r="D160" s="10">
        <v>-0.400715210386</v>
      </c>
      <c r="E160" s="9" t="s">
        <v>88</v>
      </c>
      <c r="F160" s="10">
        <v>4</v>
      </c>
      <c r="G160" s="10">
        <v>1</v>
      </c>
    </row>
    <row r="161" spans="1:7" x14ac:dyDescent="0.3">
      <c r="A161" s="9" t="s">
        <v>208</v>
      </c>
      <c r="B161" s="9" t="s">
        <v>82</v>
      </c>
      <c r="C161" s="10">
        <v>0.90600000000000003</v>
      </c>
      <c r="D161" s="10">
        <v>-0.400715210386</v>
      </c>
      <c r="E161" s="9" t="s">
        <v>88</v>
      </c>
      <c r="F161" s="10">
        <v>4</v>
      </c>
      <c r="G161" s="10">
        <v>1</v>
      </c>
    </row>
    <row r="162" spans="1:7" x14ac:dyDescent="0.3">
      <c r="A162" s="9" t="s">
        <v>207</v>
      </c>
      <c r="B162" s="9" t="s">
        <v>80</v>
      </c>
      <c r="C162" s="10">
        <v>6.9939999999999998</v>
      </c>
      <c r="D162" s="10">
        <v>0.49871903530599998</v>
      </c>
      <c r="E162" s="9" t="s">
        <v>88</v>
      </c>
      <c r="F162" s="10">
        <v>22</v>
      </c>
      <c r="G162" s="10">
        <v>0</v>
      </c>
    </row>
    <row r="163" spans="1:7" x14ac:dyDescent="0.3">
      <c r="A163" s="9" t="s">
        <v>207</v>
      </c>
      <c r="B163" s="9" t="s">
        <v>79</v>
      </c>
      <c r="C163" s="10">
        <v>0.8</v>
      </c>
      <c r="D163" s="10">
        <v>0.49871903530599998</v>
      </c>
      <c r="E163" s="9" t="s">
        <v>88</v>
      </c>
      <c r="F163" s="10">
        <v>22</v>
      </c>
      <c r="G163" s="10">
        <v>0</v>
      </c>
    </row>
    <row r="164" spans="1:7" x14ac:dyDescent="0.3">
      <c r="A164" s="9" t="s">
        <v>207</v>
      </c>
      <c r="B164" s="9" t="s">
        <v>81</v>
      </c>
      <c r="C164" s="10">
        <v>6.09</v>
      </c>
      <c r="D164" s="10">
        <v>0.49871903530599998</v>
      </c>
      <c r="E164" s="9" t="s">
        <v>88</v>
      </c>
      <c r="F164" s="10">
        <v>22</v>
      </c>
      <c r="G164" s="10">
        <v>0</v>
      </c>
    </row>
    <row r="165" spans="1:7" x14ac:dyDescent="0.3">
      <c r="A165" s="9" t="s">
        <v>207</v>
      </c>
      <c r="B165" s="9" t="s">
        <v>78</v>
      </c>
      <c r="C165" s="10">
        <v>3.6219999999999999</v>
      </c>
      <c r="D165" s="10">
        <v>0.49871903530599998</v>
      </c>
      <c r="E165" s="9" t="s">
        <v>88</v>
      </c>
      <c r="F165" s="10">
        <v>22</v>
      </c>
      <c r="G165" s="10">
        <v>0</v>
      </c>
    </row>
    <row r="166" spans="1:7" x14ac:dyDescent="0.3">
      <c r="A166" s="9" t="s">
        <v>207</v>
      </c>
      <c r="B166" s="9" t="s">
        <v>82</v>
      </c>
      <c r="C166" s="10">
        <v>1.1200000000000001</v>
      </c>
      <c r="D166" s="10">
        <v>0.49871903530599998</v>
      </c>
      <c r="E166" s="9" t="s">
        <v>88</v>
      </c>
      <c r="F166" s="10">
        <v>22</v>
      </c>
      <c r="G166" s="10">
        <v>0</v>
      </c>
    </row>
    <row r="167" spans="1:7" x14ac:dyDescent="0.3">
      <c r="A167" s="9" t="s">
        <v>206</v>
      </c>
      <c r="B167" s="9" t="s">
        <v>80</v>
      </c>
      <c r="C167" s="10">
        <v>7.0369999999999999</v>
      </c>
      <c r="D167" s="10">
        <v>0.28355623333300001</v>
      </c>
      <c r="E167" s="9" t="s">
        <v>88</v>
      </c>
      <c r="F167" s="10">
        <v>6</v>
      </c>
      <c r="G167" s="10">
        <v>1</v>
      </c>
    </row>
    <row r="168" spans="1:7" x14ac:dyDescent="0.3">
      <c r="A168" s="9" t="s">
        <v>206</v>
      </c>
      <c r="B168" s="9" t="s">
        <v>79</v>
      </c>
      <c r="C168" s="10">
        <v>0.55900000000000005</v>
      </c>
      <c r="D168" s="10">
        <v>0.28355623333300001</v>
      </c>
      <c r="E168" s="9" t="s">
        <v>88</v>
      </c>
      <c r="F168" s="10">
        <v>6</v>
      </c>
      <c r="G168" s="10">
        <v>1</v>
      </c>
    </row>
    <row r="169" spans="1:7" x14ac:dyDescent="0.3">
      <c r="A169" s="9" t="s">
        <v>206</v>
      </c>
      <c r="B169" s="9" t="s">
        <v>81</v>
      </c>
      <c r="C169" s="10">
        <v>6.9379999999999997</v>
      </c>
      <c r="D169" s="10">
        <v>0.28355623333300001</v>
      </c>
      <c r="E169" s="9" t="s">
        <v>88</v>
      </c>
      <c r="F169" s="10">
        <v>6</v>
      </c>
      <c r="G169" s="10">
        <v>1</v>
      </c>
    </row>
    <row r="170" spans="1:7" x14ac:dyDescent="0.3">
      <c r="A170" s="9" t="s">
        <v>206</v>
      </c>
      <c r="B170" s="9" t="s">
        <v>78</v>
      </c>
      <c r="C170" s="10">
        <v>3.617</v>
      </c>
      <c r="D170" s="10">
        <v>0.28355623333300001</v>
      </c>
      <c r="E170" s="9" t="s">
        <v>88</v>
      </c>
      <c r="F170" s="10">
        <v>6</v>
      </c>
      <c r="G170" s="10">
        <v>1</v>
      </c>
    </row>
    <row r="171" spans="1:7" x14ac:dyDescent="0.3">
      <c r="A171" s="9" t="s">
        <v>206</v>
      </c>
      <c r="B171" s="9" t="s">
        <v>82</v>
      </c>
      <c r="C171" s="10">
        <v>1.9850000000000001</v>
      </c>
      <c r="D171" s="10">
        <v>0.28355623333300001</v>
      </c>
      <c r="E171" s="9" t="s">
        <v>88</v>
      </c>
      <c r="F171" s="10">
        <v>6</v>
      </c>
      <c r="G171" s="10">
        <v>1</v>
      </c>
    </row>
    <row r="172" spans="1:7" x14ac:dyDescent="0.3">
      <c r="A172" s="9" t="s">
        <v>205</v>
      </c>
      <c r="B172" s="9" t="s">
        <v>80</v>
      </c>
      <c r="C172" s="10">
        <v>5.5819999999999999</v>
      </c>
      <c r="D172" s="10">
        <v>-0.84741554603500002</v>
      </c>
      <c r="E172" s="9" t="s">
        <v>87</v>
      </c>
      <c r="F172" s="10">
        <v>10</v>
      </c>
      <c r="G172" s="10">
        <v>1</v>
      </c>
    </row>
    <row r="173" spans="1:7" x14ac:dyDescent="0.3">
      <c r="A173" s="9" t="s">
        <v>205</v>
      </c>
      <c r="B173" s="9" t="s">
        <v>79</v>
      </c>
      <c r="C173" s="10">
        <v>0.89300000000000002</v>
      </c>
      <c r="D173" s="10">
        <v>-0.84741554603500002</v>
      </c>
      <c r="E173" s="9" t="s">
        <v>87</v>
      </c>
      <c r="F173" s="10">
        <v>10</v>
      </c>
      <c r="G173" s="10">
        <v>1</v>
      </c>
    </row>
    <row r="174" spans="1:7" x14ac:dyDescent="0.3">
      <c r="A174" s="9" t="s">
        <v>205</v>
      </c>
      <c r="B174" s="9" t="s">
        <v>81</v>
      </c>
      <c r="C174" s="10">
        <v>5.8940000000000001</v>
      </c>
      <c r="D174" s="10">
        <v>-0.84741554603500002</v>
      </c>
      <c r="E174" s="9" t="s">
        <v>87</v>
      </c>
      <c r="F174" s="10">
        <v>10</v>
      </c>
      <c r="G174" s="10">
        <v>1</v>
      </c>
    </row>
    <row r="175" spans="1:7" x14ac:dyDescent="0.3">
      <c r="A175" s="9" t="s">
        <v>205</v>
      </c>
      <c r="B175" s="9" t="s">
        <v>78</v>
      </c>
      <c r="C175" s="10">
        <v>2.9340000000000002</v>
      </c>
      <c r="D175" s="10">
        <v>-0.84741554603500002</v>
      </c>
      <c r="E175" s="9" t="s">
        <v>87</v>
      </c>
      <c r="F175" s="10">
        <v>10</v>
      </c>
      <c r="G175" s="10">
        <v>1</v>
      </c>
    </row>
    <row r="176" spans="1:7" x14ac:dyDescent="0.3">
      <c r="A176" s="9" t="s">
        <v>205</v>
      </c>
      <c r="B176" s="9" t="s">
        <v>82</v>
      </c>
      <c r="C176" s="10">
        <v>1.2969999999999999</v>
      </c>
      <c r="D176" s="10">
        <v>-0.84741554603500002</v>
      </c>
      <c r="E176" s="9" t="s">
        <v>87</v>
      </c>
      <c r="F176" s="10">
        <v>10</v>
      </c>
      <c r="G176" s="10">
        <v>1</v>
      </c>
    </row>
    <row r="177" spans="1:7" x14ac:dyDescent="0.3">
      <c r="A177" s="9" t="s">
        <v>204</v>
      </c>
      <c r="B177" s="9" t="s">
        <v>80</v>
      </c>
      <c r="C177" s="10">
        <v>6.5410000000000004</v>
      </c>
      <c r="D177" s="10">
        <v>-1.3931486030269999</v>
      </c>
      <c r="E177" s="9" t="s">
        <v>87</v>
      </c>
      <c r="F177" s="10">
        <v>25</v>
      </c>
      <c r="G177" s="10">
        <v>0</v>
      </c>
    </row>
    <row r="178" spans="1:7" x14ac:dyDescent="0.3">
      <c r="A178" s="9" t="s">
        <v>204</v>
      </c>
      <c r="B178" s="9" t="s">
        <v>79</v>
      </c>
      <c r="C178" s="10">
        <v>0.66400000000000003</v>
      </c>
      <c r="D178" s="10">
        <v>-1.3931486030269999</v>
      </c>
      <c r="E178" s="9" t="s">
        <v>87</v>
      </c>
      <c r="F178" s="10">
        <v>25</v>
      </c>
      <c r="G178" s="10">
        <v>0</v>
      </c>
    </row>
    <row r="179" spans="1:7" x14ac:dyDescent="0.3">
      <c r="A179" s="9" t="s">
        <v>204</v>
      </c>
      <c r="B179" s="9" t="s">
        <v>81</v>
      </c>
      <c r="C179" s="10">
        <v>5.2889999999999997</v>
      </c>
      <c r="D179" s="10">
        <v>-1.3931486030269999</v>
      </c>
      <c r="E179" s="9" t="s">
        <v>87</v>
      </c>
      <c r="F179" s="10">
        <v>25</v>
      </c>
      <c r="G179" s="10">
        <v>0</v>
      </c>
    </row>
    <row r="180" spans="1:7" x14ac:dyDescent="0.3">
      <c r="A180" s="9" t="s">
        <v>204</v>
      </c>
      <c r="B180" s="9" t="s">
        <v>78</v>
      </c>
      <c r="C180" s="10">
        <v>4.1989999999999998</v>
      </c>
      <c r="D180" s="10">
        <v>-1.3931486030269999</v>
      </c>
      <c r="E180" s="9" t="s">
        <v>87</v>
      </c>
      <c r="F180" s="10">
        <v>25</v>
      </c>
      <c r="G180" s="10">
        <v>0</v>
      </c>
    </row>
    <row r="181" spans="1:7" x14ac:dyDescent="0.3">
      <c r="A181" s="9" t="s">
        <v>204</v>
      </c>
      <c r="B181" s="9" t="s">
        <v>82</v>
      </c>
      <c r="C181" s="10">
        <v>0.64800000000000002</v>
      </c>
      <c r="D181" s="10">
        <v>-1.3931486030269999</v>
      </c>
      <c r="E181" s="9" t="s">
        <v>87</v>
      </c>
      <c r="F181" s="10">
        <v>25</v>
      </c>
      <c r="G181" s="10">
        <v>0</v>
      </c>
    </row>
    <row r="182" spans="1:7" x14ac:dyDescent="0.3">
      <c r="A182" s="9" t="s">
        <v>203</v>
      </c>
      <c r="B182" s="9" t="s">
        <v>80</v>
      </c>
      <c r="C182" s="10">
        <v>7.2450000000000001</v>
      </c>
      <c r="D182" s="10">
        <v>-0.43508338322200002</v>
      </c>
      <c r="E182" s="9" t="s">
        <v>88</v>
      </c>
      <c r="F182" s="10">
        <v>18</v>
      </c>
      <c r="G182" s="10">
        <v>1</v>
      </c>
    </row>
    <row r="183" spans="1:7" x14ac:dyDescent="0.3">
      <c r="A183" s="9" t="s">
        <v>203</v>
      </c>
      <c r="B183" s="9" t="s">
        <v>79</v>
      </c>
      <c r="C183" s="10">
        <v>0.53600000000000003</v>
      </c>
      <c r="D183" s="10">
        <v>-0.43508338322200002</v>
      </c>
      <c r="E183" s="9" t="s">
        <v>88</v>
      </c>
      <c r="F183" s="10">
        <v>18</v>
      </c>
      <c r="G183" s="10">
        <v>1</v>
      </c>
    </row>
    <row r="184" spans="1:7" x14ac:dyDescent="0.3">
      <c r="A184" s="9" t="s">
        <v>203</v>
      </c>
      <c r="B184" s="9" t="s">
        <v>81</v>
      </c>
      <c r="C184" s="10">
        <v>6.4160000000000004</v>
      </c>
      <c r="D184" s="10">
        <v>-0.43508338322200002</v>
      </c>
      <c r="E184" s="9" t="s">
        <v>88</v>
      </c>
      <c r="F184" s="10">
        <v>18</v>
      </c>
      <c r="G184" s="10">
        <v>1</v>
      </c>
    </row>
    <row r="185" spans="1:7" x14ac:dyDescent="0.3">
      <c r="A185" s="9" t="s">
        <v>203</v>
      </c>
      <c r="B185" s="9" t="s">
        <v>78</v>
      </c>
      <c r="C185" s="10">
        <v>4.056</v>
      </c>
      <c r="D185" s="10">
        <v>-0.43508338322200002</v>
      </c>
      <c r="E185" s="9" t="s">
        <v>88</v>
      </c>
      <c r="F185" s="10">
        <v>18</v>
      </c>
      <c r="G185" s="10">
        <v>1</v>
      </c>
    </row>
    <row r="186" spans="1:7" x14ac:dyDescent="0.3">
      <c r="A186" s="9" t="s">
        <v>203</v>
      </c>
      <c r="B186" s="9" t="s">
        <v>82</v>
      </c>
      <c r="C186" s="10">
        <v>0.61599999999999999</v>
      </c>
      <c r="D186" s="10">
        <v>-0.43508338322200002</v>
      </c>
      <c r="E186" s="9" t="s">
        <v>88</v>
      </c>
      <c r="F186" s="10">
        <v>18</v>
      </c>
      <c r="G186" s="10">
        <v>1</v>
      </c>
    </row>
    <row r="187" spans="1:7" x14ac:dyDescent="0.3">
      <c r="A187" s="9" t="s">
        <v>202</v>
      </c>
      <c r="B187" s="9" t="s">
        <v>80</v>
      </c>
      <c r="C187" s="10">
        <v>3.3769999999999998</v>
      </c>
      <c r="D187" s="10">
        <v>0.10322741223</v>
      </c>
      <c r="E187" s="9" t="s">
        <v>88</v>
      </c>
      <c r="F187" s="10">
        <v>13</v>
      </c>
      <c r="G187" s="10">
        <v>1</v>
      </c>
    </row>
    <row r="188" spans="1:7" x14ac:dyDescent="0.3">
      <c r="A188" s="9" t="s">
        <v>202</v>
      </c>
      <c r="B188" s="9" t="s">
        <v>79</v>
      </c>
      <c r="C188" s="10">
        <v>0.77700000000000002</v>
      </c>
      <c r="D188" s="10">
        <v>0.10322741223</v>
      </c>
      <c r="E188" s="9" t="s">
        <v>88</v>
      </c>
      <c r="F188" s="10">
        <v>13</v>
      </c>
      <c r="G188" s="10">
        <v>1</v>
      </c>
    </row>
    <row r="189" spans="1:7" x14ac:dyDescent="0.3">
      <c r="A189" s="9" t="s">
        <v>202</v>
      </c>
      <c r="B189" s="9" t="s">
        <v>81</v>
      </c>
      <c r="C189" s="10">
        <v>5.1660000000000004</v>
      </c>
      <c r="D189" s="10">
        <v>0.10322741223</v>
      </c>
      <c r="E189" s="9" t="s">
        <v>88</v>
      </c>
      <c r="F189" s="10">
        <v>13</v>
      </c>
      <c r="G189" s="10">
        <v>1</v>
      </c>
    </row>
    <row r="190" spans="1:7" x14ac:dyDescent="0.3">
      <c r="A190" s="9" t="s">
        <v>202</v>
      </c>
      <c r="B190" s="9" t="s">
        <v>78</v>
      </c>
      <c r="C190" s="10">
        <v>3.6389999999999998</v>
      </c>
      <c r="D190" s="10">
        <v>0.10322741223</v>
      </c>
      <c r="E190" s="9" t="s">
        <v>88</v>
      </c>
      <c r="F190" s="10">
        <v>13</v>
      </c>
      <c r="G190" s="10">
        <v>1</v>
      </c>
    </row>
    <row r="191" spans="1:7" x14ac:dyDescent="0.3">
      <c r="A191" s="9" t="s">
        <v>202</v>
      </c>
      <c r="B191" s="9" t="s">
        <v>82</v>
      </c>
      <c r="C191" s="10">
        <v>1.32</v>
      </c>
      <c r="D191" s="10">
        <v>0.10322741223</v>
      </c>
      <c r="E191" s="9" t="s">
        <v>88</v>
      </c>
      <c r="F191" s="10">
        <v>13</v>
      </c>
      <c r="G191" s="10">
        <v>1</v>
      </c>
    </row>
    <row r="192" spans="1:7" x14ac:dyDescent="0.3">
      <c r="A192" s="9" t="s">
        <v>201</v>
      </c>
      <c r="B192" s="9" t="s">
        <v>80</v>
      </c>
      <c r="C192" s="10">
        <v>6.335</v>
      </c>
      <c r="D192" s="10">
        <v>5.9474551574000001E-2</v>
      </c>
      <c r="E192" s="9" t="s">
        <v>88</v>
      </c>
      <c r="F192" s="10">
        <v>19</v>
      </c>
      <c r="G192" s="10">
        <v>0</v>
      </c>
    </row>
    <row r="193" spans="1:7" x14ac:dyDescent="0.3">
      <c r="A193" s="9" t="s">
        <v>201</v>
      </c>
      <c r="B193" s="9" t="s">
        <v>79</v>
      </c>
      <c r="C193" s="10">
        <v>1.0580000000000001</v>
      </c>
      <c r="D193" s="10">
        <v>5.9474551574000001E-2</v>
      </c>
      <c r="E193" s="9" t="s">
        <v>88</v>
      </c>
      <c r="F193" s="10">
        <v>19</v>
      </c>
      <c r="G193" s="10">
        <v>0</v>
      </c>
    </row>
    <row r="194" spans="1:7" x14ac:dyDescent="0.3">
      <c r="A194" s="9" t="s">
        <v>201</v>
      </c>
      <c r="B194" s="9" t="s">
        <v>81</v>
      </c>
      <c r="C194" s="10">
        <v>5.5410000000000004</v>
      </c>
      <c r="D194" s="10">
        <v>5.9474551574000001E-2</v>
      </c>
      <c r="E194" s="9" t="s">
        <v>88</v>
      </c>
      <c r="F194" s="10">
        <v>19</v>
      </c>
      <c r="G194" s="10">
        <v>0</v>
      </c>
    </row>
    <row r="195" spans="1:7" x14ac:dyDescent="0.3">
      <c r="A195" s="9" t="s">
        <v>201</v>
      </c>
      <c r="B195" s="9" t="s">
        <v>78</v>
      </c>
      <c r="C195" s="10">
        <v>3.823</v>
      </c>
      <c r="D195" s="10">
        <v>5.9474551574000001E-2</v>
      </c>
      <c r="E195" s="9" t="s">
        <v>88</v>
      </c>
      <c r="F195" s="10">
        <v>19</v>
      </c>
      <c r="G195" s="10">
        <v>0</v>
      </c>
    </row>
    <row r="196" spans="1:7" x14ac:dyDescent="0.3">
      <c r="A196" s="9" t="s">
        <v>201</v>
      </c>
      <c r="B196" s="9" t="s">
        <v>82</v>
      </c>
      <c r="C196" s="10">
        <v>0.51900000000000002</v>
      </c>
      <c r="D196" s="10">
        <v>5.9474551574000001E-2</v>
      </c>
      <c r="E196" s="9" t="s">
        <v>88</v>
      </c>
      <c r="F196" s="10">
        <v>19</v>
      </c>
      <c r="G196" s="10">
        <v>0</v>
      </c>
    </row>
    <row r="197" spans="1:7" x14ac:dyDescent="0.3">
      <c r="A197" s="9" t="s">
        <v>200</v>
      </c>
      <c r="B197" s="9" t="s">
        <v>80</v>
      </c>
      <c r="C197" s="10">
        <v>4.5640000000000001</v>
      </c>
      <c r="D197" s="10">
        <v>-0.91734203511900003</v>
      </c>
      <c r="E197" s="9" t="s">
        <v>87</v>
      </c>
      <c r="F197" s="10">
        <v>21</v>
      </c>
      <c r="G197" s="10">
        <v>0</v>
      </c>
    </row>
    <row r="198" spans="1:7" x14ac:dyDescent="0.3">
      <c r="A198" s="9" t="s">
        <v>200</v>
      </c>
      <c r="B198" s="9" t="s">
        <v>79</v>
      </c>
      <c r="C198" s="10">
        <v>0.70599999999999996</v>
      </c>
      <c r="D198" s="10">
        <v>-0.91734203511900003</v>
      </c>
      <c r="E198" s="9" t="s">
        <v>87</v>
      </c>
      <c r="F198" s="10">
        <v>21</v>
      </c>
      <c r="G198" s="10">
        <v>0</v>
      </c>
    </row>
    <row r="199" spans="1:7" x14ac:dyDescent="0.3">
      <c r="A199" s="9" t="s">
        <v>200</v>
      </c>
      <c r="B199" s="9" t="s">
        <v>81</v>
      </c>
      <c r="C199" s="10">
        <v>7.0949999999999998</v>
      </c>
      <c r="D199" s="10">
        <v>-0.91734203511900003</v>
      </c>
      <c r="E199" s="9" t="s">
        <v>87</v>
      </c>
      <c r="F199" s="10">
        <v>21</v>
      </c>
      <c r="G199" s="10">
        <v>0</v>
      </c>
    </row>
    <row r="200" spans="1:7" x14ac:dyDescent="0.3">
      <c r="A200" s="9" t="s">
        <v>200</v>
      </c>
      <c r="B200" s="9" t="s">
        <v>78</v>
      </c>
      <c r="C200" s="10">
        <v>4.2480000000000002</v>
      </c>
      <c r="D200" s="10">
        <v>-0.91734203511900003</v>
      </c>
      <c r="E200" s="9" t="s">
        <v>87</v>
      </c>
      <c r="F200" s="10">
        <v>21</v>
      </c>
      <c r="G200" s="10">
        <v>0</v>
      </c>
    </row>
    <row r="201" spans="1:7" x14ac:dyDescent="0.3">
      <c r="A201" s="9" t="s">
        <v>200</v>
      </c>
      <c r="B201" s="9" t="s">
        <v>82</v>
      </c>
      <c r="C201" s="10">
        <v>0.54300000000000004</v>
      </c>
      <c r="D201" s="10">
        <v>-0.91734203511900003</v>
      </c>
      <c r="E201" s="9" t="s">
        <v>87</v>
      </c>
      <c r="F201" s="10">
        <v>21</v>
      </c>
      <c r="G201" s="10">
        <v>0</v>
      </c>
    </row>
    <row r="202" spans="1:7" x14ac:dyDescent="0.3">
      <c r="A202" s="9" t="s">
        <v>199</v>
      </c>
      <c r="B202" s="9" t="s">
        <v>80</v>
      </c>
      <c r="C202" s="10">
        <v>5.8179999999999996</v>
      </c>
      <c r="D202" s="10">
        <v>-1.2877305302669999</v>
      </c>
      <c r="E202" s="9" t="s">
        <v>87</v>
      </c>
      <c r="F202" s="10">
        <v>23</v>
      </c>
      <c r="G202" s="10">
        <v>0</v>
      </c>
    </row>
    <row r="203" spans="1:7" x14ac:dyDescent="0.3">
      <c r="A203" s="9" t="s">
        <v>199</v>
      </c>
      <c r="B203" s="9" t="s">
        <v>79</v>
      </c>
      <c r="C203" s="10">
        <v>0.93200000000000005</v>
      </c>
      <c r="D203" s="10">
        <v>-1.2877305302669999</v>
      </c>
      <c r="E203" s="9" t="s">
        <v>87</v>
      </c>
      <c r="F203" s="10">
        <v>23</v>
      </c>
      <c r="G203" s="10">
        <v>0</v>
      </c>
    </row>
    <row r="204" spans="1:7" x14ac:dyDescent="0.3">
      <c r="A204" s="9" t="s">
        <v>199</v>
      </c>
      <c r="B204" s="9" t="s">
        <v>81</v>
      </c>
      <c r="C204" s="10">
        <v>5.3710000000000004</v>
      </c>
      <c r="D204" s="10">
        <v>-1.2877305302669999</v>
      </c>
      <c r="E204" s="9" t="s">
        <v>87</v>
      </c>
      <c r="F204" s="10">
        <v>23</v>
      </c>
      <c r="G204" s="10">
        <v>0</v>
      </c>
    </row>
    <row r="205" spans="1:7" x14ac:dyDescent="0.3">
      <c r="A205" s="9" t="s">
        <v>199</v>
      </c>
      <c r="B205" s="9" t="s">
        <v>78</v>
      </c>
      <c r="C205" s="10">
        <v>3.714</v>
      </c>
      <c r="D205" s="10">
        <v>-1.2877305302669999</v>
      </c>
      <c r="E205" s="9" t="s">
        <v>87</v>
      </c>
      <c r="F205" s="10">
        <v>23</v>
      </c>
      <c r="G205" s="10">
        <v>0</v>
      </c>
    </row>
    <row r="206" spans="1:7" x14ac:dyDescent="0.3">
      <c r="A206" s="9" t="s">
        <v>199</v>
      </c>
      <c r="B206" s="9" t="s">
        <v>82</v>
      </c>
      <c r="C206" s="10">
        <v>0.77600000000000002</v>
      </c>
      <c r="D206" s="10">
        <v>-1.2877305302669999</v>
      </c>
      <c r="E206" s="9" t="s">
        <v>87</v>
      </c>
      <c r="F206" s="10">
        <v>23</v>
      </c>
      <c r="G206" s="10">
        <v>0</v>
      </c>
    </row>
    <row r="207" spans="1:7" x14ac:dyDescent="0.3">
      <c r="A207" s="9" t="s">
        <v>198</v>
      </c>
      <c r="B207" s="9" t="s">
        <v>80</v>
      </c>
      <c r="C207" s="10">
        <v>6.8529999999999998</v>
      </c>
      <c r="D207" s="10">
        <v>-0.48825691272400001</v>
      </c>
      <c r="E207" s="9" t="s">
        <v>87</v>
      </c>
      <c r="F207" s="10">
        <v>15</v>
      </c>
      <c r="G207" s="10">
        <v>1</v>
      </c>
    </row>
    <row r="208" spans="1:7" x14ac:dyDescent="0.3">
      <c r="A208" s="9" t="s">
        <v>198</v>
      </c>
      <c r="B208" s="9" t="s">
        <v>79</v>
      </c>
      <c r="C208" s="10">
        <v>0.75700000000000001</v>
      </c>
      <c r="D208" s="10">
        <v>-0.48825691272400001</v>
      </c>
      <c r="E208" s="9" t="s">
        <v>87</v>
      </c>
      <c r="F208" s="10">
        <v>15</v>
      </c>
      <c r="G208" s="10">
        <v>1</v>
      </c>
    </row>
    <row r="209" spans="1:7" x14ac:dyDescent="0.3">
      <c r="A209" s="9" t="s">
        <v>198</v>
      </c>
      <c r="B209" s="9" t="s">
        <v>81</v>
      </c>
      <c r="C209" s="10">
        <v>6.298</v>
      </c>
      <c r="D209" s="10">
        <v>-0.48825691272400001</v>
      </c>
      <c r="E209" s="9" t="s">
        <v>87</v>
      </c>
      <c r="F209" s="10">
        <v>15</v>
      </c>
      <c r="G209" s="10">
        <v>1</v>
      </c>
    </row>
    <row r="210" spans="1:7" x14ac:dyDescent="0.3">
      <c r="A210" s="9" t="s">
        <v>198</v>
      </c>
      <c r="B210" s="9" t="s">
        <v>78</v>
      </c>
      <c r="C210" s="10">
        <v>3.472</v>
      </c>
      <c r="D210" s="10">
        <v>-0.48825691272400001</v>
      </c>
      <c r="E210" s="9" t="s">
        <v>87</v>
      </c>
      <c r="F210" s="10">
        <v>15</v>
      </c>
      <c r="G210" s="10">
        <v>1</v>
      </c>
    </row>
    <row r="211" spans="1:7" x14ac:dyDescent="0.3">
      <c r="A211" s="9" t="s">
        <v>198</v>
      </c>
      <c r="B211" s="9" t="s">
        <v>82</v>
      </c>
      <c r="C211" s="10">
        <v>0.70399999999999996</v>
      </c>
      <c r="D211" s="10">
        <v>-0.48825691272400001</v>
      </c>
      <c r="E211" s="9" t="s">
        <v>87</v>
      </c>
      <c r="F211" s="10">
        <v>15</v>
      </c>
      <c r="G211" s="10">
        <v>1</v>
      </c>
    </row>
    <row r="212" spans="1:7" x14ac:dyDescent="0.3">
      <c r="A212" s="9" t="s">
        <v>197</v>
      </c>
      <c r="B212" s="9" t="s">
        <v>80</v>
      </c>
      <c r="C212" s="10">
        <v>8.4489999999999998</v>
      </c>
      <c r="D212" s="10">
        <v>0.57533262981</v>
      </c>
      <c r="E212" s="9" t="s">
        <v>88</v>
      </c>
      <c r="F212" s="10">
        <v>11</v>
      </c>
      <c r="G212" s="10">
        <v>1</v>
      </c>
    </row>
    <row r="213" spans="1:7" x14ac:dyDescent="0.3">
      <c r="A213" s="9" t="s">
        <v>197</v>
      </c>
      <c r="B213" s="9" t="s">
        <v>79</v>
      </c>
      <c r="C213" s="10">
        <v>1.825</v>
      </c>
      <c r="D213" s="10">
        <v>0.57533262981</v>
      </c>
      <c r="E213" s="9" t="s">
        <v>88</v>
      </c>
      <c r="F213" s="10">
        <v>11</v>
      </c>
      <c r="G213" s="10">
        <v>1</v>
      </c>
    </row>
    <row r="214" spans="1:7" x14ac:dyDescent="0.3">
      <c r="A214" s="9" t="s">
        <v>197</v>
      </c>
      <c r="B214" s="9" t="s">
        <v>81</v>
      </c>
      <c r="C214" s="10">
        <v>6.6829999999999998</v>
      </c>
      <c r="D214" s="10">
        <v>0.57533262981</v>
      </c>
      <c r="E214" s="9" t="s">
        <v>88</v>
      </c>
      <c r="F214" s="10">
        <v>11</v>
      </c>
      <c r="G214" s="10">
        <v>1</v>
      </c>
    </row>
    <row r="215" spans="1:7" x14ac:dyDescent="0.3">
      <c r="A215" s="9" t="s">
        <v>197</v>
      </c>
      <c r="B215" s="9" t="s">
        <v>78</v>
      </c>
      <c r="C215" s="10">
        <v>4.3120000000000003</v>
      </c>
      <c r="D215" s="10">
        <v>0.57533262981</v>
      </c>
      <c r="E215" s="9" t="s">
        <v>88</v>
      </c>
      <c r="F215" s="10">
        <v>11</v>
      </c>
      <c r="G215" s="10">
        <v>1</v>
      </c>
    </row>
    <row r="216" spans="1:7" x14ac:dyDescent="0.3">
      <c r="A216" s="9" t="s">
        <v>197</v>
      </c>
      <c r="B216" s="9" t="s">
        <v>82</v>
      </c>
      <c r="C216" s="10">
        <v>0.63200000000000001</v>
      </c>
      <c r="D216" s="10">
        <v>0.57533262981</v>
      </c>
      <c r="E216" s="9" t="s">
        <v>88</v>
      </c>
      <c r="F216" s="10">
        <v>11</v>
      </c>
      <c r="G216" s="10">
        <v>1</v>
      </c>
    </row>
    <row r="217" spans="1:7" x14ac:dyDescent="0.3">
      <c r="A217" s="9" t="s">
        <v>196</v>
      </c>
      <c r="B217" s="9" t="s">
        <v>80</v>
      </c>
      <c r="C217" s="10">
        <v>8.3849999999999998</v>
      </c>
      <c r="D217" s="10">
        <v>6.0919003519000002E-2</v>
      </c>
      <c r="E217" s="9" t="s">
        <v>88</v>
      </c>
      <c r="F217" s="10">
        <v>4</v>
      </c>
      <c r="G217" s="10">
        <v>1</v>
      </c>
    </row>
    <row r="218" spans="1:7" x14ac:dyDescent="0.3">
      <c r="A218" s="9" t="s">
        <v>196</v>
      </c>
      <c r="B218" s="9" t="s">
        <v>79</v>
      </c>
      <c r="C218" s="10">
        <v>2.109</v>
      </c>
      <c r="D218" s="10">
        <v>6.0919003519000002E-2</v>
      </c>
      <c r="E218" s="9" t="s">
        <v>88</v>
      </c>
      <c r="F218" s="10">
        <v>4</v>
      </c>
      <c r="G218" s="10">
        <v>1</v>
      </c>
    </row>
    <row r="219" spans="1:7" x14ac:dyDescent="0.3">
      <c r="A219" s="9" t="s">
        <v>196</v>
      </c>
      <c r="B219" s="9" t="s">
        <v>81</v>
      </c>
      <c r="C219" s="10">
        <v>6.6890000000000001</v>
      </c>
      <c r="D219" s="10">
        <v>6.0919003519000002E-2</v>
      </c>
      <c r="E219" s="9" t="s">
        <v>88</v>
      </c>
      <c r="F219" s="10">
        <v>4</v>
      </c>
      <c r="G219" s="10">
        <v>1</v>
      </c>
    </row>
    <row r="220" spans="1:7" x14ac:dyDescent="0.3">
      <c r="A220" s="9" t="s">
        <v>196</v>
      </c>
      <c r="B220" s="9" t="s">
        <v>78</v>
      </c>
      <c r="C220" s="10">
        <v>4.1040000000000001</v>
      </c>
      <c r="D220" s="10">
        <v>6.0919003519000002E-2</v>
      </c>
      <c r="E220" s="9" t="s">
        <v>88</v>
      </c>
      <c r="F220" s="10">
        <v>4</v>
      </c>
      <c r="G220" s="10">
        <v>1</v>
      </c>
    </row>
    <row r="221" spans="1:7" x14ac:dyDescent="0.3">
      <c r="A221" s="9" t="s">
        <v>196</v>
      </c>
      <c r="B221" s="9" t="s">
        <v>82</v>
      </c>
      <c r="C221" s="10">
        <v>0.496</v>
      </c>
      <c r="D221" s="10">
        <v>6.0919003519000002E-2</v>
      </c>
      <c r="E221" s="9" t="s">
        <v>88</v>
      </c>
      <c r="F221" s="10">
        <v>4</v>
      </c>
      <c r="G221" s="10">
        <v>1</v>
      </c>
    </row>
    <row r="222" spans="1:7" x14ac:dyDescent="0.3">
      <c r="A222" s="9" t="s">
        <v>195</v>
      </c>
      <c r="B222" s="9" t="s">
        <v>80</v>
      </c>
      <c r="C222" s="10">
        <v>6.6859999999999999</v>
      </c>
      <c r="D222" s="10">
        <v>-1.1522207582270001</v>
      </c>
      <c r="E222" s="9" t="s">
        <v>87</v>
      </c>
      <c r="F222" s="10">
        <v>13</v>
      </c>
      <c r="G222" s="10">
        <v>0</v>
      </c>
    </row>
    <row r="223" spans="1:7" x14ac:dyDescent="0.3">
      <c r="A223" s="9" t="s">
        <v>195</v>
      </c>
      <c r="B223" s="9" t="s">
        <v>79</v>
      </c>
      <c r="C223" s="10">
        <v>1.994</v>
      </c>
      <c r="D223" s="10">
        <v>-1.1522207582270001</v>
      </c>
      <c r="E223" s="9" t="s">
        <v>87</v>
      </c>
      <c r="F223" s="10">
        <v>13</v>
      </c>
      <c r="G223" s="10">
        <v>0</v>
      </c>
    </row>
    <row r="224" spans="1:7" x14ac:dyDescent="0.3">
      <c r="A224" s="9" t="s">
        <v>195</v>
      </c>
      <c r="B224" s="9" t="s">
        <v>81</v>
      </c>
      <c r="C224" s="10">
        <v>6.617</v>
      </c>
      <c r="D224" s="10">
        <v>-1.1522207582270001</v>
      </c>
      <c r="E224" s="9" t="s">
        <v>87</v>
      </c>
      <c r="F224" s="10">
        <v>13</v>
      </c>
      <c r="G224" s="10">
        <v>0</v>
      </c>
    </row>
    <row r="225" spans="1:7" x14ac:dyDescent="0.3">
      <c r="A225" s="9" t="s">
        <v>195</v>
      </c>
      <c r="B225" s="9" t="s">
        <v>78</v>
      </c>
      <c r="C225" s="10">
        <v>3.4689999999999999</v>
      </c>
      <c r="D225" s="10">
        <v>-1.1522207582270001</v>
      </c>
      <c r="E225" s="9" t="s">
        <v>87</v>
      </c>
      <c r="F225" s="10">
        <v>13</v>
      </c>
      <c r="G225" s="10">
        <v>0</v>
      </c>
    </row>
    <row r="226" spans="1:7" x14ac:dyDescent="0.3">
      <c r="A226" s="9" t="s">
        <v>195</v>
      </c>
      <c r="B226" s="9" t="s">
        <v>82</v>
      </c>
      <c r="C226" s="10">
        <v>0.40100000000000002</v>
      </c>
      <c r="D226" s="10">
        <v>-1.1522207582270001</v>
      </c>
      <c r="E226" s="9" t="s">
        <v>87</v>
      </c>
      <c r="F226" s="10">
        <v>13</v>
      </c>
      <c r="G226" s="10">
        <v>0</v>
      </c>
    </row>
    <row r="227" spans="1:7" x14ac:dyDescent="0.3">
      <c r="A227" s="9" t="s">
        <v>194</v>
      </c>
      <c r="B227" s="9" t="s">
        <v>80</v>
      </c>
      <c r="C227" s="10">
        <v>5.8920000000000003</v>
      </c>
      <c r="D227" s="10">
        <v>-1.438734711108</v>
      </c>
      <c r="E227" s="9" t="s">
        <v>87</v>
      </c>
      <c r="F227" s="10">
        <v>1</v>
      </c>
      <c r="G227" s="10">
        <v>1</v>
      </c>
    </row>
    <row r="228" spans="1:7" x14ac:dyDescent="0.3">
      <c r="A228" s="9" t="s">
        <v>194</v>
      </c>
      <c r="B228" s="9" t="s">
        <v>79</v>
      </c>
      <c r="C228" s="10">
        <v>0.58299999999999996</v>
      </c>
      <c r="D228" s="10">
        <v>-1.438734711108</v>
      </c>
      <c r="E228" s="9" t="s">
        <v>87</v>
      </c>
      <c r="F228" s="10">
        <v>1</v>
      </c>
      <c r="G228" s="10">
        <v>1</v>
      </c>
    </row>
    <row r="229" spans="1:7" x14ac:dyDescent="0.3">
      <c r="A229" s="9" t="s">
        <v>194</v>
      </c>
      <c r="B229" s="9" t="s">
        <v>81</v>
      </c>
      <c r="C229" s="10">
        <v>6.1609999999999996</v>
      </c>
      <c r="D229" s="10">
        <v>-1.438734711108</v>
      </c>
      <c r="E229" s="9" t="s">
        <v>87</v>
      </c>
      <c r="F229" s="10">
        <v>1</v>
      </c>
      <c r="G229" s="10">
        <v>1</v>
      </c>
    </row>
    <row r="230" spans="1:7" x14ac:dyDescent="0.3">
      <c r="A230" s="9" t="s">
        <v>194</v>
      </c>
      <c r="B230" s="9" t="s">
        <v>78</v>
      </c>
      <c r="C230" s="10">
        <v>3.4359999999999999</v>
      </c>
      <c r="D230" s="10">
        <v>-1.438734711108</v>
      </c>
      <c r="E230" s="9" t="s">
        <v>87</v>
      </c>
      <c r="F230" s="10">
        <v>1</v>
      </c>
      <c r="G230" s="10">
        <v>1</v>
      </c>
    </row>
    <row r="231" spans="1:7" x14ac:dyDescent="0.3">
      <c r="A231" s="9" t="s">
        <v>194</v>
      </c>
      <c r="B231" s="9" t="s">
        <v>82</v>
      </c>
      <c r="C231" s="10">
        <v>0.505</v>
      </c>
      <c r="D231" s="10">
        <v>-1.438734711108</v>
      </c>
      <c r="E231" s="9" t="s">
        <v>87</v>
      </c>
      <c r="F231" s="10">
        <v>1</v>
      </c>
      <c r="G231" s="10">
        <v>1</v>
      </c>
    </row>
    <row r="232" spans="1:7" x14ac:dyDescent="0.3">
      <c r="A232" s="9" t="s">
        <v>193</v>
      </c>
      <c r="B232" s="9" t="s">
        <v>80</v>
      </c>
      <c r="C232" s="10">
        <v>6.5209999999999999</v>
      </c>
      <c r="D232" s="10">
        <v>-0.39021605777000001</v>
      </c>
      <c r="E232" s="9" t="s">
        <v>88</v>
      </c>
      <c r="F232" s="10">
        <v>10</v>
      </c>
      <c r="G232" s="10">
        <v>1</v>
      </c>
    </row>
    <row r="233" spans="1:7" x14ac:dyDescent="0.3">
      <c r="A233" s="9" t="s">
        <v>193</v>
      </c>
      <c r="B233" s="9" t="s">
        <v>79</v>
      </c>
      <c r="C233" s="10">
        <v>0.78800000000000003</v>
      </c>
      <c r="D233" s="10">
        <v>-0.39021605777000001</v>
      </c>
      <c r="E233" s="9" t="s">
        <v>88</v>
      </c>
      <c r="F233" s="10">
        <v>10</v>
      </c>
      <c r="G233" s="10">
        <v>1</v>
      </c>
    </row>
    <row r="234" spans="1:7" x14ac:dyDescent="0.3">
      <c r="A234" s="9" t="s">
        <v>193</v>
      </c>
      <c r="B234" s="9" t="s">
        <v>81</v>
      </c>
      <c r="C234" s="10">
        <v>6.0430000000000001</v>
      </c>
      <c r="D234" s="10">
        <v>-0.39021605777000001</v>
      </c>
      <c r="E234" s="9" t="s">
        <v>88</v>
      </c>
      <c r="F234" s="10">
        <v>10</v>
      </c>
      <c r="G234" s="10">
        <v>1</v>
      </c>
    </row>
    <row r="235" spans="1:7" x14ac:dyDescent="0.3">
      <c r="A235" s="9" t="s">
        <v>193</v>
      </c>
      <c r="B235" s="9" t="s">
        <v>78</v>
      </c>
      <c r="C235" s="10">
        <v>4.1840000000000002</v>
      </c>
      <c r="D235" s="10">
        <v>-0.39021605777000001</v>
      </c>
      <c r="E235" s="9" t="s">
        <v>88</v>
      </c>
      <c r="F235" s="10">
        <v>10</v>
      </c>
      <c r="G235" s="10">
        <v>1</v>
      </c>
    </row>
    <row r="236" spans="1:7" x14ac:dyDescent="0.3">
      <c r="A236" s="9" t="s">
        <v>193</v>
      </c>
      <c r="B236" s="9" t="s">
        <v>82</v>
      </c>
      <c r="C236" s="10">
        <v>0.78800000000000003</v>
      </c>
      <c r="D236" s="10">
        <v>-0.39021605777000001</v>
      </c>
      <c r="E236" s="9" t="s">
        <v>88</v>
      </c>
      <c r="F236" s="10">
        <v>10</v>
      </c>
      <c r="G236" s="10">
        <v>1</v>
      </c>
    </row>
    <row r="237" spans="1:7" x14ac:dyDescent="0.3">
      <c r="A237" s="9" t="s">
        <v>192</v>
      </c>
      <c r="B237" s="9" t="s">
        <v>80</v>
      </c>
      <c r="C237" s="10">
        <v>6.125</v>
      </c>
      <c r="D237" s="10">
        <v>0.32886169140100002</v>
      </c>
      <c r="E237" s="9" t="s">
        <v>88</v>
      </c>
      <c r="F237" s="10">
        <v>59</v>
      </c>
      <c r="G237" s="10">
        <v>0</v>
      </c>
    </row>
    <row r="238" spans="1:7" x14ac:dyDescent="0.3">
      <c r="A238" s="9" t="s">
        <v>192</v>
      </c>
      <c r="B238" s="9" t="s">
        <v>79</v>
      </c>
      <c r="C238" s="10">
        <v>1.468</v>
      </c>
      <c r="D238" s="10">
        <v>0.32886169140100002</v>
      </c>
      <c r="E238" s="9" t="s">
        <v>88</v>
      </c>
      <c r="F238" s="10">
        <v>59</v>
      </c>
      <c r="G238" s="10">
        <v>0</v>
      </c>
    </row>
    <row r="239" spans="1:7" x14ac:dyDescent="0.3">
      <c r="A239" s="9" t="s">
        <v>192</v>
      </c>
      <c r="B239" s="9" t="s">
        <v>81</v>
      </c>
      <c r="C239" s="10">
        <v>4.9240000000000004</v>
      </c>
      <c r="D239" s="10">
        <v>0.32886169140100002</v>
      </c>
      <c r="E239" s="9" t="s">
        <v>88</v>
      </c>
      <c r="F239" s="10">
        <v>59</v>
      </c>
      <c r="G239" s="10">
        <v>0</v>
      </c>
    </row>
    <row r="240" spans="1:7" x14ac:dyDescent="0.3">
      <c r="A240" s="9" t="s">
        <v>192</v>
      </c>
      <c r="B240" s="9" t="s">
        <v>78</v>
      </c>
      <c r="C240" s="10">
        <v>2.87</v>
      </c>
      <c r="D240" s="10">
        <v>0.32886169140100002</v>
      </c>
      <c r="E240" s="9" t="s">
        <v>88</v>
      </c>
      <c r="F240" s="10">
        <v>59</v>
      </c>
      <c r="G240" s="10">
        <v>0</v>
      </c>
    </row>
    <row r="241" spans="1:7" x14ac:dyDescent="0.3">
      <c r="A241" s="9" t="s">
        <v>192</v>
      </c>
      <c r="B241" s="9" t="s">
        <v>82</v>
      </c>
      <c r="C241" s="10">
        <v>1.042</v>
      </c>
      <c r="D241" s="10">
        <v>0.32886169140100002</v>
      </c>
      <c r="E241" s="9" t="s">
        <v>88</v>
      </c>
      <c r="F241" s="10">
        <v>59</v>
      </c>
      <c r="G241" s="10">
        <v>0</v>
      </c>
    </row>
    <row r="242" spans="1:7" x14ac:dyDescent="0.3">
      <c r="A242" s="9" t="s">
        <v>191</v>
      </c>
      <c r="B242" s="9" t="s">
        <v>80</v>
      </c>
      <c r="C242" s="10">
        <v>10.36</v>
      </c>
      <c r="D242" s="10">
        <v>8.1678473985999797E-2</v>
      </c>
      <c r="E242" s="9" t="s">
        <v>88</v>
      </c>
      <c r="F242" s="10">
        <v>21</v>
      </c>
      <c r="G242" s="10">
        <v>1</v>
      </c>
    </row>
    <row r="243" spans="1:7" x14ac:dyDescent="0.3">
      <c r="A243" s="9" t="s">
        <v>191</v>
      </c>
      <c r="B243" s="9" t="s">
        <v>79</v>
      </c>
      <c r="C243" s="10">
        <v>1.4470000000000001</v>
      </c>
      <c r="D243" s="10">
        <v>8.1678473985999797E-2</v>
      </c>
      <c r="E243" s="9" t="s">
        <v>88</v>
      </c>
      <c r="F243" s="10">
        <v>21</v>
      </c>
      <c r="G243" s="10">
        <v>1</v>
      </c>
    </row>
    <row r="244" spans="1:7" x14ac:dyDescent="0.3">
      <c r="A244" s="9" t="s">
        <v>191</v>
      </c>
      <c r="B244" s="9" t="s">
        <v>81</v>
      </c>
      <c r="C244" s="10">
        <v>7.165</v>
      </c>
      <c r="D244" s="10">
        <v>8.1678473985999797E-2</v>
      </c>
      <c r="E244" s="9" t="s">
        <v>88</v>
      </c>
      <c r="F244" s="10">
        <v>21</v>
      </c>
      <c r="G244" s="10">
        <v>1</v>
      </c>
    </row>
    <row r="245" spans="1:7" x14ac:dyDescent="0.3">
      <c r="A245" s="9" t="s">
        <v>191</v>
      </c>
      <c r="B245" s="9" t="s">
        <v>78</v>
      </c>
      <c r="C245" s="10">
        <v>5.1130000000000004</v>
      </c>
      <c r="D245" s="10">
        <v>8.1678473985999797E-2</v>
      </c>
      <c r="E245" s="9" t="s">
        <v>88</v>
      </c>
      <c r="F245" s="10">
        <v>21</v>
      </c>
      <c r="G245" s="10">
        <v>1</v>
      </c>
    </row>
    <row r="246" spans="1:7" x14ac:dyDescent="0.3">
      <c r="A246" s="9" t="s">
        <v>191</v>
      </c>
      <c r="B246" s="9" t="s">
        <v>82</v>
      </c>
      <c r="C246" s="10">
        <v>0.38900000000000001</v>
      </c>
      <c r="D246" s="10">
        <v>8.1678473985999797E-2</v>
      </c>
      <c r="E246" s="9" t="s">
        <v>88</v>
      </c>
      <c r="F246" s="10">
        <v>21</v>
      </c>
      <c r="G246" s="10">
        <v>1</v>
      </c>
    </row>
    <row r="247" spans="1:7" x14ac:dyDescent="0.3">
      <c r="A247" s="9" t="s">
        <v>190</v>
      </c>
      <c r="B247" s="9" t="s">
        <v>80</v>
      </c>
      <c r="C247" s="10">
        <v>7.3390000000000004</v>
      </c>
      <c r="D247" s="10">
        <v>-1.1523118552089999</v>
      </c>
      <c r="E247" s="9" t="s">
        <v>87</v>
      </c>
      <c r="F247" s="10">
        <v>41</v>
      </c>
      <c r="G247" s="10">
        <v>1</v>
      </c>
    </row>
    <row r="248" spans="1:7" x14ac:dyDescent="0.3">
      <c r="A248" s="9" t="s">
        <v>190</v>
      </c>
      <c r="B248" s="9" t="s">
        <v>79</v>
      </c>
      <c r="C248" s="10">
        <v>0.93300000000000005</v>
      </c>
      <c r="D248" s="10">
        <v>-1.1523118552089999</v>
      </c>
      <c r="E248" s="9" t="s">
        <v>87</v>
      </c>
      <c r="F248" s="10">
        <v>41</v>
      </c>
      <c r="G248" s="10">
        <v>1</v>
      </c>
    </row>
    <row r="249" spans="1:7" x14ac:dyDescent="0.3">
      <c r="A249" s="9" t="s">
        <v>190</v>
      </c>
      <c r="B249" s="9" t="s">
        <v>81</v>
      </c>
      <c r="C249" s="10">
        <v>5.194</v>
      </c>
      <c r="D249" s="10">
        <v>-1.1523118552089999</v>
      </c>
      <c r="E249" s="9" t="s">
        <v>87</v>
      </c>
      <c r="F249" s="10">
        <v>41</v>
      </c>
      <c r="G249" s="10">
        <v>1</v>
      </c>
    </row>
    <row r="250" spans="1:7" x14ac:dyDescent="0.3">
      <c r="A250" s="9" t="s">
        <v>190</v>
      </c>
      <c r="B250" s="9" t="s">
        <v>78</v>
      </c>
      <c r="C250" s="10">
        <v>3.0670000000000002</v>
      </c>
      <c r="D250" s="10">
        <v>-1.1523118552089999</v>
      </c>
      <c r="E250" s="9" t="s">
        <v>87</v>
      </c>
      <c r="F250" s="10">
        <v>41</v>
      </c>
      <c r="G250" s="10">
        <v>1</v>
      </c>
    </row>
    <row r="251" spans="1:7" x14ac:dyDescent="0.3">
      <c r="A251" s="9" t="s">
        <v>190</v>
      </c>
      <c r="B251" s="9" t="s">
        <v>82</v>
      </c>
      <c r="C251" s="10">
        <v>0.86799999999999999</v>
      </c>
      <c r="D251" s="10">
        <v>-1.1523118552089999</v>
      </c>
      <c r="E251" s="9" t="s">
        <v>87</v>
      </c>
      <c r="F251" s="10">
        <v>41</v>
      </c>
      <c r="G251" s="10">
        <v>1</v>
      </c>
    </row>
    <row r="252" spans="1:7" x14ac:dyDescent="0.3">
      <c r="A252" s="9" t="s">
        <v>189</v>
      </c>
      <c r="B252" s="9" t="s">
        <v>80</v>
      </c>
      <c r="C252" s="10">
        <v>6.1760000000000002</v>
      </c>
      <c r="D252" s="10">
        <v>-1.4111251909139999</v>
      </c>
      <c r="E252" s="9" t="s">
        <v>87</v>
      </c>
      <c r="F252" s="10">
        <v>23</v>
      </c>
      <c r="G252" s="10">
        <v>1</v>
      </c>
    </row>
    <row r="253" spans="1:7" x14ac:dyDescent="0.3">
      <c r="A253" s="9" t="s">
        <v>189</v>
      </c>
      <c r="B253" s="9" t="s">
        <v>79</v>
      </c>
      <c r="C253" s="10">
        <v>0.505</v>
      </c>
      <c r="D253" s="10">
        <v>-1.4111251909139999</v>
      </c>
      <c r="E253" s="9" t="s">
        <v>87</v>
      </c>
      <c r="F253" s="10">
        <v>23</v>
      </c>
      <c r="G253" s="10">
        <v>1</v>
      </c>
    </row>
    <row r="254" spans="1:7" x14ac:dyDescent="0.3">
      <c r="A254" s="9" t="s">
        <v>189</v>
      </c>
      <c r="B254" s="9" t="s">
        <v>81</v>
      </c>
      <c r="C254" s="10">
        <v>5.6349999999999998</v>
      </c>
      <c r="D254" s="10">
        <v>-1.4111251909139999</v>
      </c>
      <c r="E254" s="9" t="s">
        <v>87</v>
      </c>
      <c r="F254" s="10">
        <v>23</v>
      </c>
      <c r="G254" s="10">
        <v>1</v>
      </c>
    </row>
    <row r="255" spans="1:7" x14ac:dyDescent="0.3">
      <c r="A255" s="9" t="s">
        <v>189</v>
      </c>
      <c r="B255" s="9" t="s">
        <v>78</v>
      </c>
      <c r="C255" s="10">
        <v>4.2510000000000003</v>
      </c>
      <c r="D255" s="10">
        <v>-1.4111251909139999</v>
      </c>
      <c r="E255" s="9" t="s">
        <v>87</v>
      </c>
      <c r="F255" s="10">
        <v>23</v>
      </c>
      <c r="G255" s="10">
        <v>1</v>
      </c>
    </row>
    <row r="256" spans="1:7" x14ac:dyDescent="0.3">
      <c r="A256" s="9" t="s">
        <v>189</v>
      </c>
      <c r="B256" s="9" t="s">
        <v>82</v>
      </c>
      <c r="C256" s="10">
        <v>1.0229999999999999</v>
      </c>
      <c r="D256" s="10">
        <v>-1.4111251909139999</v>
      </c>
      <c r="E256" s="9" t="s">
        <v>87</v>
      </c>
      <c r="F256" s="10">
        <v>23</v>
      </c>
      <c r="G256" s="10">
        <v>1</v>
      </c>
    </row>
    <row r="257" spans="1:7" x14ac:dyDescent="0.3">
      <c r="A257" s="9" t="s">
        <v>188</v>
      </c>
      <c r="B257" s="9" t="s">
        <v>80</v>
      </c>
      <c r="C257" s="10">
        <v>6.8289999999999997</v>
      </c>
      <c r="D257" s="10">
        <v>-0.53877313032999996</v>
      </c>
      <c r="E257" s="9" t="s">
        <v>87</v>
      </c>
      <c r="F257" s="10">
        <v>7</v>
      </c>
      <c r="G257" s="10">
        <v>1</v>
      </c>
    </row>
    <row r="258" spans="1:7" x14ac:dyDescent="0.3">
      <c r="A258" s="9" t="s">
        <v>188</v>
      </c>
      <c r="B258" s="9" t="s">
        <v>79</v>
      </c>
      <c r="C258" s="10">
        <v>1.6080000000000001</v>
      </c>
      <c r="D258" s="10">
        <v>-0.53877313032999996</v>
      </c>
      <c r="E258" s="9" t="s">
        <v>87</v>
      </c>
      <c r="F258" s="10">
        <v>7</v>
      </c>
      <c r="G258" s="10">
        <v>1</v>
      </c>
    </row>
    <row r="259" spans="1:7" x14ac:dyDescent="0.3">
      <c r="A259" s="9" t="s">
        <v>188</v>
      </c>
      <c r="B259" s="9" t="s">
        <v>81</v>
      </c>
      <c r="C259" s="10">
        <v>6.3440000000000003</v>
      </c>
      <c r="D259" s="10">
        <v>-0.53877313032999996</v>
      </c>
      <c r="E259" s="9" t="s">
        <v>87</v>
      </c>
      <c r="F259" s="10">
        <v>7</v>
      </c>
      <c r="G259" s="10">
        <v>1</v>
      </c>
    </row>
    <row r="260" spans="1:7" x14ac:dyDescent="0.3">
      <c r="A260" s="9" t="s">
        <v>188</v>
      </c>
      <c r="B260" s="9" t="s">
        <v>78</v>
      </c>
      <c r="C260" s="10">
        <v>2.9289999999999998</v>
      </c>
      <c r="D260" s="10">
        <v>-0.53877313032999996</v>
      </c>
      <c r="E260" s="9" t="s">
        <v>87</v>
      </c>
      <c r="F260" s="10">
        <v>7</v>
      </c>
      <c r="G260" s="10">
        <v>1</v>
      </c>
    </row>
    <row r="261" spans="1:7" x14ac:dyDescent="0.3">
      <c r="A261" s="9" t="s">
        <v>188</v>
      </c>
      <c r="B261" s="9" t="s">
        <v>82</v>
      </c>
      <c r="C261" s="10">
        <v>0.70499999999999996</v>
      </c>
      <c r="D261" s="10">
        <v>-0.53877313032999996</v>
      </c>
      <c r="E261" s="9" t="s">
        <v>87</v>
      </c>
      <c r="F261" s="10">
        <v>7</v>
      </c>
      <c r="G261" s="10">
        <v>1</v>
      </c>
    </row>
    <row r="262" spans="1:7" x14ac:dyDescent="0.3">
      <c r="A262" s="9" t="s">
        <v>187</v>
      </c>
      <c r="B262" s="9" t="s">
        <v>80</v>
      </c>
      <c r="C262" s="10">
        <v>13.109</v>
      </c>
      <c r="D262" s="10">
        <v>1.113070683746</v>
      </c>
      <c r="E262" s="9" t="s">
        <v>88</v>
      </c>
      <c r="F262" s="10">
        <v>1</v>
      </c>
      <c r="G262" s="10">
        <v>0</v>
      </c>
    </row>
    <row r="263" spans="1:7" x14ac:dyDescent="0.3">
      <c r="A263" s="9" t="s">
        <v>187</v>
      </c>
      <c r="B263" s="9" t="s">
        <v>79</v>
      </c>
      <c r="C263" s="10">
        <v>1.7769999999999999</v>
      </c>
      <c r="D263" s="10">
        <v>1.113070683746</v>
      </c>
      <c r="E263" s="9" t="s">
        <v>88</v>
      </c>
      <c r="F263" s="10">
        <v>1</v>
      </c>
      <c r="G263" s="10">
        <v>0</v>
      </c>
    </row>
    <row r="264" spans="1:7" x14ac:dyDescent="0.3">
      <c r="A264" s="9" t="s">
        <v>187</v>
      </c>
      <c r="B264" s="9" t="s">
        <v>81</v>
      </c>
      <c r="C264" s="10">
        <v>8.782</v>
      </c>
      <c r="D264" s="10">
        <v>1.113070683746</v>
      </c>
      <c r="E264" s="9" t="s">
        <v>88</v>
      </c>
      <c r="F264" s="10">
        <v>1</v>
      </c>
      <c r="G264" s="10">
        <v>0</v>
      </c>
    </row>
    <row r="265" spans="1:7" x14ac:dyDescent="0.3">
      <c r="A265" s="9" t="s">
        <v>187</v>
      </c>
      <c r="B265" s="9" t="s">
        <v>78</v>
      </c>
      <c r="C265" s="10">
        <v>7.0709999999999997</v>
      </c>
      <c r="D265" s="10">
        <v>1.113070683746</v>
      </c>
      <c r="E265" s="9" t="s">
        <v>88</v>
      </c>
      <c r="F265" s="10">
        <v>1</v>
      </c>
      <c r="G265" s="10">
        <v>0</v>
      </c>
    </row>
    <row r="266" spans="1:7" x14ac:dyDescent="0.3">
      <c r="A266" s="9" t="s">
        <v>187</v>
      </c>
      <c r="B266" s="9" t="s">
        <v>82</v>
      </c>
      <c r="C266" s="10">
        <v>0.48399999999999999</v>
      </c>
      <c r="D266" s="10">
        <v>1.113070683746</v>
      </c>
      <c r="E266" s="9" t="s">
        <v>88</v>
      </c>
      <c r="F266" s="10">
        <v>1</v>
      </c>
      <c r="G266" s="10">
        <v>0</v>
      </c>
    </row>
    <row r="267" spans="1:7" x14ac:dyDescent="0.3">
      <c r="A267" s="9" t="s">
        <v>186</v>
      </c>
      <c r="B267" s="9" t="s">
        <v>80</v>
      </c>
      <c r="C267" s="10">
        <v>3.79</v>
      </c>
      <c r="D267" s="10">
        <v>-1.06713921099999E-2</v>
      </c>
      <c r="E267" s="9" t="s">
        <v>88</v>
      </c>
      <c r="F267" s="10">
        <v>18</v>
      </c>
      <c r="G267" s="10">
        <v>0</v>
      </c>
    </row>
    <row r="268" spans="1:7" x14ac:dyDescent="0.3">
      <c r="A268" s="9" t="s">
        <v>186</v>
      </c>
      <c r="B268" s="9" t="s">
        <v>79</v>
      </c>
      <c r="C268" s="10">
        <v>1.5309999999999999</v>
      </c>
      <c r="D268" s="10">
        <v>-1.06713921099999E-2</v>
      </c>
      <c r="E268" s="9" t="s">
        <v>88</v>
      </c>
      <c r="F268" s="10">
        <v>18</v>
      </c>
      <c r="G268" s="10">
        <v>0</v>
      </c>
    </row>
    <row r="269" spans="1:7" x14ac:dyDescent="0.3">
      <c r="A269" s="9" t="s">
        <v>186</v>
      </c>
      <c r="B269" s="9" t="s">
        <v>81</v>
      </c>
      <c r="C269" s="10">
        <v>6.056</v>
      </c>
      <c r="D269" s="10">
        <v>-1.06713921099999E-2</v>
      </c>
      <c r="E269" s="9" t="s">
        <v>88</v>
      </c>
      <c r="F269" s="10">
        <v>18</v>
      </c>
      <c r="G269" s="10">
        <v>0</v>
      </c>
    </row>
    <row r="270" spans="1:7" x14ac:dyDescent="0.3">
      <c r="A270" s="9" t="s">
        <v>186</v>
      </c>
      <c r="B270" s="9" t="s">
        <v>78</v>
      </c>
      <c r="C270" s="10">
        <v>4.0999999999999996</v>
      </c>
      <c r="D270" s="10">
        <v>-1.06713921099999E-2</v>
      </c>
      <c r="E270" s="9" t="s">
        <v>88</v>
      </c>
      <c r="F270" s="10">
        <v>18</v>
      </c>
      <c r="G270" s="10">
        <v>0</v>
      </c>
    </row>
    <row r="271" spans="1:7" x14ac:dyDescent="0.3">
      <c r="A271" s="9" t="s">
        <v>186</v>
      </c>
      <c r="B271" s="9" t="s">
        <v>82</v>
      </c>
      <c r="C271" s="10">
        <v>0.42099999999999999</v>
      </c>
      <c r="D271" s="10">
        <v>-1.06713921099999E-2</v>
      </c>
      <c r="E271" s="9" t="s">
        <v>88</v>
      </c>
      <c r="F271" s="10">
        <v>18</v>
      </c>
      <c r="G271" s="10">
        <v>0</v>
      </c>
    </row>
    <row r="272" spans="1:7" x14ac:dyDescent="0.3">
      <c r="A272" s="9" t="s">
        <v>185</v>
      </c>
      <c r="B272" s="9" t="s">
        <v>80</v>
      </c>
      <c r="C272" s="10">
        <v>11.816000000000001</v>
      </c>
      <c r="D272" s="10">
        <v>-1.7828373889460001</v>
      </c>
      <c r="E272" s="9" t="s">
        <v>87</v>
      </c>
      <c r="F272" s="10">
        <v>15</v>
      </c>
      <c r="G272" s="10">
        <v>1</v>
      </c>
    </row>
    <row r="273" spans="1:7" x14ac:dyDescent="0.3">
      <c r="A273" s="9" t="s">
        <v>185</v>
      </c>
      <c r="B273" s="9" t="s">
        <v>79</v>
      </c>
      <c r="C273" s="10">
        <v>2.1349999999999998</v>
      </c>
      <c r="D273" s="10">
        <v>-1.7828373889460001</v>
      </c>
      <c r="E273" s="9" t="s">
        <v>87</v>
      </c>
      <c r="F273" s="10">
        <v>15</v>
      </c>
      <c r="G273" s="10">
        <v>1</v>
      </c>
    </row>
    <row r="274" spans="1:7" x14ac:dyDescent="0.3">
      <c r="A274" s="9" t="s">
        <v>185</v>
      </c>
      <c r="B274" s="9" t="s">
        <v>81</v>
      </c>
      <c r="C274" s="10">
        <v>7.19</v>
      </c>
      <c r="D274" s="10">
        <v>-1.7828373889460001</v>
      </c>
      <c r="E274" s="9" t="s">
        <v>87</v>
      </c>
      <c r="F274" s="10">
        <v>15</v>
      </c>
      <c r="G274" s="10">
        <v>1</v>
      </c>
    </row>
    <row r="275" spans="1:7" x14ac:dyDescent="0.3">
      <c r="A275" s="9" t="s">
        <v>185</v>
      </c>
      <c r="B275" s="9" t="s">
        <v>78</v>
      </c>
      <c r="C275" s="10">
        <v>4.5220000000000002</v>
      </c>
      <c r="D275" s="10">
        <v>-1.7828373889460001</v>
      </c>
      <c r="E275" s="9" t="s">
        <v>87</v>
      </c>
      <c r="F275" s="10">
        <v>15</v>
      </c>
      <c r="G275" s="10">
        <v>1</v>
      </c>
    </row>
    <row r="276" spans="1:7" x14ac:dyDescent="0.3">
      <c r="A276" s="9" t="s">
        <v>185</v>
      </c>
      <c r="B276" s="9" t="s">
        <v>82</v>
      </c>
      <c r="C276" s="10">
        <v>1.8839999999999999</v>
      </c>
      <c r="D276" s="10">
        <v>-1.7828373889460001</v>
      </c>
      <c r="E276" s="9" t="s">
        <v>87</v>
      </c>
      <c r="F276" s="10">
        <v>15</v>
      </c>
      <c r="G276" s="10">
        <v>1</v>
      </c>
    </row>
    <row r="277" spans="1:7" x14ac:dyDescent="0.3">
      <c r="A277" s="9" t="s">
        <v>184</v>
      </c>
      <c r="B277" s="9" t="s">
        <v>80</v>
      </c>
      <c r="C277" s="10">
        <v>9.9659999999999993</v>
      </c>
      <c r="D277" s="10">
        <v>-1.7574363422179999</v>
      </c>
      <c r="E277" s="9" t="s">
        <v>87</v>
      </c>
      <c r="F277" s="10">
        <v>8</v>
      </c>
      <c r="G277" s="10">
        <v>1</v>
      </c>
    </row>
    <row r="278" spans="1:7" x14ac:dyDescent="0.3">
      <c r="A278" s="9" t="s">
        <v>184</v>
      </c>
      <c r="B278" s="9" t="s">
        <v>79</v>
      </c>
      <c r="C278" s="10">
        <v>1.99</v>
      </c>
      <c r="D278" s="10">
        <v>-1.7574363422179999</v>
      </c>
      <c r="E278" s="9" t="s">
        <v>87</v>
      </c>
      <c r="F278" s="10">
        <v>8</v>
      </c>
      <c r="G278" s="10">
        <v>1</v>
      </c>
    </row>
    <row r="279" spans="1:7" x14ac:dyDescent="0.3">
      <c r="A279" s="9" t="s">
        <v>184</v>
      </c>
      <c r="B279" s="9" t="s">
        <v>81</v>
      </c>
      <c r="C279" s="10">
        <v>6.4379999999999997</v>
      </c>
      <c r="D279" s="10">
        <v>-1.7574363422179999</v>
      </c>
      <c r="E279" s="9" t="s">
        <v>87</v>
      </c>
      <c r="F279" s="10">
        <v>8</v>
      </c>
      <c r="G279" s="10">
        <v>1</v>
      </c>
    </row>
    <row r="280" spans="1:7" x14ac:dyDescent="0.3">
      <c r="A280" s="9" t="s">
        <v>184</v>
      </c>
      <c r="B280" s="9" t="s">
        <v>78</v>
      </c>
      <c r="C280" s="10">
        <v>4.1689999999999996</v>
      </c>
      <c r="D280" s="10">
        <v>-1.7574363422179999</v>
      </c>
      <c r="E280" s="9" t="s">
        <v>87</v>
      </c>
      <c r="F280" s="10">
        <v>8</v>
      </c>
      <c r="G280" s="10">
        <v>1</v>
      </c>
    </row>
    <row r="281" spans="1:7" x14ac:dyDescent="0.3">
      <c r="A281" s="9" t="s">
        <v>184</v>
      </c>
      <c r="B281" s="9" t="s">
        <v>82</v>
      </c>
      <c r="C281" s="10">
        <v>2.1019999999999999</v>
      </c>
      <c r="D281" s="10">
        <v>-1.7574363422179999</v>
      </c>
      <c r="E281" s="9" t="s">
        <v>87</v>
      </c>
      <c r="F281" s="10">
        <v>8</v>
      </c>
      <c r="G281" s="10">
        <v>1</v>
      </c>
    </row>
    <row r="282" spans="1:7" x14ac:dyDescent="0.3">
      <c r="A282" s="9" t="s">
        <v>183</v>
      </c>
      <c r="B282" s="9" t="s">
        <v>80</v>
      </c>
      <c r="C282" s="10">
        <v>5.0670000000000002</v>
      </c>
      <c r="D282" s="10">
        <v>-0.48975724660600001</v>
      </c>
      <c r="E282" s="9" t="s">
        <v>87</v>
      </c>
      <c r="F282" s="10">
        <v>28</v>
      </c>
      <c r="G282" s="10">
        <v>1</v>
      </c>
    </row>
    <row r="283" spans="1:7" x14ac:dyDescent="0.3">
      <c r="A283" s="9" t="s">
        <v>183</v>
      </c>
      <c r="B283" s="9" t="s">
        <v>79</v>
      </c>
      <c r="C283" s="10">
        <v>1.806</v>
      </c>
      <c r="D283" s="10">
        <v>-0.48975724660600001</v>
      </c>
      <c r="E283" s="9" t="s">
        <v>87</v>
      </c>
      <c r="F283" s="10">
        <v>28</v>
      </c>
      <c r="G283" s="10">
        <v>1</v>
      </c>
    </row>
    <row r="284" spans="1:7" x14ac:dyDescent="0.3">
      <c r="A284" s="9" t="s">
        <v>183</v>
      </c>
      <c r="B284" s="9" t="s">
        <v>81</v>
      </c>
      <c r="C284" s="10">
        <v>6.133</v>
      </c>
      <c r="D284" s="10">
        <v>-0.48975724660600001</v>
      </c>
      <c r="E284" s="9" t="s">
        <v>87</v>
      </c>
      <c r="F284" s="10">
        <v>28</v>
      </c>
      <c r="G284" s="10">
        <v>1</v>
      </c>
    </row>
    <row r="285" spans="1:7" x14ac:dyDescent="0.3">
      <c r="A285" s="9" t="s">
        <v>183</v>
      </c>
      <c r="B285" s="9" t="s">
        <v>78</v>
      </c>
      <c r="C285" s="10">
        <v>3.2669999999999999</v>
      </c>
      <c r="D285" s="10">
        <v>-0.48975724660600001</v>
      </c>
      <c r="E285" s="9" t="s">
        <v>87</v>
      </c>
      <c r="F285" s="10">
        <v>28</v>
      </c>
      <c r="G285" s="10">
        <v>1</v>
      </c>
    </row>
    <row r="286" spans="1:7" x14ac:dyDescent="0.3">
      <c r="A286" s="9" t="s">
        <v>183</v>
      </c>
      <c r="B286" s="9" t="s">
        <v>82</v>
      </c>
      <c r="C286" s="10">
        <v>0.97499999999999998</v>
      </c>
      <c r="D286" s="10">
        <v>-0.48975724660600001</v>
      </c>
      <c r="E286" s="9" t="s">
        <v>87</v>
      </c>
      <c r="F286" s="10">
        <v>28</v>
      </c>
      <c r="G286" s="10">
        <v>1</v>
      </c>
    </row>
    <row r="287" spans="1:7" x14ac:dyDescent="0.3">
      <c r="A287" s="9" t="s">
        <v>182</v>
      </c>
      <c r="B287" s="9" t="s">
        <v>80</v>
      </c>
      <c r="C287" s="10">
        <v>4.8070000000000004</v>
      </c>
      <c r="D287" s="10">
        <v>-7.7176651097999996E-2</v>
      </c>
      <c r="E287" s="9" t="s">
        <v>88</v>
      </c>
      <c r="F287" s="10">
        <v>1</v>
      </c>
      <c r="G287" s="10">
        <v>0</v>
      </c>
    </row>
    <row r="288" spans="1:7" x14ac:dyDescent="0.3">
      <c r="A288" s="9" t="s">
        <v>182</v>
      </c>
      <c r="B288" s="9" t="s">
        <v>79</v>
      </c>
      <c r="C288" s="10">
        <v>2.7890000000000001</v>
      </c>
      <c r="D288" s="10">
        <v>-7.7176651097999996E-2</v>
      </c>
      <c r="E288" s="9" t="s">
        <v>88</v>
      </c>
      <c r="F288" s="10">
        <v>1</v>
      </c>
      <c r="G288" s="10">
        <v>0</v>
      </c>
    </row>
    <row r="289" spans="1:7" x14ac:dyDescent="0.3">
      <c r="A289" s="9" t="s">
        <v>182</v>
      </c>
      <c r="B289" s="9" t="s">
        <v>81</v>
      </c>
      <c r="C289" s="10">
        <v>6.2169999999999996</v>
      </c>
      <c r="D289" s="10">
        <v>-7.7176651097999996E-2</v>
      </c>
      <c r="E289" s="9" t="s">
        <v>88</v>
      </c>
      <c r="F289" s="10">
        <v>1</v>
      </c>
      <c r="G289" s="10">
        <v>0</v>
      </c>
    </row>
    <row r="290" spans="1:7" x14ac:dyDescent="0.3">
      <c r="A290" s="9" t="s">
        <v>182</v>
      </c>
      <c r="B290" s="9" t="s">
        <v>78</v>
      </c>
      <c r="C290" s="10">
        <v>3.399</v>
      </c>
      <c r="D290" s="10">
        <v>-7.7176651097999996E-2</v>
      </c>
      <c r="E290" s="9" t="s">
        <v>88</v>
      </c>
      <c r="F290" s="10">
        <v>1</v>
      </c>
      <c r="G290" s="10">
        <v>0</v>
      </c>
    </row>
    <row r="291" spans="1:7" x14ac:dyDescent="0.3">
      <c r="A291" s="9" t="s">
        <v>182</v>
      </c>
      <c r="B291" s="9" t="s">
        <v>82</v>
      </c>
      <c r="C291" s="10">
        <v>1.7749999999999999</v>
      </c>
      <c r="D291" s="10">
        <v>-7.7176651097999996E-2</v>
      </c>
      <c r="E291" s="9" t="s">
        <v>88</v>
      </c>
      <c r="F291" s="10">
        <v>1</v>
      </c>
      <c r="G291" s="10">
        <v>0</v>
      </c>
    </row>
    <row r="292" spans="1:7" x14ac:dyDescent="0.3">
      <c r="A292" s="9" t="s">
        <v>181</v>
      </c>
      <c r="B292" s="9" t="s">
        <v>80</v>
      </c>
      <c r="C292" s="10">
        <v>10.77</v>
      </c>
      <c r="D292" s="10">
        <v>5.4273306745999998E-2</v>
      </c>
      <c r="E292" s="9" t="s">
        <v>88</v>
      </c>
      <c r="F292" s="10">
        <v>1</v>
      </c>
      <c r="G292" s="10">
        <v>1</v>
      </c>
    </row>
    <row r="293" spans="1:7" x14ac:dyDescent="0.3">
      <c r="A293" s="9" t="s">
        <v>181</v>
      </c>
      <c r="B293" s="9" t="s">
        <v>79</v>
      </c>
      <c r="C293" s="10">
        <v>1.968</v>
      </c>
      <c r="D293" s="10">
        <v>5.4273306745999998E-2</v>
      </c>
      <c r="E293" s="9" t="s">
        <v>88</v>
      </c>
      <c r="F293" s="10">
        <v>1</v>
      </c>
      <c r="G293" s="10">
        <v>1</v>
      </c>
    </row>
    <row r="294" spans="1:7" x14ac:dyDescent="0.3">
      <c r="A294" s="9" t="s">
        <v>181</v>
      </c>
      <c r="B294" s="9" t="s">
        <v>81</v>
      </c>
      <c r="C294" s="10">
        <v>6.8929999999999998</v>
      </c>
      <c r="D294" s="10">
        <v>5.4273306745999998E-2</v>
      </c>
      <c r="E294" s="9" t="s">
        <v>88</v>
      </c>
      <c r="F294" s="10">
        <v>1</v>
      </c>
      <c r="G294" s="10">
        <v>1</v>
      </c>
    </row>
    <row r="295" spans="1:7" x14ac:dyDescent="0.3">
      <c r="A295" s="9" t="s">
        <v>181</v>
      </c>
      <c r="B295" s="9" t="s">
        <v>78</v>
      </c>
      <c r="C295" s="10">
        <v>4.6689999999999996</v>
      </c>
      <c r="D295" s="10">
        <v>5.4273306745999998E-2</v>
      </c>
      <c r="E295" s="9" t="s">
        <v>88</v>
      </c>
      <c r="F295" s="10">
        <v>1</v>
      </c>
      <c r="G295" s="10">
        <v>1</v>
      </c>
    </row>
    <row r="296" spans="1:7" x14ac:dyDescent="0.3">
      <c r="A296" s="9" t="s">
        <v>181</v>
      </c>
      <c r="B296" s="9" t="s">
        <v>82</v>
      </c>
      <c r="C296" s="10">
        <v>0.86099999999999999</v>
      </c>
      <c r="D296" s="10">
        <v>5.4273306745999998E-2</v>
      </c>
      <c r="E296" s="9" t="s">
        <v>88</v>
      </c>
      <c r="F296" s="10">
        <v>1</v>
      </c>
      <c r="G296" s="10">
        <v>1</v>
      </c>
    </row>
    <row r="297" spans="1:7" x14ac:dyDescent="0.3">
      <c r="A297" s="9" t="s">
        <v>180</v>
      </c>
      <c r="B297" s="9" t="s">
        <v>80</v>
      </c>
      <c r="C297" s="10">
        <v>11.069000000000001</v>
      </c>
      <c r="D297" s="10">
        <v>-1.720549814892</v>
      </c>
      <c r="E297" s="9" t="s">
        <v>87</v>
      </c>
      <c r="F297" s="10">
        <v>4</v>
      </c>
      <c r="G297" s="10">
        <v>1</v>
      </c>
    </row>
    <row r="298" spans="1:7" x14ac:dyDescent="0.3">
      <c r="A298" s="9" t="s">
        <v>180</v>
      </c>
      <c r="B298" s="9" t="s">
        <v>79</v>
      </c>
      <c r="C298" s="10">
        <v>2.6930000000000001</v>
      </c>
      <c r="D298" s="10">
        <v>-1.720549814892</v>
      </c>
      <c r="E298" s="9" t="s">
        <v>87</v>
      </c>
      <c r="F298" s="10">
        <v>4</v>
      </c>
      <c r="G298" s="10">
        <v>1</v>
      </c>
    </row>
    <row r="299" spans="1:7" x14ac:dyDescent="0.3">
      <c r="A299" s="9" t="s">
        <v>180</v>
      </c>
      <c r="B299" s="9" t="s">
        <v>81</v>
      </c>
      <c r="C299" s="10">
        <v>6.9969999999999999</v>
      </c>
      <c r="D299" s="10">
        <v>-1.720549814892</v>
      </c>
      <c r="E299" s="9" t="s">
        <v>87</v>
      </c>
      <c r="F299" s="10">
        <v>4</v>
      </c>
      <c r="G299" s="10">
        <v>1</v>
      </c>
    </row>
    <row r="300" spans="1:7" x14ac:dyDescent="0.3">
      <c r="A300" s="9" t="s">
        <v>180</v>
      </c>
      <c r="B300" s="9" t="s">
        <v>78</v>
      </c>
      <c r="C300" s="10">
        <v>4.9359999999999999</v>
      </c>
      <c r="D300" s="10">
        <v>-1.720549814892</v>
      </c>
      <c r="E300" s="9" t="s">
        <v>87</v>
      </c>
      <c r="F300" s="10">
        <v>4</v>
      </c>
      <c r="G300" s="10">
        <v>1</v>
      </c>
    </row>
    <row r="301" spans="1:7" x14ac:dyDescent="0.3">
      <c r="A301" s="9" t="s">
        <v>180</v>
      </c>
      <c r="B301" s="9" t="s">
        <v>82</v>
      </c>
      <c r="C301" s="10">
        <v>2.0569999999999999</v>
      </c>
      <c r="D301" s="10">
        <v>-1.720549814892</v>
      </c>
      <c r="E301" s="9" t="s">
        <v>87</v>
      </c>
      <c r="F301" s="10">
        <v>4</v>
      </c>
      <c r="G301" s="10">
        <v>1</v>
      </c>
    </row>
    <row r="302" spans="1:7" x14ac:dyDescent="0.3">
      <c r="A302" s="9" t="s">
        <v>179</v>
      </c>
      <c r="B302" s="9" t="s">
        <v>80</v>
      </c>
      <c r="C302" s="10">
        <v>11.7</v>
      </c>
      <c r="D302" s="10">
        <v>-1.9077200269550001</v>
      </c>
      <c r="E302" s="9" t="s">
        <v>87</v>
      </c>
      <c r="F302" s="10">
        <v>10</v>
      </c>
      <c r="G302" s="10">
        <v>1</v>
      </c>
    </row>
    <row r="303" spans="1:7" x14ac:dyDescent="0.3">
      <c r="A303" s="9" t="s">
        <v>179</v>
      </c>
      <c r="B303" s="9" t="s">
        <v>79</v>
      </c>
      <c r="C303" s="10">
        <v>2.6339999999999999</v>
      </c>
      <c r="D303" s="10">
        <v>-1.9077200269550001</v>
      </c>
      <c r="E303" s="9" t="s">
        <v>87</v>
      </c>
      <c r="F303" s="10">
        <v>10</v>
      </c>
      <c r="G303" s="10">
        <v>1</v>
      </c>
    </row>
    <row r="304" spans="1:7" x14ac:dyDescent="0.3">
      <c r="A304" s="9" t="s">
        <v>179</v>
      </c>
      <c r="B304" s="9" t="s">
        <v>81</v>
      </c>
      <c r="C304" s="10">
        <v>6.5609999999999999</v>
      </c>
      <c r="D304" s="10">
        <v>-1.9077200269550001</v>
      </c>
      <c r="E304" s="9" t="s">
        <v>87</v>
      </c>
      <c r="F304" s="10">
        <v>10</v>
      </c>
      <c r="G304" s="10">
        <v>1</v>
      </c>
    </row>
    <row r="305" spans="1:7" x14ac:dyDescent="0.3">
      <c r="A305" s="9" t="s">
        <v>179</v>
      </c>
      <c r="B305" s="9" t="s">
        <v>78</v>
      </c>
      <c r="C305" s="10">
        <v>4.3620000000000001</v>
      </c>
      <c r="D305" s="10">
        <v>-1.9077200269550001</v>
      </c>
      <c r="E305" s="9" t="s">
        <v>87</v>
      </c>
      <c r="F305" s="10">
        <v>10</v>
      </c>
      <c r="G305" s="10">
        <v>1</v>
      </c>
    </row>
    <row r="306" spans="1:7" x14ac:dyDescent="0.3">
      <c r="A306" s="9" t="s">
        <v>179</v>
      </c>
      <c r="B306" s="9" t="s">
        <v>82</v>
      </c>
      <c r="C306" s="10">
        <v>1.42</v>
      </c>
      <c r="D306" s="10">
        <v>-1.9077200269550001</v>
      </c>
      <c r="E306" s="9" t="s">
        <v>87</v>
      </c>
      <c r="F306" s="10">
        <v>10</v>
      </c>
      <c r="G306" s="10">
        <v>1</v>
      </c>
    </row>
    <row r="307" spans="1:7" x14ac:dyDescent="0.3">
      <c r="A307" s="9" t="s">
        <v>178</v>
      </c>
      <c r="B307" s="9" t="s">
        <v>80</v>
      </c>
      <c r="C307" s="10">
        <v>12.180999999999999</v>
      </c>
      <c r="D307" s="10">
        <v>-0.63271657327200004</v>
      </c>
      <c r="E307" s="9" t="s">
        <v>87</v>
      </c>
      <c r="F307" s="10">
        <v>33</v>
      </c>
      <c r="G307" s="10">
        <v>1</v>
      </c>
    </row>
    <row r="308" spans="1:7" x14ac:dyDescent="0.3">
      <c r="A308" s="9" t="s">
        <v>178</v>
      </c>
      <c r="B308" s="9" t="s">
        <v>79</v>
      </c>
      <c r="C308" s="10">
        <v>2.153</v>
      </c>
      <c r="D308" s="10">
        <v>-0.63271657327200004</v>
      </c>
      <c r="E308" s="9" t="s">
        <v>87</v>
      </c>
      <c r="F308" s="10">
        <v>33</v>
      </c>
      <c r="G308" s="10">
        <v>1</v>
      </c>
    </row>
    <row r="309" spans="1:7" x14ac:dyDescent="0.3">
      <c r="A309" s="9" t="s">
        <v>178</v>
      </c>
      <c r="B309" s="9" t="s">
        <v>81</v>
      </c>
      <c r="C309" s="10">
        <v>7.6980000000000004</v>
      </c>
      <c r="D309" s="10">
        <v>-0.63271657327200004</v>
      </c>
      <c r="E309" s="9" t="s">
        <v>87</v>
      </c>
      <c r="F309" s="10">
        <v>33</v>
      </c>
      <c r="G309" s="10">
        <v>1</v>
      </c>
    </row>
    <row r="310" spans="1:7" x14ac:dyDescent="0.3">
      <c r="A310" s="9" t="s">
        <v>178</v>
      </c>
      <c r="B310" s="9" t="s">
        <v>78</v>
      </c>
      <c r="C310" s="10">
        <v>5.8209999999999997</v>
      </c>
      <c r="D310" s="10">
        <v>-0.63271657327200004</v>
      </c>
      <c r="E310" s="9" t="s">
        <v>87</v>
      </c>
      <c r="F310" s="10">
        <v>33</v>
      </c>
      <c r="G310" s="10">
        <v>1</v>
      </c>
    </row>
    <row r="311" spans="1:7" x14ac:dyDescent="0.3">
      <c r="A311" s="9" t="s">
        <v>178</v>
      </c>
      <c r="B311" s="9" t="s">
        <v>82</v>
      </c>
      <c r="C311" s="10">
        <v>2.181</v>
      </c>
      <c r="D311" s="10">
        <v>-0.63271657327200004</v>
      </c>
      <c r="E311" s="9" t="s">
        <v>87</v>
      </c>
      <c r="F311" s="10">
        <v>33</v>
      </c>
      <c r="G311" s="10">
        <v>1</v>
      </c>
    </row>
    <row r="312" spans="1:7" x14ac:dyDescent="0.3">
      <c r="A312" s="9" t="s">
        <v>177</v>
      </c>
      <c r="B312" s="9" t="s">
        <v>80</v>
      </c>
      <c r="C312" s="10">
        <v>12.840999999999999</v>
      </c>
      <c r="D312" s="10">
        <v>0.49679593459100002</v>
      </c>
      <c r="E312" s="9" t="s">
        <v>88</v>
      </c>
      <c r="F312" s="10">
        <v>7</v>
      </c>
      <c r="G312" s="10">
        <v>1</v>
      </c>
    </row>
    <row r="313" spans="1:7" x14ac:dyDescent="0.3">
      <c r="A313" s="9" t="s">
        <v>177</v>
      </c>
      <c r="B313" s="9" t="s">
        <v>79</v>
      </c>
      <c r="C313" s="10">
        <v>4.5199999999999996</v>
      </c>
      <c r="D313" s="10">
        <v>0.49679593459100002</v>
      </c>
      <c r="E313" s="9" t="s">
        <v>88</v>
      </c>
      <c r="F313" s="10">
        <v>7</v>
      </c>
      <c r="G313" s="10">
        <v>1</v>
      </c>
    </row>
    <row r="314" spans="1:7" x14ac:dyDescent="0.3">
      <c r="A314" s="9" t="s">
        <v>177</v>
      </c>
      <c r="B314" s="9" t="s">
        <v>81</v>
      </c>
      <c r="C314" s="10">
        <v>8.7309999999999999</v>
      </c>
      <c r="D314" s="10">
        <v>0.49679593459100002</v>
      </c>
      <c r="E314" s="9" t="s">
        <v>88</v>
      </c>
      <c r="F314" s="10">
        <v>7</v>
      </c>
      <c r="G314" s="10">
        <v>1</v>
      </c>
    </row>
    <row r="315" spans="1:7" x14ac:dyDescent="0.3">
      <c r="A315" s="9" t="s">
        <v>177</v>
      </c>
      <c r="B315" s="9" t="s">
        <v>78</v>
      </c>
      <c r="C315" s="10">
        <v>6.6820000000000004</v>
      </c>
      <c r="D315" s="10">
        <v>0.49679593459100002</v>
      </c>
      <c r="E315" s="9" t="s">
        <v>88</v>
      </c>
      <c r="F315" s="10">
        <v>7</v>
      </c>
      <c r="G315" s="10">
        <v>1</v>
      </c>
    </row>
    <row r="316" spans="1:7" x14ac:dyDescent="0.3">
      <c r="A316" s="9" t="s">
        <v>177</v>
      </c>
      <c r="B316" s="9" t="s">
        <v>82</v>
      </c>
      <c r="C316" s="10">
        <v>2.4700000000000002</v>
      </c>
      <c r="D316" s="10">
        <v>0.49679593459100002</v>
      </c>
      <c r="E316" s="9" t="s">
        <v>88</v>
      </c>
      <c r="F316" s="10">
        <v>7</v>
      </c>
      <c r="G316" s="10">
        <v>1</v>
      </c>
    </row>
    <row r="317" spans="1:7" x14ac:dyDescent="0.3">
      <c r="A317" s="9" t="s">
        <v>176</v>
      </c>
      <c r="B317" s="9" t="s">
        <v>80</v>
      </c>
      <c r="C317" s="10">
        <v>11.839</v>
      </c>
      <c r="D317" s="10">
        <v>-1.9870210847009999</v>
      </c>
      <c r="E317" s="9" t="s">
        <v>87</v>
      </c>
      <c r="F317" s="10">
        <v>52</v>
      </c>
      <c r="G317" s="10">
        <v>0</v>
      </c>
    </row>
    <row r="318" spans="1:7" x14ac:dyDescent="0.3">
      <c r="A318" s="9" t="s">
        <v>176</v>
      </c>
      <c r="B318" s="9" t="s">
        <v>79</v>
      </c>
      <c r="C318" s="10">
        <v>4.6379999999999999</v>
      </c>
      <c r="D318" s="10">
        <v>-1.9870210847009999</v>
      </c>
      <c r="E318" s="9" t="s">
        <v>87</v>
      </c>
      <c r="F318" s="10">
        <v>52</v>
      </c>
      <c r="G318" s="10">
        <v>0</v>
      </c>
    </row>
    <row r="319" spans="1:7" x14ac:dyDescent="0.3">
      <c r="A319" s="9" t="s">
        <v>176</v>
      </c>
      <c r="B319" s="9" t="s">
        <v>81</v>
      </c>
      <c r="C319" s="10">
        <v>8.9459999999999997</v>
      </c>
      <c r="D319" s="10">
        <v>-1.9870210847009999</v>
      </c>
      <c r="E319" s="9" t="s">
        <v>87</v>
      </c>
      <c r="F319" s="10">
        <v>52</v>
      </c>
      <c r="G319" s="10">
        <v>0</v>
      </c>
    </row>
    <row r="320" spans="1:7" x14ac:dyDescent="0.3">
      <c r="A320" s="9" t="s">
        <v>176</v>
      </c>
      <c r="B320" s="9" t="s">
        <v>78</v>
      </c>
      <c r="C320" s="10">
        <v>6.5419999999999998</v>
      </c>
      <c r="D320" s="10">
        <v>-1.9870210847009999</v>
      </c>
      <c r="E320" s="9" t="s">
        <v>87</v>
      </c>
      <c r="F320" s="10">
        <v>52</v>
      </c>
      <c r="G320" s="10">
        <v>0</v>
      </c>
    </row>
    <row r="321" spans="1:7" x14ac:dyDescent="0.3">
      <c r="A321" s="9" t="s">
        <v>176</v>
      </c>
      <c r="B321" s="9" t="s">
        <v>82</v>
      </c>
      <c r="C321" s="10">
        <v>2.13</v>
      </c>
      <c r="D321" s="10">
        <v>-1.9870210847009999</v>
      </c>
      <c r="E321" s="9" t="s">
        <v>87</v>
      </c>
      <c r="F321" s="10">
        <v>52</v>
      </c>
      <c r="G321" s="10">
        <v>0</v>
      </c>
    </row>
    <row r="322" spans="1:7" x14ac:dyDescent="0.3">
      <c r="A322" s="9" t="s">
        <v>175</v>
      </c>
      <c r="B322" s="9" t="s">
        <v>80</v>
      </c>
      <c r="C322" s="10">
        <v>11.911</v>
      </c>
      <c r="D322" s="10">
        <v>-1.968189079419</v>
      </c>
      <c r="E322" s="9" t="s">
        <v>87</v>
      </c>
      <c r="F322" s="10">
        <v>45</v>
      </c>
      <c r="G322" s="10">
        <v>1</v>
      </c>
    </row>
    <row r="323" spans="1:7" x14ac:dyDescent="0.3">
      <c r="A323" s="9" t="s">
        <v>175</v>
      </c>
      <c r="B323" s="9" t="s">
        <v>79</v>
      </c>
      <c r="C323" s="10">
        <v>2.835</v>
      </c>
      <c r="D323" s="10">
        <v>-1.968189079419</v>
      </c>
      <c r="E323" s="9" t="s">
        <v>87</v>
      </c>
      <c r="F323" s="10">
        <v>45</v>
      </c>
      <c r="G323" s="10">
        <v>1</v>
      </c>
    </row>
    <row r="324" spans="1:7" x14ac:dyDescent="0.3">
      <c r="A324" s="9" t="s">
        <v>175</v>
      </c>
      <c r="B324" s="9" t="s">
        <v>81</v>
      </c>
      <c r="C324" s="10">
        <v>7.0279999999999996</v>
      </c>
      <c r="D324" s="10">
        <v>-1.968189079419</v>
      </c>
      <c r="E324" s="9" t="s">
        <v>87</v>
      </c>
      <c r="F324" s="10">
        <v>45</v>
      </c>
      <c r="G324" s="10">
        <v>1</v>
      </c>
    </row>
    <row r="325" spans="1:7" x14ac:dyDescent="0.3">
      <c r="A325" s="9" t="s">
        <v>175</v>
      </c>
      <c r="B325" s="9" t="s">
        <v>78</v>
      </c>
      <c r="C325" s="10">
        <v>4.806</v>
      </c>
      <c r="D325" s="10">
        <v>-1.968189079419</v>
      </c>
      <c r="E325" s="9" t="s">
        <v>87</v>
      </c>
      <c r="F325" s="10">
        <v>45</v>
      </c>
      <c r="G325" s="10">
        <v>1</v>
      </c>
    </row>
    <row r="326" spans="1:7" x14ac:dyDescent="0.3">
      <c r="A326" s="9" t="s">
        <v>175</v>
      </c>
      <c r="B326" s="9" t="s">
        <v>82</v>
      </c>
      <c r="C326" s="10">
        <v>2.0070000000000001</v>
      </c>
      <c r="D326" s="10">
        <v>-1.968189079419</v>
      </c>
      <c r="E326" s="9" t="s">
        <v>87</v>
      </c>
      <c r="F326" s="10">
        <v>45</v>
      </c>
      <c r="G326" s="10">
        <v>1</v>
      </c>
    </row>
    <row r="327" spans="1:7" x14ac:dyDescent="0.3">
      <c r="A327" s="9" t="s">
        <v>174</v>
      </c>
      <c r="B327" s="9" t="s">
        <v>80</v>
      </c>
      <c r="C327" s="10">
        <v>7.4059999999999997</v>
      </c>
      <c r="D327" s="10">
        <v>-0.58175613521799996</v>
      </c>
      <c r="E327" s="9" t="s">
        <v>87</v>
      </c>
      <c r="F327" s="10">
        <v>16</v>
      </c>
      <c r="G327" s="10">
        <v>1</v>
      </c>
    </row>
    <row r="328" spans="1:7" x14ac:dyDescent="0.3">
      <c r="A328" s="9" t="s">
        <v>174</v>
      </c>
      <c r="B328" s="9" t="s">
        <v>79</v>
      </c>
      <c r="C328" s="10">
        <v>1.919</v>
      </c>
      <c r="D328" s="10">
        <v>-0.58175613521799996</v>
      </c>
      <c r="E328" s="9" t="s">
        <v>87</v>
      </c>
      <c r="F328" s="10">
        <v>16</v>
      </c>
      <c r="G328" s="10">
        <v>1</v>
      </c>
    </row>
    <row r="329" spans="1:7" x14ac:dyDescent="0.3">
      <c r="A329" s="9" t="s">
        <v>174</v>
      </c>
      <c r="B329" s="9" t="s">
        <v>81</v>
      </c>
      <c r="C329" s="10">
        <v>5.9859999999999998</v>
      </c>
      <c r="D329" s="10">
        <v>-0.58175613521799996</v>
      </c>
      <c r="E329" s="9" t="s">
        <v>87</v>
      </c>
      <c r="F329" s="10">
        <v>16</v>
      </c>
      <c r="G329" s="10">
        <v>1</v>
      </c>
    </row>
    <row r="330" spans="1:7" x14ac:dyDescent="0.3">
      <c r="A330" s="9" t="s">
        <v>174</v>
      </c>
      <c r="B330" s="9" t="s">
        <v>78</v>
      </c>
      <c r="C330" s="10">
        <v>3.4940000000000002</v>
      </c>
      <c r="D330" s="10">
        <v>-0.58175613521799996</v>
      </c>
      <c r="E330" s="9" t="s">
        <v>87</v>
      </c>
      <c r="F330" s="10">
        <v>16</v>
      </c>
      <c r="G330" s="10">
        <v>1</v>
      </c>
    </row>
    <row r="331" spans="1:7" x14ac:dyDescent="0.3">
      <c r="A331" s="9" t="s">
        <v>174</v>
      </c>
      <c r="B331" s="9" t="s">
        <v>82</v>
      </c>
      <c r="C331" s="10">
        <v>1.762</v>
      </c>
      <c r="D331" s="10">
        <v>-0.58175613521799996</v>
      </c>
      <c r="E331" s="9" t="s">
        <v>87</v>
      </c>
      <c r="F331" s="10">
        <v>16</v>
      </c>
      <c r="G331" s="10">
        <v>1</v>
      </c>
    </row>
    <row r="332" spans="1:7" x14ac:dyDescent="0.3">
      <c r="A332" s="9" t="s">
        <v>173</v>
      </c>
      <c r="B332" s="9" t="s">
        <v>80</v>
      </c>
      <c r="C332" s="10">
        <v>3.089</v>
      </c>
      <c r="D332" s="10">
        <v>1.5327003303999999E-2</v>
      </c>
      <c r="E332" s="9" t="s">
        <v>88</v>
      </c>
      <c r="F332" s="10">
        <v>18</v>
      </c>
      <c r="G332" s="10">
        <v>1</v>
      </c>
    </row>
    <row r="333" spans="1:7" x14ac:dyDescent="0.3">
      <c r="A333" s="9" t="s">
        <v>173</v>
      </c>
      <c r="B333" s="9" t="s">
        <v>79</v>
      </c>
      <c r="C333" s="10">
        <v>1.4730000000000001</v>
      </c>
      <c r="D333" s="10">
        <v>1.5327003303999999E-2</v>
      </c>
      <c r="E333" s="9" t="s">
        <v>88</v>
      </c>
      <c r="F333" s="10">
        <v>18</v>
      </c>
      <c r="G333" s="10">
        <v>1</v>
      </c>
    </row>
    <row r="334" spans="1:7" x14ac:dyDescent="0.3">
      <c r="A334" s="9" t="s">
        <v>173</v>
      </c>
      <c r="B334" s="9" t="s">
        <v>81</v>
      </c>
      <c r="C334" s="10">
        <v>6.7750000000000004</v>
      </c>
      <c r="D334" s="10">
        <v>1.5327003303999999E-2</v>
      </c>
      <c r="E334" s="9" t="s">
        <v>88</v>
      </c>
      <c r="F334" s="10">
        <v>18</v>
      </c>
      <c r="G334" s="10">
        <v>1</v>
      </c>
    </row>
    <row r="335" spans="1:7" x14ac:dyDescent="0.3">
      <c r="A335" s="9" t="s">
        <v>173</v>
      </c>
      <c r="B335" s="9" t="s">
        <v>78</v>
      </c>
      <c r="C335" s="10">
        <v>3.2029999999999998</v>
      </c>
      <c r="D335" s="10">
        <v>1.5327003303999999E-2</v>
      </c>
      <c r="E335" s="9" t="s">
        <v>88</v>
      </c>
      <c r="F335" s="10">
        <v>18</v>
      </c>
      <c r="G335" s="10">
        <v>1</v>
      </c>
    </row>
    <row r="336" spans="1:7" x14ac:dyDescent="0.3">
      <c r="A336" s="9" t="s">
        <v>173</v>
      </c>
      <c r="B336" s="9" t="s">
        <v>82</v>
      </c>
      <c r="C336" s="10">
        <v>0.752</v>
      </c>
      <c r="D336" s="10">
        <v>1.5327003303999999E-2</v>
      </c>
      <c r="E336" s="9" t="s">
        <v>88</v>
      </c>
      <c r="F336" s="10">
        <v>18</v>
      </c>
      <c r="G336" s="10">
        <v>1</v>
      </c>
    </row>
    <row r="337" spans="1:7" x14ac:dyDescent="0.3">
      <c r="A337" s="9" t="s">
        <v>172</v>
      </c>
      <c r="B337" s="9" t="s">
        <v>80</v>
      </c>
      <c r="C337" s="10">
        <v>7.1909999999999998</v>
      </c>
      <c r="D337" s="10">
        <v>0.111214690556</v>
      </c>
      <c r="E337" s="9" t="s">
        <v>88</v>
      </c>
      <c r="F337" s="10">
        <v>9</v>
      </c>
      <c r="G337" s="10">
        <v>1</v>
      </c>
    </row>
    <row r="338" spans="1:7" x14ac:dyDescent="0.3">
      <c r="A338" s="9" t="s">
        <v>172</v>
      </c>
      <c r="B338" s="9" t="s">
        <v>79</v>
      </c>
      <c r="C338" s="10">
        <v>0.58699999999999997</v>
      </c>
      <c r="D338" s="10">
        <v>0.111214690556</v>
      </c>
      <c r="E338" s="9" t="s">
        <v>88</v>
      </c>
      <c r="F338" s="10">
        <v>9</v>
      </c>
      <c r="G338" s="10">
        <v>1</v>
      </c>
    </row>
    <row r="339" spans="1:7" x14ac:dyDescent="0.3">
      <c r="A339" s="9" t="s">
        <v>172</v>
      </c>
      <c r="B339" s="9" t="s">
        <v>81</v>
      </c>
      <c r="C339" s="10">
        <v>6.1230000000000002</v>
      </c>
      <c r="D339" s="10">
        <v>0.111214690556</v>
      </c>
      <c r="E339" s="9" t="s">
        <v>88</v>
      </c>
      <c r="F339" s="10">
        <v>9</v>
      </c>
      <c r="G339" s="10">
        <v>1</v>
      </c>
    </row>
    <row r="340" spans="1:7" x14ac:dyDescent="0.3">
      <c r="A340" s="9" t="s">
        <v>172</v>
      </c>
      <c r="B340" s="9" t="s">
        <v>78</v>
      </c>
      <c r="C340" s="10">
        <v>4.319</v>
      </c>
      <c r="D340" s="10">
        <v>0.111214690556</v>
      </c>
      <c r="E340" s="9" t="s">
        <v>88</v>
      </c>
      <c r="F340" s="10">
        <v>9</v>
      </c>
      <c r="G340" s="10">
        <v>1</v>
      </c>
    </row>
    <row r="341" spans="1:7" x14ac:dyDescent="0.3">
      <c r="A341" s="9" t="s">
        <v>172</v>
      </c>
      <c r="B341" s="9" t="s">
        <v>82</v>
      </c>
      <c r="C341" s="10">
        <v>1.2629999999999999</v>
      </c>
      <c r="D341" s="10">
        <v>0.111214690556</v>
      </c>
      <c r="E341" s="9" t="s">
        <v>88</v>
      </c>
      <c r="F341" s="10">
        <v>9</v>
      </c>
      <c r="G341" s="10">
        <v>1</v>
      </c>
    </row>
    <row r="342" spans="1:7" x14ac:dyDescent="0.3">
      <c r="A342" s="9" t="s">
        <v>171</v>
      </c>
      <c r="B342" s="9" t="s">
        <v>80</v>
      </c>
      <c r="C342" s="10">
        <v>5.3890000000000002</v>
      </c>
      <c r="D342" s="10">
        <v>-0.83671211893300002</v>
      </c>
      <c r="E342" s="9" t="s">
        <v>87</v>
      </c>
      <c r="F342" s="10">
        <v>12</v>
      </c>
      <c r="G342" s="10">
        <v>1</v>
      </c>
    </row>
    <row r="343" spans="1:7" x14ac:dyDescent="0.3">
      <c r="A343" s="9" t="s">
        <v>171</v>
      </c>
      <c r="B343" s="9" t="s">
        <v>79</v>
      </c>
      <c r="C343" s="10">
        <v>3.11</v>
      </c>
      <c r="D343" s="10">
        <v>-0.83671211893300002</v>
      </c>
      <c r="E343" s="9" t="s">
        <v>87</v>
      </c>
      <c r="F343" s="10">
        <v>12</v>
      </c>
      <c r="G343" s="10">
        <v>1</v>
      </c>
    </row>
    <row r="344" spans="1:7" x14ac:dyDescent="0.3">
      <c r="A344" s="9" t="s">
        <v>171</v>
      </c>
      <c r="B344" s="9" t="s">
        <v>81</v>
      </c>
      <c r="C344" s="10">
        <v>6.4429999999999996</v>
      </c>
      <c r="D344" s="10">
        <v>-0.83671211893300002</v>
      </c>
      <c r="E344" s="9" t="s">
        <v>87</v>
      </c>
      <c r="F344" s="10">
        <v>12</v>
      </c>
      <c r="G344" s="10">
        <v>1</v>
      </c>
    </row>
    <row r="345" spans="1:7" x14ac:dyDescent="0.3">
      <c r="A345" s="9" t="s">
        <v>171</v>
      </c>
      <c r="B345" s="9" t="s">
        <v>78</v>
      </c>
      <c r="C345" s="10">
        <v>3.448</v>
      </c>
      <c r="D345" s="10">
        <v>-0.83671211893300002</v>
      </c>
      <c r="E345" s="9" t="s">
        <v>87</v>
      </c>
      <c r="F345" s="10">
        <v>12</v>
      </c>
      <c r="G345" s="10">
        <v>1</v>
      </c>
    </row>
    <row r="346" spans="1:7" x14ac:dyDescent="0.3">
      <c r="A346" s="9" t="s">
        <v>171</v>
      </c>
      <c r="B346" s="9" t="s">
        <v>82</v>
      </c>
      <c r="C346" s="10">
        <v>1.87</v>
      </c>
      <c r="D346" s="10">
        <v>-0.83671211893300002</v>
      </c>
      <c r="E346" s="9" t="s">
        <v>87</v>
      </c>
      <c r="F346" s="10">
        <v>12</v>
      </c>
      <c r="G346" s="10">
        <v>1</v>
      </c>
    </row>
    <row r="347" spans="1:7" x14ac:dyDescent="0.3">
      <c r="A347" s="9" t="s">
        <v>170</v>
      </c>
      <c r="B347" s="9" t="s">
        <v>80</v>
      </c>
      <c r="C347" s="10">
        <v>13.109</v>
      </c>
      <c r="D347" s="10">
        <v>0.89987809813599995</v>
      </c>
      <c r="E347" s="9" t="s">
        <v>88</v>
      </c>
      <c r="F347" s="10">
        <v>32</v>
      </c>
      <c r="G347" s="10">
        <v>1</v>
      </c>
    </row>
    <row r="348" spans="1:7" x14ac:dyDescent="0.3">
      <c r="A348" s="9" t="s">
        <v>170</v>
      </c>
      <c r="B348" s="9" t="s">
        <v>79</v>
      </c>
      <c r="C348" s="10">
        <v>2.2469999999999999</v>
      </c>
      <c r="D348" s="10">
        <v>0.89987809813599995</v>
      </c>
      <c r="E348" s="9" t="s">
        <v>88</v>
      </c>
      <c r="F348" s="10">
        <v>32</v>
      </c>
      <c r="G348" s="10">
        <v>1</v>
      </c>
    </row>
    <row r="349" spans="1:7" x14ac:dyDescent="0.3">
      <c r="A349" s="9" t="s">
        <v>170</v>
      </c>
      <c r="B349" s="9" t="s">
        <v>81</v>
      </c>
      <c r="C349" s="10">
        <v>8.0359999999999996</v>
      </c>
      <c r="D349" s="10">
        <v>0.89987809813599995</v>
      </c>
      <c r="E349" s="9" t="s">
        <v>88</v>
      </c>
      <c r="F349" s="10">
        <v>32</v>
      </c>
      <c r="G349" s="10">
        <v>1</v>
      </c>
    </row>
    <row r="350" spans="1:7" x14ac:dyDescent="0.3">
      <c r="A350" s="9" t="s">
        <v>170</v>
      </c>
      <c r="B350" s="9" t="s">
        <v>78</v>
      </c>
      <c r="C350" s="10">
        <v>5.923</v>
      </c>
      <c r="D350" s="10">
        <v>0.89987809813599995</v>
      </c>
      <c r="E350" s="9" t="s">
        <v>88</v>
      </c>
      <c r="F350" s="10">
        <v>32</v>
      </c>
      <c r="G350" s="10">
        <v>1</v>
      </c>
    </row>
    <row r="351" spans="1:7" x14ac:dyDescent="0.3">
      <c r="A351" s="9" t="s">
        <v>170</v>
      </c>
      <c r="B351" s="9" t="s">
        <v>82</v>
      </c>
      <c r="C351" s="10">
        <v>1.7869999999999999</v>
      </c>
      <c r="D351" s="10">
        <v>0.89987809813599995</v>
      </c>
      <c r="E351" s="9" t="s">
        <v>88</v>
      </c>
      <c r="F351" s="10">
        <v>32</v>
      </c>
      <c r="G351" s="10">
        <v>1</v>
      </c>
    </row>
    <row r="352" spans="1:7" x14ac:dyDescent="0.3">
      <c r="A352" s="9" t="s">
        <v>169</v>
      </c>
      <c r="B352" s="9" t="s">
        <v>80</v>
      </c>
      <c r="C352" s="10">
        <v>3.2919999999999998</v>
      </c>
      <c r="D352" s="10">
        <v>4.7237201350999999E-2</v>
      </c>
      <c r="E352" s="9" t="s">
        <v>88</v>
      </c>
      <c r="F352" s="10">
        <v>0</v>
      </c>
      <c r="G352" s="10">
        <v>1</v>
      </c>
    </row>
    <row r="353" spans="1:7" x14ac:dyDescent="0.3">
      <c r="A353" s="9" t="s">
        <v>169</v>
      </c>
      <c r="B353" s="9" t="s">
        <v>79</v>
      </c>
      <c r="C353" s="10">
        <v>2.077</v>
      </c>
      <c r="D353" s="10">
        <v>4.7237201350999999E-2</v>
      </c>
      <c r="E353" s="9" t="s">
        <v>88</v>
      </c>
      <c r="F353" s="10">
        <v>0</v>
      </c>
      <c r="G353" s="10">
        <v>1</v>
      </c>
    </row>
    <row r="354" spans="1:7" x14ac:dyDescent="0.3">
      <c r="A354" s="9" t="s">
        <v>169</v>
      </c>
      <c r="B354" s="9" t="s">
        <v>81</v>
      </c>
      <c r="C354" s="10">
        <v>5.64</v>
      </c>
      <c r="D354" s="10">
        <v>4.7237201350999999E-2</v>
      </c>
      <c r="E354" s="9" t="s">
        <v>88</v>
      </c>
      <c r="F354" s="10">
        <v>0</v>
      </c>
      <c r="G354" s="10">
        <v>1</v>
      </c>
    </row>
    <row r="355" spans="1:7" x14ac:dyDescent="0.3">
      <c r="A355" s="9" t="s">
        <v>169</v>
      </c>
      <c r="B355" s="9" t="s">
        <v>78</v>
      </c>
      <c r="C355" s="10">
        <v>2.681</v>
      </c>
      <c r="D355" s="10">
        <v>4.7237201350999999E-2</v>
      </c>
      <c r="E355" s="9" t="s">
        <v>88</v>
      </c>
      <c r="F355" s="10">
        <v>0</v>
      </c>
      <c r="G355" s="10">
        <v>1</v>
      </c>
    </row>
    <row r="356" spans="1:7" x14ac:dyDescent="0.3">
      <c r="A356" s="9" t="s">
        <v>169</v>
      </c>
      <c r="B356" s="9" t="s">
        <v>82</v>
      </c>
      <c r="C356" s="10">
        <v>1.8640000000000001</v>
      </c>
      <c r="D356" s="10">
        <v>4.7237201350999999E-2</v>
      </c>
      <c r="E356" s="9" t="s">
        <v>88</v>
      </c>
      <c r="F356" s="10">
        <v>0</v>
      </c>
      <c r="G356" s="10">
        <v>1</v>
      </c>
    </row>
    <row r="357" spans="1:7" x14ac:dyDescent="0.3">
      <c r="A357" s="9" t="s">
        <v>168</v>
      </c>
      <c r="B357" s="9" t="s">
        <v>80</v>
      </c>
      <c r="C357" s="10">
        <v>5.0250000000000004</v>
      </c>
      <c r="D357" s="10">
        <v>-0.82027612562200003</v>
      </c>
      <c r="E357" s="9" t="s">
        <v>87</v>
      </c>
      <c r="F357" s="10">
        <v>0</v>
      </c>
      <c r="G357" s="10">
        <v>0</v>
      </c>
    </row>
    <row r="358" spans="1:7" x14ac:dyDescent="0.3">
      <c r="A358" s="9" t="s">
        <v>168</v>
      </c>
      <c r="B358" s="9" t="s">
        <v>79</v>
      </c>
      <c r="C358" s="10">
        <v>1.3</v>
      </c>
      <c r="D358" s="10">
        <v>-0.82027612562200003</v>
      </c>
      <c r="E358" s="9" t="s">
        <v>87</v>
      </c>
      <c r="F358" s="10">
        <v>0</v>
      </c>
      <c r="G358" s="10">
        <v>0</v>
      </c>
    </row>
    <row r="359" spans="1:7" x14ac:dyDescent="0.3">
      <c r="A359" s="9" t="s">
        <v>168</v>
      </c>
      <c r="B359" s="9" t="s">
        <v>81</v>
      </c>
      <c r="C359" s="10">
        <v>7.3689999999999998</v>
      </c>
      <c r="D359" s="10">
        <v>-0.82027612562200003</v>
      </c>
      <c r="E359" s="9" t="s">
        <v>87</v>
      </c>
      <c r="F359" s="10">
        <v>0</v>
      </c>
      <c r="G359" s="10">
        <v>0</v>
      </c>
    </row>
    <row r="360" spans="1:7" x14ac:dyDescent="0.3">
      <c r="A360" s="9" t="s">
        <v>168</v>
      </c>
      <c r="B360" s="9" t="s">
        <v>78</v>
      </c>
      <c r="C360" s="10">
        <v>3.7440000000000002</v>
      </c>
      <c r="D360" s="10">
        <v>-0.82027612562200003</v>
      </c>
      <c r="E360" s="9" t="s">
        <v>87</v>
      </c>
      <c r="F360" s="10">
        <v>0</v>
      </c>
      <c r="G360" s="10">
        <v>0</v>
      </c>
    </row>
    <row r="361" spans="1:7" x14ac:dyDescent="0.3">
      <c r="A361" s="9" t="s">
        <v>168</v>
      </c>
      <c r="B361" s="9" t="s">
        <v>82</v>
      </c>
      <c r="C361" s="10">
        <v>1.5329999999999999</v>
      </c>
      <c r="D361" s="10">
        <v>-0.82027612562200003</v>
      </c>
      <c r="E361" s="9" t="s">
        <v>87</v>
      </c>
      <c r="F361" s="10">
        <v>0</v>
      </c>
      <c r="G361" s="10">
        <v>0</v>
      </c>
    </row>
    <row r="362" spans="1:7" x14ac:dyDescent="0.3">
      <c r="A362" s="9" t="s">
        <v>167</v>
      </c>
      <c r="B362" s="9" t="s">
        <v>80</v>
      </c>
      <c r="C362" s="10">
        <v>4.4660000000000002</v>
      </c>
      <c r="D362" s="10">
        <v>-1.12360453343</v>
      </c>
      <c r="E362" s="9" t="s">
        <v>87</v>
      </c>
      <c r="F362" s="10">
        <v>7</v>
      </c>
      <c r="G362" s="10">
        <v>1</v>
      </c>
    </row>
    <row r="363" spans="1:7" x14ac:dyDescent="0.3">
      <c r="A363" s="9" t="s">
        <v>167</v>
      </c>
      <c r="B363" s="9" t="s">
        <v>79</v>
      </c>
      <c r="C363" s="10">
        <v>3.3780000000000001</v>
      </c>
      <c r="D363" s="10">
        <v>-1.12360453343</v>
      </c>
      <c r="E363" s="9" t="s">
        <v>87</v>
      </c>
      <c r="F363" s="10">
        <v>7</v>
      </c>
      <c r="G363" s="10">
        <v>1</v>
      </c>
    </row>
    <row r="364" spans="1:7" x14ac:dyDescent="0.3">
      <c r="A364" s="9" t="s">
        <v>167</v>
      </c>
      <c r="B364" s="9" t="s">
        <v>81</v>
      </c>
      <c r="C364" s="10">
        <v>7.2140000000000004</v>
      </c>
      <c r="D364" s="10">
        <v>-1.12360453343</v>
      </c>
      <c r="E364" s="9" t="s">
        <v>87</v>
      </c>
      <c r="F364" s="10">
        <v>7</v>
      </c>
      <c r="G364" s="10">
        <v>1</v>
      </c>
    </row>
    <row r="365" spans="1:7" x14ac:dyDescent="0.3">
      <c r="A365" s="9" t="s">
        <v>167</v>
      </c>
      <c r="B365" s="9" t="s">
        <v>78</v>
      </c>
      <c r="C365" s="10">
        <v>3.6419999999999999</v>
      </c>
      <c r="D365" s="10">
        <v>-1.12360453343</v>
      </c>
      <c r="E365" s="9" t="s">
        <v>87</v>
      </c>
      <c r="F365" s="10">
        <v>7</v>
      </c>
      <c r="G365" s="10">
        <v>1</v>
      </c>
    </row>
    <row r="366" spans="1:7" x14ac:dyDescent="0.3">
      <c r="A366" s="9" t="s">
        <v>167</v>
      </c>
      <c r="B366" s="9" t="s">
        <v>82</v>
      </c>
      <c r="C366" s="10">
        <v>0.54500000000000004</v>
      </c>
      <c r="D366" s="10">
        <v>-1.12360453343</v>
      </c>
      <c r="E366" s="9" t="s">
        <v>87</v>
      </c>
      <c r="F366" s="10">
        <v>7</v>
      </c>
      <c r="G366" s="10">
        <v>1</v>
      </c>
    </row>
    <row r="367" spans="1:7" x14ac:dyDescent="0.3">
      <c r="A367" s="9" t="s">
        <v>166</v>
      </c>
      <c r="B367" s="9" t="s">
        <v>80</v>
      </c>
      <c r="C367" s="10">
        <v>10.545999999999999</v>
      </c>
      <c r="D367" s="10">
        <v>-0.45513747635200003</v>
      </c>
      <c r="E367" s="9" t="s">
        <v>88</v>
      </c>
      <c r="F367" s="10">
        <v>3</v>
      </c>
      <c r="G367" s="10">
        <v>1</v>
      </c>
    </row>
    <row r="368" spans="1:7" x14ac:dyDescent="0.3">
      <c r="A368" s="9" t="s">
        <v>166</v>
      </c>
      <c r="B368" s="9" t="s">
        <v>79</v>
      </c>
      <c r="C368" s="10">
        <v>1.9359999999999999</v>
      </c>
      <c r="D368" s="10">
        <v>-0.45513747635200003</v>
      </c>
      <c r="E368" s="9" t="s">
        <v>88</v>
      </c>
      <c r="F368" s="10">
        <v>3</v>
      </c>
      <c r="G368" s="10">
        <v>1</v>
      </c>
    </row>
    <row r="369" spans="1:7" x14ac:dyDescent="0.3">
      <c r="A369" s="9" t="s">
        <v>166</v>
      </c>
      <c r="B369" s="9" t="s">
        <v>81</v>
      </c>
      <c r="C369" s="10">
        <v>7.3049999999999997</v>
      </c>
      <c r="D369" s="10">
        <v>-0.45513747635200003</v>
      </c>
      <c r="E369" s="9" t="s">
        <v>88</v>
      </c>
      <c r="F369" s="10">
        <v>3</v>
      </c>
      <c r="G369" s="10">
        <v>1</v>
      </c>
    </row>
    <row r="370" spans="1:7" x14ac:dyDescent="0.3">
      <c r="A370" s="9" t="s">
        <v>166</v>
      </c>
      <c r="B370" s="9" t="s">
        <v>78</v>
      </c>
      <c r="C370" s="10">
        <v>5.0439999999999996</v>
      </c>
      <c r="D370" s="10">
        <v>-0.45513747635200003</v>
      </c>
      <c r="E370" s="9" t="s">
        <v>88</v>
      </c>
      <c r="F370" s="10">
        <v>3</v>
      </c>
      <c r="G370" s="10">
        <v>1</v>
      </c>
    </row>
    <row r="371" spans="1:7" x14ac:dyDescent="0.3">
      <c r="A371" s="9" t="s">
        <v>166</v>
      </c>
      <c r="B371" s="9" t="s">
        <v>82</v>
      </c>
      <c r="C371" s="10">
        <v>0.67200000000000004</v>
      </c>
      <c r="D371" s="10">
        <v>-0.45513747635200003</v>
      </c>
      <c r="E371" s="9" t="s">
        <v>88</v>
      </c>
      <c r="F371" s="10">
        <v>3</v>
      </c>
      <c r="G371" s="10">
        <v>1</v>
      </c>
    </row>
    <row r="372" spans="1:7" x14ac:dyDescent="0.3">
      <c r="A372" s="9" t="s">
        <v>165</v>
      </c>
      <c r="B372" s="9" t="s">
        <v>80</v>
      </c>
      <c r="C372" s="10">
        <v>2.2000000000000002</v>
      </c>
      <c r="D372" s="10">
        <v>-6.5617443184999999E-2</v>
      </c>
      <c r="E372" s="9" t="s">
        <v>88</v>
      </c>
      <c r="F372" s="10">
        <v>3</v>
      </c>
      <c r="G372" s="10">
        <v>1</v>
      </c>
    </row>
    <row r="373" spans="1:7" x14ac:dyDescent="0.3">
      <c r="A373" s="9" t="s">
        <v>165</v>
      </c>
      <c r="B373" s="9" t="s">
        <v>79</v>
      </c>
      <c r="C373" s="10">
        <v>1.2629999999999999</v>
      </c>
      <c r="D373" s="10">
        <v>-6.5617443184999999E-2</v>
      </c>
      <c r="E373" s="9" t="s">
        <v>88</v>
      </c>
      <c r="F373" s="10">
        <v>3</v>
      </c>
      <c r="G373" s="10">
        <v>1</v>
      </c>
    </row>
    <row r="374" spans="1:7" x14ac:dyDescent="0.3">
      <c r="A374" s="9" t="s">
        <v>165</v>
      </c>
      <c r="B374" s="9" t="s">
        <v>81</v>
      </c>
      <c r="C374" s="10">
        <v>6.6390000000000002</v>
      </c>
      <c r="D374" s="10">
        <v>-6.5617443184999999E-2</v>
      </c>
      <c r="E374" s="9" t="s">
        <v>88</v>
      </c>
      <c r="F374" s="10">
        <v>3</v>
      </c>
      <c r="G374" s="10">
        <v>1</v>
      </c>
    </row>
    <row r="375" spans="1:7" x14ac:dyDescent="0.3">
      <c r="A375" s="9" t="s">
        <v>165</v>
      </c>
      <c r="B375" s="9" t="s">
        <v>78</v>
      </c>
      <c r="C375" s="10">
        <v>3.012</v>
      </c>
      <c r="D375" s="10">
        <v>-6.5617443184999999E-2</v>
      </c>
      <c r="E375" s="9" t="s">
        <v>88</v>
      </c>
      <c r="F375" s="10">
        <v>3</v>
      </c>
      <c r="G375" s="10">
        <v>1</v>
      </c>
    </row>
    <row r="376" spans="1:7" x14ac:dyDescent="0.3">
      <c r="A376" s="9" t="s">
        <v>165</v>
      </c>
      <c r="B376" s="9" t="s">
        <v>82</v>
      </c>
      <c r="C376" s="10">
        <v>0.86299999999999999</v>
      </c>
      <c r="D376" s="10">
        <v>-6.5617443184999999E-2</v>
      </c>
      <c r="E376" s="9" t="s">
        <v>88</v>
      </c>
      <c r="F376" s="10">
        <v>3</v>
      </c>
      <c r="G376" s="10">
        <v>1</v>
      </c>
    </row>
    <row r="377" spans="1:7" x14ac:dyDescent="0.3">
      <c r="A377" s="9" t="s">
        <v>164</v>
      </c>
      <c r="B377" s="9" t="s">
        <v>80</v>
      </c>
      <c r="C377" s="10">
        <v>9.1080000000000005</v>
      </c>
      <c r="D377" s="10">
        <v>0.318612802493</v>
      </c>
      <c r="E377" s="9" t="s">
        <v>88</v>
      </c>
      <c r="F377" s="10">
        <v>15</v>
      </c>
      <c r="G377" s="10">
        <v>1</v>
      </c>
    </row>
    <row r="378" spans="1:7" x14ac:dyDescent="0.3">
      <c r="A378" s="9" t="s">
        <v>164</v>
      </c>
      <c r="B378" s="9" t="s">
        <v>79</v>
      </c>
      <c r="C378" s="10">
        <v>0.76800000000000002</v>
      </c>
      <c r="D378" s="10">
        <v>0.318612802493</v>
      </c>
      <c r="E378" s="9" t="s">
        <v>88</v>
      </c>
      <c r="F378" s="10">
        <v>15</v>
      </c>
      <c r="G378" s="10">
        <v>1</v>
      </c>
    </row>
    <row r="379" spans="1:7" x14ac:dyDescent="0.3">
      <c r="A379" s="9" t="s">
        <v>164</v>
      </c>
      <c r="B379" s="9" t="s">
        <v>81</v>
      </c>
      <c r="C379" s="10">
        <v>7.7359999999999998</v>
      </c>
      <c r="D379" s="10">
        <v>0.318612802493</v>
      </c>
      <c r="E379" s="9" t="s">
        <v>88</v>
      </c>
      <c r="F379" s="10">
        <v>15</v>
      </c>
      <c r="G379" s="10">
        <v>1</v>
      </c>
    </row>
    <row r="380" spans="1:7" x14ac:dyDescent="0.3">
      <c r="A380" s="9" t="s">
        <v>164</v>
      </c>
      <c r="B380" s="9" t="s">
        <v>78</v>
      </c>
      <c r="C380" s="10">
        <v>4.1150000000000002</v>
      </c>
      <c r="D380" s="10">
        <v>0.318612802493</v>
      </c>
      <c r="E380" s="9" t="s">
        <v>88</v>
      </c>
      <c r="F380" s="10">
        <v>15</v>
      </c>
      <c r="G380" s="10">
        <v>1</v>
      </c>
    </row>
    <row r="381" spans="1:7" x14ac:dyDescent="0.3">
      <c r="A381" s="9" t="s">
        <v>164</v>
      </c>
      <c r="B381" s="9" t="s">
        <v>82</v>
      </c>
      <c r="C381" s="10">
        <v>1.3959999999999999</v>
      </c>
      <c r="D381" s="10">
        <v>0.318612802493</v>
      </c>
      <c r="E381" s="9" t="s">
        <v>88</v>
      </c>
      <c r="F381" s="10">
        <v>15</v>
      </c>
      <c r="G381" s="10">
        <v>1</v>
      </c>
    </row>
    <row r="382" spans="1:7" x14ac:dyDescent="0.3">
      <c r="A382" s="9" t="s">
        <v>163</v>
      </c>
      <c r="B382" s="9" t="s">
        <v>80</v>
      </c>
      <c r="C382" s="10">
        <v>6.17</v>
      </c>
      <c r="D382" s="10">
        <v>-1.155816034908</v>
      </c>
      <c r="E382" s="9" t="s">
        <v>87</v>
      </c>
      <c r="F382" s="10">
        <v>26</v>
      </c>
      <c r="G382" s="10">
        <v>1</v>
      </c>
    </row>
    <row r="383" spans="1:7" x14ac:dyDescent="0.3">
      <c r="A383" s="9" t="s">
        <v>163</v>
      </c>
      <c r="B383" s="9" t="s">
        <v>79</v>
      </c>
      <c r="C383" s="10">
        <v>0.72299999999999998</v>
      </c>
      <c r="D383" s="10">
        <v>-1.155816034908</v>
      </c>
      <c r="E383" s="9" t="s">
        <v>87</v>
      </c>
      <c r="F383" s="10">
        <v>26</v>
      </c>
      <c r="G383" s="10">
        <v>1</v>
      </c>
    </row>
    <row r="384" spans="1:7" x14ac:dyDescent="0.3">
      <c r="A384" s="9" t="s">
        <v>163</v>
      </c>
      <c r="B384" s="9" t="s">
        <v>81</v>
      </c>
      <c r="C384" s="10">
        <v>6.2309999999999999</v>
      </c>
      <c r="D384" s="10">
        <v>-1.155816034908</v>
      </c>
      <c r="E384" s="9" t="s">
        <v>87</v>
      </c>
      <c r="F384" s="10">
        <v>26</v>
      </c>
      <c r="G384" s="10">
        <v>1</v>
      </c>
    </row>
    <row r="385" spans="1:7" x14ac:dyDescent="0.3">
      <c r="A385" s="9" t="s">
        <v>163</v>
      </c>
      <c r="B385" s="9" t="s">
        <v>78</v>
      </c>
      <c r="C385" s="10">
        <v>5.23</v>
      </c>
      <c r="D385" s="10">
        <v>-1.155816034908</v>
      </c>
      <c r="E385" s="9" t="s">
        <v>87</v>
      </c>
      <c r="F385" s="10">
        <v>26</v>
      </c>
      <c r="G385" s="10">
        <v>1</v>
      </c>
    </row>
    <row r="386" spans="1:7" x14ac:dyDescent="0.3">
      <c r="A386" s="9" t="s">
        <v>163</v>
      </c>
      <c r="B386" s="9" t="s">
        <v>82</v>
      </c>
      <c r="C386" s="10">
        <v>1.4339999999999999</v>
      </c>
      <c r="D386" s="10">
        <v>-1.155816034908</v>
      </c>
      <c r="E386" s="9" t="s">
        <v>87</v>
      </c>
      <c r="F386" s="10">
        <v>26</v>
      </c>
      <c r="G386" s="10">
        <v>1</v>
      </c>
    </row>
    <row r="387" spans="1:7" x14ac:dyDescent="0.3">
      <c r="A387" s="9" t="s">
        <v>162</v>
      </c>
      <c r="B387" s="9" t="s">
        <v>80</v>
      </c>
      <c r="C387" s="10">
        <v>6.6029999999999998</v>
      </c>
      <c r="D387" s="10">
        <v>-1.466120901824</v>
      </c>
      <c r="E387" s="9" t="s">
        <v>87</v>
      </c>
      <c r="F387" s="10">
        <v>13</v>
      </c>
      <c r="G387" s="10">
        <v>1</v>
      </c>
    </row>
    <row r="388" spans="1:7" x14ac:dyDescent="0.3">
      <c r="A388" s="9" t="s">
        <v>162</v>
      </c>
      <c r="B388" s="9" t="s">
        <v>79</v>
      </c>
      <c r="C388" s="10">
        <v>1.196</v>
      </c>
      <c r="D388" s="10">
        <v>-1.466120901824</v>
      </c>
      <c r="E388" s="9" t="s">
        <v>87</v>
      </c>
      <c r="F388" s="10">
        <v>13</v>
      </c>
      <c r="G388" s="10">
        <v>1</v>
      </c>
    </row>
    <row r="389" spans="1:7" x14ac:dyDescent="0.3">
      <c r="A389" s="9" t="s">
        <v>162</v>
      </c>
      <c r="B389" s="9" t="s">
        <v>81</v>
      </c>
      <c r="C389" s="10">
        <v>6.2160000000000002</v>
      </c>
      <c r="D389" s="10">
        <v>-1.466120901824</v>
      </c>
      <c r="E389" s="9" t="s">
        <v>87</v>
      </c>
      <c r="F389" s="10">
        <v>13</v>
      </c>
      <c r="G389" s="10">
        <v>1</v>
      </c>
    </row>
    <row r="390" spans="1:7" x14ac:dyDescent="0.3">
      <c r="A390" s="9" t="s">
        <v>162</v>
      </c>
      <c r="B390" s="9" t="s">
        <v>78</v>
      </c>
      <c r="C390" s="10">
        <v>4.415</v>
      </c>
      <c r="D390" s="10">
        <v>-1.466120901824</v>
      </c>
      <c r="E390" s="9" t="s">
        <v>87</v>
      </c>
      <c r="F390" s="10">
        <v>13</v>
      </c>
      <c r="G390" s="10">
        <v>1</v>
      </c>
    </row>
    <row r="391" spans="1:7" x14ac:dyDescent="0.3">
      <c r="A391" s="9" t="s">
        <v>162</v>
      </c>
      <c r="B391" s="9" t="s">
        <v>82</v>
      </c>
      <c r="C391" s="10">
        <v>0.81499999999999995</v>
      </c>
      <c r="D391" s="10">
        <v>-1.466120901824</v>
      </c>
      <c r="E391" s="9" t="s">
        <v>87</v>
      </c>
      <c r="F391" s="10">
        <v>13</v>
      </c>
      <c r="G391" s="10">
        <v>1</v>
      </c>
    </row>
    <row r="392" spans="1:7" x14ac:dyDescent="0.3">
      <c r="A392" s="9" t="s">
        <v>161</v>
      </c>
      <c r="B392" s="9" t="s">
        <v>80</v>
      </c>
      <c r="C392" s="10">
        <v>3.6619999999999999</v>
      </c>
      <c r="D392" s="10">
        <v>-0.55074475572100001</v>
      </c>
      <c r="E392" s="9" t="s">
        <v>87</v>
      </c>
      <c r="F392" s="10">
        <v>33</v>
      </c>
      <c r="G392" s="10">
        <v>0</v>
      </c>
    </row>
    <row r="393" spans="1:7" x14ac:dyDescent="0.3">
      <c r="A393" s="9" t="s">
        <v>161</v>
      </c>
      <c r="B393" s="9" t="s">
        <v>79</v>
      </c>
      <c r="C393" s="10">
        <v>2.0179999999999998</v>
      </c>
      <c r="D393" s="10">
        <v>-0.55074475572100001</v>
      </c>
      <c r="E393" s="9" t="s">
        <v>87</v>
      </c>
      <c r="F393" s="10">
        <v>33</v>
      </c>
      <c r="G393" s="10">
        <v>0</v>
      </c>
    </row>
    <row r="394" spans="1:7" x14ac:dyDescent="0.3">
      <c r="A394" s="9" t="s">
        <v>161</v>
      </c>
      <c r="B394" s="9" t="s">
        <v>81</v>
      </c>
      <c r="C394" s="10">
        <v>6.3319999999999999</v>
      </c>
      <c r="D394" s="10">
        <v>-0.55074475572100001</v>
      </c>
      <c r="E394" s="9" t="s">
        <v>87</v>
      </c>
      <c r="F394" s="10">
        <v>33</v>
      </c>
      <c r="G394" s="10">
        <v>0</v>
      </c>
    </row>
    <row r="395" spans="1:7" x14ac:dyDescent="0.3">
      <c r="A395" s="9" t="s">
        <v>161</v>
      </c>
      <c r="B395" s="9" t="s">
        <v>78</v>
      </c>
      <c r="C395" s="10">
        <v>3.1629999999999998</v>
      </c>
      <c r="D395" s="10">
        <v>-0.55074475572100001</v>
      </c>
      <c r="E395" s="9" t="s">
        <v>87</v>
      </c>
      <c r="F395" s="10">
        <v>33</v>
      </c>
      <c r="G395" s="10">
        <v>0</v>
      </c>
    </row>
    <row r="396" spans="1:7" x14ac:dyDescent="0.3">
      <c r="A396" s="9" t="s">
        <v>161</v>
      </c>
      <c r="B396" s="9" t="s">
        <v>82</v>
      </c>
      <c r="C396" s="10">
        <v>1.3440000000000001</v>
      </c>
      <c r="D396" s="10">
        <v>-0.55074475572100001</v>
      </c>
      <c r="E396" s="9" t="s">
        <v>87</v>
      </c>
      <c r="F396" s="10">
        <v>33</v>
      </c>
      <c r="G396" s="10">
        <v>0</v>
      </c>
    </row>
    <row r="397" spans="1:7" x14ac:dyDescent="0.3">
      <c r="A397" s="9" t="s">
        <v>160</v>
      </c>
      <c r="B397" s="9" t="s">
        <v>80</v>
      </c>
      <c r="C397" s="10">
        <v>6.7190000000000003</v>
      </c>
      <c r="D397" s="10">
        <v>1.53120182479999E-2</v>
      </c>
      <c r="E397" s="9" t="s">
        <v>88</v>
      </c>
      <c r="F397" s="10">
        <v>4</v>
      </c>
      <c r="G397" s="10">
        <v>1</v>
      </c>
    </row>
    <row r="398" spans="1:7" x14ac:dyDescent="0.3">
      <c r="A398" s="9" t="s">
        <v>160</v>
      </c>
      <c r="B398" s="9" t="s">
        <v>79</v>
      </c>
      <c r="C398" s="10">
        <v>1.956</v>
      </c>
      <c r="D398" s="10">
        <v>1.53120182479999E-2</v>
      </c>
      <c r="E398" s="9" t="s">
        <v>88</v>
      </c>
      <c r="F398" s="10">
        <v>4</v>
      </c>
      <c r="G398" s="10">
        <v>1</v>
      </c>
    </row>
    <row r="399" spans="1:7" x14ac:dyDescent="0.3">
      <c r="A399" s="9" t="s">
        <v>160</v>
      </c>
      <c r="B399" s="9" t="s">
        <v>81</v>
      </c>
      <c r="C399" s="10">
        <v>6.8109999999999999</v>
      </c>
      <c r="D399" s="10">
        <v>1.53120182479999E-2</v>
      </c>
      <c r="E399" s="9" t="s">
        <v>88</v>
      </c>
      <c r="F399" s="10">
        <v>4</v>
      </c>
      <c r="G399" s="10">
        <v>1</v>
      </c>
    </row>
    <row r="400" spans="1:7" x14ac:dyDescent="0.3">
      <c r="A400" s="9" t="s">
        <v>160</v>
      </c>
      <c r="B400" s="9" t="s">
        <v>78</v>
      </c>
      <c r="C400" s="10">
        <v>4.4450000000000003</v>
      </c>
      <c r="D400" s="10">
        <v>1.53120182479999E-2</v>
      </c>
      <c r="E400" s="9" t="s">
        <v>88</v>
      </c>
      <c r="F400" s="10">
        <v>4</v>
      </c>
      <c r="G400" s="10">
        <v>1</v>
      </c>
    </row>
    <row r="401" spans="1:7" x14ac:dyDescent="0.3">
      <c r="A401" s="9" t="s">
        <v>160</v>
      </c>
      <c r="B401" s="9" t="s">
        <v>82</v>
      </c>
      <c r="C401" s="10">
        <v>0.92</v>
      </c>
      <c r="D401" s="10">
        <v>1.53120182479999E-2</v>
      </c>
      <c r="E401" s="9" t="s">
        <v>88</v>
      </c>
      <c r="F401" s="10">
        <v>4</v>
      </c>
      <c r="G401" s="10">
        <v>1</v>
      </c>
    </row>
    <row r="402" spans="1:7" x14ac:dyDescent="0.3">
      <c r="A402" s="9" t="s">
        <v>159</v>
      </c>
      <c r="B402" s="9" t="s">
        <v>80</v>
      </c>
      <c r="C402" s="10">
        <v>9.2089999999999996</v>
      </c>
      <c r="D402" s="10">
        <v>-1.890441657889</v>
      </c>
      <c r="E402" s="9" t="s">
        <v>87</v>
      </c>
      <c r="F402" s="10">
        <v>15</v>
      </c>
      <c r="G402" s="10">
        <v>0</v>
      </c>
    </row>
    <row r="403" spans="1:7" x14ac:dyDescent="0.3">
      <c r="A403" s="9" t="s">
        <v>159</v>
      </c>
      <c r="B403" s="9" t="s">
        <v>79</v>
      </c>
      <c r="C403" s="10">
        <v>1.431</v>
      </c>
      <c r="D403" s="10">
        <v>-1.890441657889</v>
      </c>
      <c r="E403" s="9" t="s">
        <v>87</v>
      </c>
      <c r="F403" s="10">
        <v>15</v>
      </c>
      <c r="G403" s="10">
        <v>0</v>
      </c>
    </row>
    <row r="404" spans="1:7" x14ac:dyDescent="0.3">
      <c r="A404" s="9" t="s">
        <v>159</v>
      </c>
      <c r="B404" s="9" t="s">
        <v>81</v>
      </c>
      <c r="C404" s="10">
        <v>7.4320000000000004</v>
      </c>
      <c r="D404" s="10">
        <v>-1.890441657889</v>
      </c>
      <c r="E404" s="9" t="s">
        <v>87</v>
      </c>
      <c r="F404" s="10">
        <v>15</v>
      </c>
      <c r="G404" s="10">
        <v>0</v>
      </c>
    </row>
    <row r="405" spans="1:7" x14ac:dyDescent="0.3">
      <c r="A405" s="9" t="s">
        <v>159</v>
      </c>
      <c r="B405" s="9" t="s">
        <v>78</v>
      </c>
      <c r="C405" s="10">
        <v>4.6130000000000004</v>
      </c>
      <c r="D405" s="10">
        <v>-1.890441657889</v>
      </c>
      <c r="E405" s="9" t="s">
        <v>87</v>
      </c>
      <c r="F405" s="10">
        <v>15</v>
      </c>
      <c r="G405" s="10">
        <v>0</v>
      </c>
    </row>
    <row r="406" spans="1:7" x14ac:dyDescent="0.3">
      <c r="A406" s="9" t="s">
        <v>159</v>
      </c>
      <c r="B406" s="9" t="s">
        <v>82</v>
      </c>
      <c r="C406" s="10">
        <v>0.86099999999999999</v>
      </c>
      <c r="D406" s="10">
        <v>-1.890441657889</v>
      </c>
      <c r="E406" s="9" t="s">
        <v>87</v>
      </c>
      <c r="F406" s="10">
        <v>15</v>
      </c>
      <c r="G406" s="10">
        <v>0</v>
      </c>
    </row>
    <row r="407" spans="1:7" x14ac:dyDescent="0.3">
      <c r="A407" s="9" t="s">
        <v>158</v>
      </c>
      <c r="B407" s="9" t="s">
        <v>80</v>
      </c>
      <c r="C407" s="10">
        <v>8.5120000000000005</v>
      </c>
      <c r="D407" s="10">
        <v>-0.54000602541200005</v>
      </c>
      <c r="E407" s="9" t="s">
        <v>87</v>
      </c>
      <c r="F407" s="10">
        <v>13</v>
      </c>
      <c r="G407" s="10">
        <v>0</v>
      </c>
    </row>
    <row r="408" spans="1:7" x14ac:dyDescent="0.3">
      <c r="A408" s="9" t="s">
        <v>158</v>
      </c>
      <c r="B408" s="9" t="s">
        <v>79</v>
      </c>
      <c r="C408" s="10">
        <v>1.123</v>
      </c>
      <c r="D408" s="10">
        <v>-0.54000602541200005</v>
      </c>
      <c r="E408" s="9" t="s">
        <v>87</v>
      </c>
      <c r="F408" s="10">
        <v>13</v>
      </c>
      <c r="G408" s="10">
        <v>0</v>
      </c>
    </row>
    <row r="409" spans="1:7" x14ac:dyDescent="0.3">
      <c r="A409" s="9" t="s">
        <v>158</v>
      </c>
      <c r="B409" s="9" t="s">
        <v>81</v>
      </c>
      <c r="C409" s="10">
        <v>7.7119999999999997</v>
      </c>
      <c r="D409" s="10">
        <v>-0.54000602541200005</v>
      </c>
      <c r="E409" s="9" t="s">
        <v>87</v>
      </c>
      <c r="F409" s="10">
        <v>13</v>
      </c>
      <c r="G409" s="10">
        <v>0</v>
      </c>
    </row>
    <row r="410" spans="1:7" x14ac:dyDescent="0.3">
      <c r="A410" s="9" t="s">
        <v>158</v>
      </c>
      <c r="B410" s="9" t="s">
        <v>78</v>
      </c>
      <c r="C410" s="10">
        <v>4.8339999999999996</v>
      </c>
      <c r="D410" s="10">
        <v>-0.54000602541200005</v>
      </c>
      <c r="E410" s="9" t="s">
        <v>87</v>
      </c>
      <c r="F410" s="10">
        <v>13</v>
      </c>
      <c r="G410" s="10">
        <v>0</v>
      </c>
    </row>
    <row r="411" spans="1:7" x14ac:dyDescent="0.3">
      <c r="A411" s="9" t="s">
        <v>158</v>
      </c>
      <c r="B411" s="9" t="s">
        <v>82</v>
      </c>
      <c r="C411" s="10">
        <v>0.90800000000000003</v>
      </c>
      <c r="D411" s="10">
        <v>-0.54000602541200005</v>
      </c>
      <c r="E411" s="9" t="s">
        <v>87</v>
      </c>
      <c r="F411" s="10">
        <v>13</v>
      </c>
      <c r="G411" s="10">
        <v>0</v>
      </c>
    </row>
    <row r="412" spans="1:7" x14ac:dyDescent="0.3">
      <c r="A412" s="9" t="s">
        <v>157</v>
      </c>
      <c r="B412" s="9" t="s">
        <v>80</v>
      </c>
      <c r="C412" s="10">
        <v>9.3810000000000002</v>
      </c>
      <c r="D412" s="10">
        <v>0.47426948411699998</v>
      </c>
      <c r="E412" s="9" t="s">
        <v>88</v>
      </c>
      <c r="F412" s="10">
        <v>4</v>
      </c>
      <c r="G412" s="10">
        <v>0</v>
      </c>
    </row>
    <row r="413" spans="1:7" x14ac:dyDescent="0.3">
      <c r="A413" s="9" t="s">
        <v>157</v>
      </c>
      <c r="B413" s="9" t="s">
        <v>79</v>
      </c>
      <c r="C413" s="10">
        <v>2.5</v>
      </c>
      <c r="D413" s="10">
        <v>0.47426948411699998</v>
      </c>
      <c r="E413" s="9" t="s">
        <v>88</v>
      </c>
      <c r="F413" s="10">
        <v>4</v>
      </c>
      <c r="G413" s="10">
        <v>0</v>
      </c>
    </row>
    <row r="414" spans="1:7" x14ac:dyDescent="0.3">
      <c r="A414" s="9" t="s">
        <v>157</v>
      </c>
      <c r="B414" s="9" t="s">
        <v>81</v>
      </c>
      <c r="C414" s="10">
        <v>6.2649999999999997</v>
      </c>
      <c r="D414" s="10">
        <v>0.47426948411699998</v>
      </c>
      <c r="E414" s="9" t="s">
        <v>88</v>
      </c>
      <c r="F414" s="10">
        <v>4</v>
      </c>
      <c r="G414" s="10">
        <v>0</v>
      </c>
    </row>
    <row r="415" spans="1:7" x14ac:dyDescent="0.3">
      <c r="A415" s="9" t="s">
        <v>157</v>
      </c>
      <c r="B415" s="9" t="s">
        <v>78</v>
      </c>
      <c r="C415" s="10">
        <v>3.2149999999999999</v>
      </c>
      <c r="D415" s="10">
        <v>0.47426948411699998</v>
      </c>
      <c r="E415" s="9" t="s">
        <v>88</v>
      </c>
      <c r="F415" s="10">
        <v>4</v>
      </c>
      <c r="G415" s="10">
        <v>0</v>
      </c>
    </row>
    <row r="416" spans="1:7" x14ac:dyDescent="0.3">
      <c r="A416" s="9" t="s">
        <v>157</v>
      </c>
      <c r="B416" s="9" t="s">
        <v>82</v>
      </c>
      <c r="C416" s="10">
        <v>1.5469999999999999</v>
      </c>
      <c r="D416" s="10">
        <v>0.47426948411699998</v>
      </c>
      <c r="E416" s="9" t="s">
        <v>88</v>
      </c>
      <c r="F416" s="10">
        <v>4</v>
      </c>
      <c r="G416" s="10">
        <v>0</v>
      </c>
    </row>
    <row r="417" spans="1:7" x14ac:dyDescent="0.3">
      <c r="A417" s="9" t="s">
        <v>156</v>
      </c>
      <c r="B417" s="9" t="s">
        <v>80</v>
      </c>
      <c r="C417" s="10">
        <v>7.8369999999999997</v>
      </c>
      <c r="D417" s="10">
        <v>0.26302846231799998</v>
      </c>
      <c r="E417" s="9" t="s">
        <v>88</v>
      </c>
      <c r="F417" s="10">
        <v>10</v>
      </c>
      <c r="G417" s="10">
        <v>0</v>
      </c>
    </row>
    <row r="418" spans="1:7" x14ac:dyDescent="0.3">
      <c r="A418" s="9" t="s">
        <v>156</v>
      </c>
      <c r="B418" s="9" t="s">
        <v>79</v>
      </c>
      <c r="C418" s="10">
        <v>1.2829999999999999</v>
      </c>
      <c r="D418" s="10">
        <v>0.26302846231799998</v>
      </c>
      <c r="E418" s="9" t="s">
        <v>88</v>
      </c>
      <c r="F418" s="10">
        <v>10</v>
      </c>
      <c r="G418" s="10">
        <v>0</v>
      </c>
    </row>
    <row r="419" spans="1:7" x14ac:dyDescent="0.3">
      <c r="A419" s="9" t="s">
        <v>156</v>
      </c>
      <c r="B419" s="9" t="s">
        <v>81</v>
      </c>
      <c r="C419" s="10">
        <v>6.8819999999999997</v>
      </c>
      <c r="D419" s="10">
        <v>0.26302846231799998</v>
      </c>
      <c r="E419" s="9" t="s">
        <v>88</v>
      </c>
      <c r="F419" s="10">
        <v>10</v>
      </c>
      <c r="G419" s="10">
        <v>0</v>
      </c>
    </row>
    <row r="420" spans="1:7" x14ac:dyDescent="0.3">
      <c r="A420" s="9" t="s">
        <v>156</v>
      </c>
      <c r="B420" s="9" t="s">
        <v>78</v>
      </c>
      <c r="C420" s="10">
        <v>3.2320000000000002</v>
      </c>
      <c r="D420" s="10">
        <v>0.26302846231799998</v>
      </c>
      <c r="E420" s="9" t="s">
        <v>88</v>
      </c>
      <c r="F420" s="10">
        <v>10</v>
      </c>
      <c r="G420" s="10">
        <v>0</v>
      </c>
    </row>
    <row r="421" spans="1:7" x14ac:dyDescent="0.3">
      <c r="A421" s="9" t="s">
        <v>156</v>
      </c>
      <c r="B421" s="9" t="s">
        <v>82</v>
      </c>
      <c r="C421" s="10">
        <v>1.829</v>
      </c>
      <c r="D421" s="10">
        <v>0.26302846231799998</v>
      </c>
      <c r="E421" s="9" t="s">
        <v>88</v>
      </c>
      <c r="F421" s="10">
        <v>10</v>
      </c>
      <c r="G421" s="10">
        <v>0</v>
      </c>
    </row>
    <row r="422" spans="1:7" x14ac:dyDescent="0.3">
      <c r="A422" s="9" t="s">
        <v>155</v>
      </c>
      <c r="B422" s="9" t="s">
        <v>80</v>
      </c>
      <c r="C422" s="10">
        <v>11.029</v>
      </c>
      <c r="D422" s="10">
        <v>-1.7420196318879999</v>
      </c>
      <c r="E422" s="9" t="s">
        <v>87</v>
      </c>
      <c r="F422" s="10">
        <v>2</v>
      </c>
      <c r="G422" s="10">
        <v>0</v>
      </c>
    </row>
    <row r="423" spans="1:7" x14ac:dyDescent="0.3">
      <c r="A423" s="9" t="s">
        <v>155</v>
      </c>
      <c r="B423" s="9" t="s">
        <v>79</v>
      </c>
      <c r="C423" s="10">
        <v>3.0950000000000002</v>
      </c>
      <c r="D423" s="10">
        <v>-1.7420196318879999</v>
      </c>
      <c r="E423" s="9" t="s">
        <v>87</v>
      </c>
      <c r="F423" s="10">
        <v>2</v>
      </c>
      <c r="G423" s="10">
        <v>0</v>
      </c>
    </row>
    <row r="424" spans="1:7" x14ac:dyDescent="0.3">
      <c r="A424" s="9" t="s">
        <v>155</v>
      </c>
      <c r="B424" s="9" t="s">
        <v>81</v>
      </c>
      <c r="C424" s="10">
        <v>7.2770000000000001</v>
      </c>
      <c r="D424" s="10">
        <v>-1.7420196318879999</v>
      </c>
      <c r="E424" s="9" t="s">
        <v>87</v>
      </c>
      <c r="F424" s="10">
        <v>2</v>
      </c>
      <c r="G424" s="10">
        <v>0</v>
      </c>
    </row>
    <row r="425" spans="1:7" x14ac:dyDescent="0.3">
      <c r="A425" s="9" t="s">
        <v>155</v>
      </c>
      <c r="B425" s="9" t="s">
        <v>78</v>
      </c>
      <c r="C425" s="10">
        <v>4.7409999999999997</v>
      </c>
      <c r="D425" s="10">
        <v>-1.7420196318879999</v>
      </c>
      <c r="E425" s="9" t="s">
        <v>87</v>
      </c>
      <c r="F425" s="10">
        <v>2</v>
      </c>
      <c r="G425" s="10">
        <v>0</v>
      </c>
    </row>
    <row r="426" spans="1:7" x14ac:dyDescent="0.3">
      <c r="A426" s="9" t="s">
        <v>155</v>
      </c>
      <c r="B426" s="9" t="s">
        <v>82</v>
      </c>
      <c r="C426" s="10">
        <v>1.617</v>
      </c>
      <c r="D426" s="10">
        <v>-1.7420196318879999</v>
      </c>
      <c r="E426" s="9" t="s">
        <v>87</v>
      </c>
      <c r="F426" s="10">
        <v>2</v>
      </c>
      <c r="G426" s="10">
        <v>0</v>
      </c>
    </row>
    <row r="427" spans="1:7" x14ac:dyDescent="0.3">
      <c r="A427" s="9" t="s">
        <v>154</v>
      </c>
      <c r="B427" s="9" t="s">
        <v>80</v>
      </c>
      <c r="C427" s="10">
        <v>11.365</v>
      </c>
      <c r="D427" s="10">
        <v>-1.8417267561149999</v>
      </c>
      <c r="E427" s="9" t="s">
        <v>87</v>
      </c>
      <c r="F427" s="10">
        <v>8</v>
      </c>
      <c r="G427" s="10">
        <v>0</v>
      </c>
    </row>
    <row r="428" spans="1:7" x14ac:dyDescent="0.3">
      <c r="A428" s="9" t="s">
        <v>154</v>
      </c>
      <c r="B428" s="9" t="s">
        <v>79</v>
      </c>
      <c r="C428" s="10">
        <v>3.9430000000000001</v>
      </c>
      <c r="D428" s="10">
        <v>-1.8417267561149999</v>
      </c>
      <c r="E428" s="9" t="s">
        <v>87</v>
      </c>
      <c r="F428" s="10">
        <v>8</v>
      </c>
      <c r="G428" s="10">
        <v>0</v>
      </c>
    </row>
    <row r="429" spans="1:7" x14ac:dyDescent="0.3">
      <c r="A429" s="9" t="s">
        <v>154</v>
      </c>
      <c r="B429" s="9" t="s">
        <v>81</v>
      </c>
      <c r="C429" s="10">
        <v>7.1660000000000004</v>
      </c>
      <c r="D429" s="10">
        <v>-1.8417267561149999</v>
      </c>
      <c r="E429" s="9" t="s">
        <v>87</v>
      </c>
      <c r="F429" s="10">
        <v>8</v>
      </c>
      <c r="G429" s="10">
        <v>0</v>
      </c>
    </row>
    <row r="430" spans="1:7" x14ac:dyDescent="0.3">
      <c r="A430" s="9" t="s">
        <v>154</v>
      </c>
      <c r="B430" s="9" t="s">
        <v>78</v>
      </c>
      <c r="C430" s="10">
        <v>6.1239999999999997</v>
      </c>
      <c r="D430" s="10">
        <v>-1.8417267561149999</v>
      </c>
      <c r="E430" s="9" t="s">
        <v>87</v>
      </c>
      <c r="F430" s="10">
        <v>8</v>
      </c>
      <c r="G430" s="10">
        <v>0</v>
      </c>
    </row>
    <row r="431" spans="1:7" x14ac:dyDescent="0.3">
      <c r="A431" s="9" t="s">
        <v>154</v>
      </c>
      <c r="B431" s="9" t="s">
        <v>82</v>
      </c>
      <c r="C431" s="10">
        <v>0.83599999999999997</v>
      </c>
      <c r="D431" s="10">
        <v>-1.8417267561149999</v>
      </c>
      <c r="E431" s="9" t="s">
        <v>87</v>
      </c>
      <c r="F431" s="10">
        <v>8</v>
      </c>
      <c r="G431" s="10">
        <v>0</v>
      </c>
    </row>
    <row r="432" spans="1:7" x14ac:dyDescent="0.3">
      <c r="A432" s="9" t="s">
        <v>153</v>
      </c>
      <c r="B432" s="9" t="s">
        <v>80</v>
      </c>
      <c r="C432" s="10">
        <v>8.5920000000000005</v>
      </c>
      <c r="D432" s="10">
        <v>-0.39021410647600002</v>
      </c>
      <c r="E432" s="9" t="s">
        <v>88</v>
      </c>
      <c r="F432" s="10">
        <v>7</v>
      </c>
      <c r="G432" s="10">
        <v>0</v>
      </c>
    </row>
    <row r="433" spans="1:7" x14ac:dyDescent="0.3">
      <c r="A433" s="9" t="s">
        <v>153</v>
      </c>
      <c r="B433" s="9" t="s">
        <v>79</v>
      </c>
      <c r="C433" s="10">
        <v>2.6219999999999999</v>
      </c>
      <c r="D433" s="10">
        <v>-0.39021410647600002</v>
      </c>
      <c r="E433" s="9" t="s">
        <v>88</v>
      </c>
      <c r="F433" s="10">
        <v>7</v>
      </c>
      <c r="G433" s="10">
        <v>0</v>
      </c>
    </row>
    <row r="434" spans="1:7" x14ac:dyDescent="0.3">
      <c r="A434" s="9" t="s">
        <v>153</v>
      </c>
      <c r="B434" s="9" t="s">
        <v>81</v>
      </c>
      <c r="C434" s="10">
        <v>6.718</v>
      </c>
      <c r="D434" s="10">
        <v>-0.39021410647600002</v>
      </c>
      <c r="E434" s="9" t="s">
        <v>88</v>
      </c>
      <c r="F434" s="10">
        <v>7</v>
      </c>
      <c r="G434" s="10">
        <v>0</v>
      </c>
    </row>
    <row r="435" spans="1:7" x14ac:dyDescent="0.3">
      <c r="A435" s="9" t="s">
        <v>153</v>
      </c>
      <c r="B435" s="9" t="s">
        <v>78</v>
      </c>
      <c r="C435" s="10">
        <v>4.7770000000000001</v>
      </c>
      <c r="D435" s="10">
        <v>-0.39021410647600002</v>
      </c>
      <c r="E435" s="9" t="s">
        <v>88</v>
      </c>
      <c r="F435" s="10">
        <v>7</v>
      </c>
      <c r="G435" s="10">
        <v>0</v>
      </c>
    </row>
    <row r="436" spans="1:7" x14ac:dyDescent="0.3">
      <c r="A436" s="9" t="s">
        <v>153</v>
      </c>
      <c r="B436" s="9" t="s">
        <v>82</v>
      </c>
      <c r="C436" s="10">
        <v>0.71699999999999997</v>
      </c>
      <c r="D436" s="10">
        <v>-0.39021410647600002</v>
      </c>
      <c r="E436" s="9" t="s">
        <v>88</v>
      </c>
      <c r="F436" s="10">
        <v>7</v>
      </c>
      <c r="G436" s="10">
        <v>0</v>
      </c>
    </row>
    <row r="437" spans="1:7" x14ac:dyDescent="0.3">
      <c r="A437" s="9" t="s">
        <v>152</v>
      </c>
      <c r="B437" s="9" t="s">
        <v>80</v>
      </c>
      <c r="C437" s="10">
        <v>12.581</v>
      </c>
      <c r="D437" s="10">
        <v>0.56220655824200005</v>
      </c>
      <c r="E437" s="9" t="s">
        <v>88</v>
      </c>
      <c r="F437" s="10">
        <v>8</v>
      </c>
      <c r="G437" s="10">
        <v>0</v>
      </c>
    </row>
    <row r="438" spans="1:7" x14ac:dyDescent="0.3">
      <c r="A438" s="9" t="s">
        <v>152</v>
      </c>
      <c r="B438" s="9" t="s">
        <v>79</v>
      </c>
      <c r="C438" s="10">
        <v>4.423</v>
      </c>
      <c r="D438" s="10">
        <v>0.56220655824200005</v>
      </c>
      <c r="E438" s="9" t="s">
        <v>88</v>
      </c>
      <c r="F438" s="10">
        <v>8</v>
      </c>
      <c r="G438" s="10">
        <v>0</v>
      </c>
    </row>
    <row r="439" spans="1:7" x14ac:dyDescent="0.3">
      <c r="A439" s="9" t="s">
        <v>152</v>
      </c>
      <c r="B439" s="9" t="s">
        <v>81</v>
      </c>
      <c r="C439" s="10">
        <v>9.1419999999999995</v>
      </c>
      <c r="D439" s="10">
        <v>0.56220655824200005</v>
      </c>
      <c r="E439" s="9" t="s">
        <v>88</v>
      </c>
      <c r="F439" s="10">
        <v>8</v>
      </c>
      <c r="G439" s="10">
        <v>0</v>
      </c>
    </row>
    <row r="440" spans="1:7" x14ac:dyDescent="0.3">
      <c r="A440" s="9" t="s">
        <v>152</v>
      </c>
      <c r="B440" s="9" t="s">
        <v>78</v>
      </c>
      <c r="C440" s="10">
        <v>6.726</v>
      </c>
      <c r="D440" s="10">
        <v>0.56220655824200005</v>
      </c>
      <c r="E440" s="9" t="s">
        <v>88</v>
      </c>
      <c r="F440" s="10">
        <v>8</v>
      </c>
      <c r="G440" s="10">
        <v>0</v>
      </c>
    </row>
    <row r="441" spans="1:7" x14ac:dyDescent="0.3">
      <c r="A441" s="9" t="s">
        <v>152</v>
      </c>
      <c r="B441" s="9" t="s">
        <v>82</v>
      </c>
      <c r="C441" s="10">
        <v>1.696</v>
      </c>
      <c r="D441" s="10">
        <v>0.56220655824200005</v>
      </c>
      <c r="E441" s="9" t="s">
        <v>88</v>
      </c>
      <c r="F441" s="10">
        <v>8</v>
      </c>
      <c r="G441" s="10">
        <v>0</v>
      </c>
    </row>
    <row r="442" spans="1:7" x14ac:dyDescent="0.3">
      <c r="A442" s="9" t="s">
        <v>151</v>
      </c>
      <c r="B442" s="9" t="s">
        <v>80</v>
      </c>
      <c r="C442" s="10">
        <v>7.1260000000000003</v>
      </c>
      <c r="D442" s="10">
        <v>0.17870225453300001</v>
      </c>
      <c r="E442" s="9" t="s">
        <v>88</v>
      </c>
      <c r="F442" s="10">
        <v>8</v>
      </c>
      <c r="G442" s="10">
        <v>0</v>
      </c>
    </row>
    <row r="443" spans="1:7" x14ac:dyDescent="0.3">
      <c r="A443" s="9" t="s">
        <v>151</v>
      </c>
      <c r="B443" s="9" t="s">
        <v>79</v>
      </c>
      <c r="C443" s="10">
        <v>1.1519999999999999</v>
      </c>
      <c r="D443" s="10">
        <v>0.17870225453300001</v>
      </c>
      <c r="E443" s="9" t="s">
        <v>88</v>
      </c>
      <c r="F443" s="10">
        <v>8</v>
      </c>
      <c r="G443" s="10">
        <v>0</v>
      </c>
    </row>
    <row r="444" spans="1:7" x14ac:dyDescent="0.3">
      <c r="A444" s="9" t="s">
        <v>151</v>
      </c>
      <c r="B444" s="9" t="s">
        <v>81</v>
      </c>
      <c r="C444" s="10">
        <v>6.0789999999999997</v>
      </c>
      <c r="D444" s="10">
        <v>0.17870225453300001</v>
      </c>
      <c r="E444" s="9" t="s">
        <v>88</v>
      </c>
      <c r="F444" s="10">
        <v>8</v>
      </c>
      <c r="G444" s="10">
        <v>0</v>
      </c>
    </row>
    <row r="445" spans="1:7" x14ac:dyDescent="0.3">
      <c r="A445" s="9" t="s">
        <v>151</v>
      </c>
      <c r="B445" s="9" t="s">
        <v>78</v>
      </c>
      <c r="C445" s="10">
        <v>3.3159999999999998</v>
      </c>
      <c r="D445" s="10">
        <v>0.17870225453300001</v>
      </c>
      <c r="E445" s="9" t="s">
        <v>88</v>
      </c>
      <c r="F445" s="10">
        <v>8</v>
      </c>
      <c r="G445" s="10">
        <v>0</v>
      </c>
    </row>
    <row r="446" spans="1:7" x14ac:dyDescent="0.3">
      <c r="A446" s="9" t="s">
        <v>151</v>
      </c>
      <c r="B446" s="9" t="s">
        <v>82</v>
      </c>
      <c r="C446" s="10">
        <v>1.097</v>
      </c>
      <c r="D446" s="10">
        <v>0.17870225453300001</v>
      </c>
      <c r="E446" s="9" t="s">
        <v>88</v>
      </c>
      <c r="F446" s="10">
        <v>8</v>
      </c>
      <c r="G446" s="10">
        <v>0</v>
      </c>
    </row>
    <row r="447" spans="1:7" x14ac:dyDescent="0.3">
      <c r="A447" s="9" t="s">
        <v>150</v>
      </c>
      <c r="B447" s="9" t="s">
        <v>80</v>
      </c>
      <c r="C447" s="10">
        <v>4.9820000000000002</v>
      </c>
      <c r="D447" s="10">
        <v>-0.90637096441099996</v>
      </c>
      <c r="E447" s="9" t="s">
        <v>87</v>
      </c>
      <c r="F447" s="10">
        <v>17</v>
      </c>
      <c r="G447" s="10">
        <v>1</v>
      </c>
    </row>
    <row r="448" spans="1:7" x14ac:dyDescent="0.3">
      <c r="A448" s="9" t="s">
        <v>150</v>
      </c>
      <c r="B448" s="9" t="s">
        <v>79</v>
      </c>
      <c r="C448" s="10">
        <v>2.1619999999999999</v>
      </c>
      <c r="D448" s="10">
        <v>-0.90637096441099996</v>
      </c>
      <c r="E448" s="9" t="s">
        <v>87</v>
      </c>
      <c r="F448" s="10">
        <v>17</v>
      </c>
      <c r="G448" s="10">
        <v>1</v>
      </c>
    </row>
    <row r="449" spans="1:7" x14ac:dyDescent="0.3">
      <c r="A449" s="9" t="s">
        <v>150</v>
      </c>
      <c r="B449" s="9" t="s">
        <v>81</v>
      </c>
      <c r="C449" s="10">
        <v>6.6609999999999996</v>
      </c>
      <c r="D449" s="10">
        <v>-0.90637096441099996</v>
      </c>
      <c r="E449" s="9" t="s">
        <v>87</v>
      </c>
      <c r="F449" s="10">
        <v>17</v>
      </c>
      <c r="G449" s="10">
        <v>1</v>
      </c>
    </row>
    <row r="450" spans="1:7" x14ac:dyDescent="0.3">
      <c r="A450" s="9" t="s">
        <v>150</v>
      </c>
      <c r="B450" s="9" t="s">
        <v>78</v>
      </c>
      <c r="C450" s="10">
        <v>3.4409999999999998</v>
      </c>
      <c r="D450" s="10">
        <v>-0.90637096441099996</v>
      </c>
      <c r="E450" s="9" t="s">
        <v>87</v>
      </c>
      <c r="F450" s="10">
        <v>17</v>
      </c>
      <c r="G450" s="10">
        <v>1</v>
      </c>
    </row>
    <row r="451" spans="1:7" x14ac:dyDescent="0.3">
      <c r="A451" s="9" t="s">
        <v>150</v>
      </c>
      <c r="B451" s="9" t="s">
        <v>82</v>
      </c>
      <c r="C451" s="10">
        <v>0.56899999999999995</v>
      </c>
      <c r="D451" s="10">
        <v>-0.90637096441099996</v>
      </c>
      <c r="E451" s="9" t="s">
        <v>87</v>
      </c>
      <c r="F451" s="10">
        <v>17</v>
      </c>
      <c r="G451" s="10">
        <v>1</v>
      </c>
    </row>
    <row r="452" spans="1:7" x14ac:dyDescent="0.3">
      <c r="A452" s="9" t="s">
        <v>149</v>
      </c>
      <c r="B452" s="9" t="s">
        <v>80</v>
      </c>
      <c r="C452" s="10">
        <v>10.436999999999999</v>
      </c>
      <c r="D452" s="10">
        <v>-1.972984412023</v>
      </c>
      <c r="E452" s="9" t="s">
        <v>87</v>
      </c>
      <c r="F452" s="10">
        <v>2</v>
      </c>
      <c r="G452" s="10">
        <v>1</v>
      </c>
    </row>
    <row r="453" spans="1:7" x14ac:dyDescent="0.3">
      <c r="A453" s="9" t="s">
        <v>149</v>
      </c>
      <c r="B453" s="9" t="s">
        <v>79</v>
      </c>
      <c r="C453" s="10">
        <v>2.1019999999999999</v>
      </c>
      <c r="D453" s="10">
        <v>-1.972984412023</v>
      </c>
      <c r="E453" s="9" t="s">
        <v>87</v>
      </c>
      <c r="F453" s="10">
        <v>2</v>
      </c>
      <c r="G453" s="10">
        <v>1</v>
      </c>
    </row>
    <row r="454" spans="1:7" x14ac:dyDescent="0.3">
      <c r="A454" s="9" t="s">
        <v>149</v>
      </c>
      <c r="B454" s="9" t="s">
        <v>81</v>
      </c>
      <c r="C454" s="10">
        <v>7.5490000000000004</v>
      </c>
      <c r="D454" s="10">
        <v>-1.972984412023</v>
      </c>
      <c r="E454" s="9" t="s">
        <v>87</v>
      </c>
      <c r="F454" s="10">
        <v>2</v>
      </c>
      <c r="G454" s="10">
        <v>1</v>
      </c>
    </row>
    <row r="455" spans="1:7" x14ac:dyDescent="0.3">
      <c r="A455" s="9" t="s">
        <v>149</v>
      </c>
      <c r="B455" s="9" t="s">
        <v>78</v>
      </c>
      <c r="C455" s="10">
        <v>6.0330000000000004</v>
      </c>
      <c r="D455" s="10">
        <v>-1.972984412023</v>
      </c>
      <c r="E455" s="9" t="s">
        <v>87</v>
      </c>
      <c r="F455" s="10">
        <v>2</v>
      </c>
      <c r="G455" s="10">
        <v>1</v>
      </c>
    </row>
    <row r="456" spans="1:7" x14ac:dyDescent="0.3">
      <c r="A456" s="9" t="s">
        <v>149</v>
      </c>
      <c r="B456" s="9" t="s">
        <v>82</v>
      </c>
      <c r="C456" s="10">
        <v>1.7909999999999999</v>
      </c>
      <c r="D456" s="10">
        <v>-1.972984412023</v>
      </c>
      <c r="E456" s="9" t="s">
        <v>87</v>
      </c>
      <c r="F456" s="10">
        <v>2</v>
      </c>
      <c r="G456" s="10">
        <v>1</v>
      </c>
    </row>
    <row r="457" spans="1:7" x14ac:dyDescent="0.3">
      <c r="A457" s="9" t="s">
        <v>148</v>
      </c>
      <c r="B457" s="9" t="s">
        <v>80</v>
      </c>
      <c r="C457" s="10">
        <v>3.0169999999999999</v>
      </c>
      <c r="D457" s="10">
        <v>-0.42851555212499998</v>
      </c>
      <c r="E457" s="9" t="s">
        <v>88</v>
      </c>
      <c r="F457" s="10">
        <v>14</v>
      </c>
      <c r="G457" s="10">
        <v>1</v>
      </c>
    </row>
    <row r="458" spans="1:7" x14ac:dyDescent="0.3">
      <c r="A458" s="9" t="s">
        <v>148</v>
      </c>
      <c r="B458" s="9" t="s">
        <v>79</v>
      </c>
      <c r="C458" s="10">
        <v>0.82199999999999995</v>
      </c>
      <c r="D458" s="10">
        <v>-0.42851555212499998</v>
      </c>
      <c r="E458" s="9" t="s">
        <v>88</v>
      </c>
      <c r="F458" s="10">
        <v>14</v>
      </c>
      <c r="G458" s="10">
        <v>1</v>
      </c>
    </row>
    <row r="459" spans="1:7" x14ac:dyDescent="0.3">
      <c r="A459" s="9" t="s">
        <v>148</v>
      </c>
      <c r="B459" s="9" t="s">
        <v>81</v>
      </c>
      <c r="C459" s="10">
        <v>6.0410000000000004</v>
      </c>
      <c r="D459" s="10">
        <v>-0.42851555212499998</v>
      </c>
      <c r="E459" s="9" t="s">
        <v>88</v>
      </c>
      <c r="F459" s="10">
        <v>14</v>
      </c>
      <c r="G459" s="10">
        <v>1</v>
      </c>
    </row>
    <row r="460" spans="1:7" x14ac:dyDescent="0.3">
      <c r="A460" s="9" t="s">
        <v>148</v>
      </c>
      <c r="B460" s="9" t="s">
        <v>78</v>
      </c>
      <c r="C460" s="10">
        <v>3.548</v>
      </c>
      <c r="D460" s="10">
        <v>-0.42851555212499998</v>
      </c>
      <c r="E460" s="9" t="s">
        <v>88</v>
      </c>
      <c r="F460" s="10">
        <v>14</v>
      </c>
      <c r="G460" s="10">
        <v>1</v>
      </c>
    </row>
    <row r="461" spans="1:7" x14ac:dyDescent="0.3">
      <c r="A461" s="9" t="s">
        <v>148</v>
      </c>
      <c r="B461" s="9" t="s">
        <v>82</v>
      </c>
      <c r="C461" s="10">
        <v>0.90300000000000002</v>
      </c>
      <c r="D461" s="10">
        <v>-0.42851555212499998</v>
      </c>
      <c r="E461" s="9" t="s">
        <v>88</v>
      </c>
      <c r="F461" s="10">
        <v>14</v>
      </c>
      <c r="G461" s="10">
        <v>1</v>
      </c>
    </row>
    <row r="462" spans="1:7" x14ac:dyDescent="0.3">
      <c r="A462" s="9" t="s">
        <v>147</v>
      </c>
      <c r="B462" s="9" t="s">
        <v>80</v>
      </c>
      <c r="C462" s="10">
        <v>4.2009999999999996</v>
      </c>
      <c r="D462" s="10">
        <v>7.0992417793000001E-2</v>
      </c>
      <c r="E462" s="9" t="s">
        <v>88</v>
      </c>
      <c r="F462" s="10">
        <v>4</v>
      </c>
      <c r="G462" s="10">
        <v>1</v>
      </c>
    </row>
    <row r="463" spans="1:7" x14ac:dyDescent="0.3">
      <c r="A463" s="9" t="s">
        <v>147</v>
      </c>
      <c r="B463" s="9" t="s">
        <v>79</v>
      </c>
      <c r="C463" s="10">
        <v>1.94</v>
      </c>
      <c r="D463" s="10">
        <v>7.0992417793000001E-2</v>
      </c>
      <c r="E463" s="9" t="s">
        <v>88</v>
      </c>
      <c r="F463" s="10">
        <v>4</v>
      </c>
      <c r="G463" s="10">
        <v>1</v>
      </c>
    </row>
    <row r="464" spans="1:7" x14ac:dyDescent="0.3">
      <c r="A464" s="9" t="s">
        <v>147</v>
      </c>
      <c r="B464" s="9" t="s">
        <v>81</v>
      </c>
      <c r="C464" s="10">
        <v>6.1619999999999999</v>
      </c>
      <c r="D464" s="10">
        <v>7.0992417793000001E-2</v>
      </c>
      <c r="E464" s="9" t="s">
        <v>88</v>
      </c>
      <c r="F464" s="10">
        <v>4</v>
      </c>
      <c r="G464" s="10">
        <v>1</v>
      </c>
    </row>
    <row r="465" spans="1:7" x14ac:dyDescent="0.3">
      <c r="A465" s="9" t="s">
        <v>147</v>
      </c>
      <c r="B465" s="9" t="s">
        <v>78</v>
      </c>
      <c r="C465" s="10">
        <v>3.3180000000000001</v>
      </c>
      <c r="D465" s="10">
        <v>7.0992417793000001E-2</v>
      </c>
      <c r="E465" s="9" t="s">
        <v>88</v>
      </c>
      <c r="F465" s="10">
        <v>4</v>
      </c>
      <c r="G465" s="10">
        <v>1</v>
      </c>
    </row>
    <row r="466" spans="1:7" x14ac:dyDescent="0.3">
      <c r="A466" s="9" t="s">
        <v>147</v>
      </c>
      <c r="B466" s="9" t="s">
        <v>82</v>
      </c>
      <c r="C466" s="10">
        <v>0.85499999999999998</v>
      </c>
      <c r="D466" s="10">
        <v>7.0992417793000001E-2</v>
      </c>
      <c r="E466" s="9" t="s">
        <v>88</v>
      </c>
      <c r="F466" s="10">
        <v>4</v>
      </c>
      <c r="G466" s="10">
        <v>1</v>
      </c>
    </row>
    <row r="467" spans="1:7" x14ac:dyDescent="0.3">
      <c r="A467" s="9" t="s">
        <v>146</v>
      </c>
      <c r="B467" s="9" t="s">
        <v>80</v>
      </c>
      <c r="C467" s="10">
        <v>6.6689999999999996</v>
      </c>
      <c r="D467" s="10">
        <v>0.19586381005299999</v>
      </c>
      <c r="E467" s="9" t="s">
        <v>88</v>
      </c>
      <c r="F467" s="10">
        <v>1</v>
      </c>
      <c r="G467" s="10">
        <v>0</v>
      </c>
    </row>
    <row r="468" spans="1:7" x14ac:dyDescent="0.3">
      <c r="A468" s="9" t="s">
        <v>146</v>
      </c>
      <c r="B468" s="9" t="s">
        <v>79</v>
      </c>
      <c r="C468" s="10">
        <v>1.3180000000000001</v>
      </c>
      <c r="D468" s="10">
        <v>0.19586381005299999</v>
      </c>
      <c r="E468" s="9" t="s">
        <v>88</v>
      </c>
      <c r="F468" s="10">
        <v>1</v>
      </c>
      <c r="G468" s="10">
        <v>0</v>
      </c>
    </row>
    <row r="469" spans="1:7" x14ac:dyDescent="0.3">
      <c r="A469" s="9" t="s">
        <v>146</v>
      </c>
      <c r="B469" s="9" t="s">
        <v>81</v>
      </c>
      <c r="C469" s="10">
        <v>6.835</v>
      </c>
      <c r="D469" s="10">
        <v>0.19586381005299999</v>
      </c>
      <c r="E469" s="9" t="s">
        <v>88</v>
      </c>
      <c r="F469" s="10">
        <v>1</v>
      </c>
      <c r="G469" s="10">
        <v>0</v>
      </c>
    </row>
    <row r="470" spans="1:7" x14ac:dyDescent="0.3">
      <c r="A470" s="9" t="s">
        <v>146</v>
      </c>
      <c r="B470" s="9" t="s">
        <v>78</v>
      </c>
      <c r="C470" s="10">
        <v>3.6480000000000001</v>
      </c>
      <c r="D470" s="10">
        <v>0.19586381005299999</v>
      </c>
      <c r="E470" s="9" t="s">
        <v>88</v>
      </c>
      <c r="F470" s="10">
        <v>1</v>
      </c>
      <c r="G470" s="10">
        <v>0</v>
      </c>
    </row>
    <row r="471" spans="1:7" x14ac:dyDescent="0.3">
      <c r="A471" s="9" t="s">
        <v>146</v>
      </c>
      <c r="B471" s="9" t="s">
        <v>82</v>
      </c>
      <c r="C471" s="10">
        <v>0.69799999999999995</v>
      </c>
      <c r="D471" s="10">
        <v>0.19586381005299999</v>
      </c>
      <c r="E471" s="9" t="s">
        <v>88</v>
      </c>
      <c r="F471" s="10">
        <v>1</v>
      </c>
      <c r="G471" s="10">
        <v>0</v>
      </c>
    </row>
    <row r="472" spans="1:7" x14ac:dyDescent="0.3">
      <c r="A472" s="9" t="s">
        <v>145</v>
      </c>
      <c r="B472" s="9" t="s">
        <v>80</v>
      </c>
      <c r="C472" s="10">
        <v>3.07</v>
      </c>
      <c r="D472" s="10">
        <v>-0.64473505256100005</v>
      </c>
      <c r="E472" s="9" t="s">
        <v>87</v>
      </c>
      <c r="F472" s="10">
        <v>29</v>
      </c>
      <c r="G472" s="10">
        <v>0</v>
      </c>
    </row>
    <row r="473" spans="1:7" x14ac:dyDescent="0.3">
      <c r="A473" s="9" t="s">
        <v>145</v>
      </c>
      <c r="B473" s="9" t="s">
        <v>79</v>
      </c>
      <c r="C473" s="10">
        <v>0.94499999999999995</v>
      </c>
      <c r="D473" s="10">
        <v>-0.64473505256100005</v>
      </c>
      <c r="E473" s="9" t="s">
        <v>87</v>
      </c>
      <c r="F473" s="10">
        <v>29</v>
      </c>
      <c r="G473" s="10">
        <v>0</v>
      </c>
    </row>
    <row r="474" spans="1:7" x14ac:dyDescent="0.3">
      <c r="A474" s="9" t="s">
        <v>145</v>
      </c>
      <c r="B474" s="9" t="s">
        <v>81</v>
      </c>
      <c r="C474" s="10">
        <v>5.5720000000000001</v>
      </c>
      <c r="D474" s="10">
        <v>-0.64473505256100005</v>
      </c>
      <c r="E474" s="9" t="s">
        <v>87</v>
      </c>
      <c r="F474" s="10">
        <v>29</v>
      </c>
      <c r="G474" s="10">
        <v>0</v>
      </c>
    </row>
    <row r="475" spans="1:7" x14ac:dyDescent="0.3">
      <c r="A475" s="9" t="s">
        <v>145</v>
      </c>
      <c r="B475" s="9" t="s">
        <v>78</v>
      </c>
      <c r="C475" s="10">
        <v>3.4860000000000002</v>
      </c>
      <c r="D475" s="10">
        <v>-0.64473505256100005</v>
      </c>
      <c r="E475" s="9" t="s">
        <v>87</v>
      </c>
      <c r="F475" s="10">
        <v>29</v>
      </c>
      <c r="G475" s="10">
        <v>0</v>
      </c>
    </row>
    <row r="476" spans="1:7" x14ac:dyDescent="0.3">
      <c r="A476" s="9" t="s">
        <v>145</v>
      </c>
      <c r="B476" s="9" t="s">
        <v>82</v>
      </c>
      <c r="C476" s="10">
        <v>0.69499999999999995</v>
      </c>
      <c r="D476" s="10">
        <v>-0.64473505256100005</v>
      </c>
      <c r="E476" s="9" t="s">
        <v>87</v>
      </c>
      <c r="F476" s="10">
        <v>29</v>
      </c>
      <c r="G476" s="10">
        <v>0</v>
      </c>
    </row>
    <row r="477" spans="1:7" x14ac:dyDescent="0.3">
      <c r="A477" s="9" t="s">
        <v>144</v>
      </c>
      <c r="B477" s="9" t="s">
        <v>80</v>
      </c>
      <c r="C477" s="10">
        <v>6.2729999999999997</v>
      </c>
      <c r="D477" s="10">
        <v>-1.3325838637980001</v>
      </c>
      <c r="E477" s="9" t="s">
        <v>87</v>
      </c>
      <c r="F477" s="10">
        <v>1</v>
      </c>
      <c r="G477" s="10">
        <v>0</v>
      </c>
    </row>
    <row r="478" spans="1:7" x14ac:dyDescent="0.3">
      <c r="A478" s="9" t="s">
        <v>144</v>
      </c>
      <c r="B478" s="9" t="s">
        <v>79</v>
      </c>
      <c r="C478" s="10">
        <v>1.633</v>
      </c>
      <c r="D478" s="10">
        <v>-1.3325838637980001</v>
      </c>
      <c r="E478" s="9" t="s">
        <v>87</v>
      </c>
      <c r="F478" s="10">
        <v>1</v>
      </c>
      <c r="G478" s="10">
        <v>0</v>
      </c>
    </row>
    <row r="479" spans="1:7" x14ac:dyDescent="0.3">
      <c r="A479" s="9" t="s">
        <v>144</v>
      </c>
      <c r="B479" s="9" t="s">
        <v>81</v>
      </c>
      <c r="C479" s="10">
        <v>5.9409999999999998</v>
      </c>
      <c r="D479" s="10">
        <v>-1.3325838637980001</v>
      </c>
      <c r="E479" s="9" t="s">
        <v>87</v>
      </c>
      <c r="F479" s="10">
        <v>1</v>
      </c>
      <c r="G479" s="10">
        <v>0</v>
      </c>
    </row>
    <row r="480" spans="1:7" x14ac:dyDescent="0.3">
      <c r="A480" s="9" t="s">
        <v>144</v>
      </c>
      <c r="B480" s="9" t="s">
        <v>78</v>
      </c>
      <c r="C480" s="10">
        <v>3.4239999999999999</v>
      </c>
      <c r="D480" s="10">
        <v>-1.3325838637980001</v>
      </c>
      <c r="E480" s="9" t="s">
        <v>87</v>
      </c>
      <c r="F480" s="10">
        <v>1</v>
      </c>
      <c r="G480" s="10">
        <v>0</v>
      </c>
    </row>
    <row r="481" spans="1:7" x14ac:dyDescent="0.3">
      <c r="A481" s="9" t="s">
        <v>144</v>
      </c>
      <c r="B481" s="9" t="s">
        <v>82</v>
      </c>
      <c r="C481" s="10">
        <v>0.89700000000000002</v>
      </c>
      <c r="D481" s="10">
        <v>-1.3325838637980001</v>
      </c>
      <c r="E481" s="9" t="s">
        <v>87</v>
      </c>
      <c r="F481" s="10">
        <v>1</v>
      </c>
      <c r="G481" s="10">
        <v>0</v>
      </c>
    </row>
    <row r="482" spans="1:7" x14ac:dyDescent="0.3">
      <c r="A482" s="9" t="s">
        <v>143</v>
      </c>
      <c r="B482" s="9" t="s">
        <v>80</v>
      </c>
      <c r="C482" s="10">
        <v>4.8</v>
      </c>
      <c r="D482" s="10">
        <v>-0.44259136577399999</v>
      </c>
      <c r="E482" s="9" t="s">
        <v>88</v>
      </c>
      <c r="F482" s="10">
        <v>8</v>
      </c>
      <c r="G482" s="10">
        <v>1</v>
      </c>
    </row>
    <row r="483" spans="1:7" x14ac:dyDescent="0.3">
      <c r="A483" s="9" t="s">
        <v>143</v>
      </c>
      <c r="B483" s="9" t="s">
        <v>79</v>
      </c>
      <c r="C483" s="10">
        <v>2.78</v>
      </c>
      <c r="D483" s="10">
        <v>-0.44259136577399999</v>
      </c>
      <c r="E483" s="9" t="s">
        <v>88</v>
      </c>
      <c r="F483" s="10">
        <v>8</v>
      </c>
      <c r="G483" s="10">
        <v>1</v>
      </c>
    </row>
    <row r="484" spans="1:7" x14ac:dyDescent="0.3">
      <c r="A484" s="9" t="s">
        <v>143</v>
      </c>
      <c r="B484" s="9" t="s">
        <v>81</v>
      </c>
      <c r="C484" s="10">
        <v>6.4690000000000003</v>
      </c>
      <c r="D484" s="10">
        <v>-0.44259136577399999</v>
      </c>
      <c r="E484" s="9" t="s">
        <v>88</v>
      </c>
      <c r="F484" s="10">
        <v>8</v>
      </c>
      <c r="G484" s="10">
        <v>1</v>
      </c>
    </row>
    <row r="485" spans="1:7" x14ac:dyDescent="0.3">
      <c r="A485" s="9" t="s">
        <v>143</v>
      </c>
      <c r="B485" s="9" t="s">
        <v>78</v>
      </c>
      <c r="C485" s="10">
        <v>3.58</v>
      </c>
      <c r="D485" s="10">
        <v>-0.44259136577399999</v>
      </c>
      <c r="E485" s="9" t="s">
        <v>88</v>
      </c>
      <c r="F485" s="10">
        <v>8</v>
      </c>
      <c r="G485" s="10">
        <v>1</v>
      </c>
    </row>
    <row r="486" spans="1:7" x14ac:dyDescent="0.3">
      <c r="A486" s="9" t="s">
        <v>143</v>
      </c>
      <c r="B486" s="9" t="s">
        <v>82</v>
      </c>
      <c r="C486" s="10">
        <v>0.73</v>
      </c>
      <c r="D486" s="10">
        <v>-0.44259136577399999</v>
      </c>
      <c r="E486" s="9" t="s">
        <v>88</v>
      </c>
      <c r="F486" s="10">
        <v>8</v>
      </c>
      <c r="G486" s="10">
        <v>1</v>
      </c>
    </row>
    <row r="487" spans="1:7" x14ac:dyDescent="0.3">
      <c r="A487" s="9" t="s">
        <v>142</v>
      </c>
      <c r="B487" s="9" t="s">
        <v>80</v>
      </c>
      <c r="C487" s="10">
        <v>11.397</v>
      </c>
      <c r="D487" s="10">
        <v>0.64697681904000004</v>
      </c>
      <c r="E487" s="9" t="s">
        <v>88</v>
      </c>
      <c r="F487" s="10">
        <v>54</v>
      </c>
      <c r="G487" s="10">
        <v>1</v>
      </c>
    </row>
    <row r="488" spans="1:7" x14ac:dyDescent="0.3">
      <c r="A488" s="9" t="s">
        <v>142</v>
      </c>
      <c r="B488" s="9" t="s">
        <v>79</v>
      </c>
      <c r="C488" s="10">
        <v>3.359</v>
      </c>
      <c r="D488" s="10">
        <v>0.64697681904000004</v>
      </c>
      <c r="E488" s="9" t="s">
        <v>88</v>
      </c>
      <c r="F488" s="10">
        <v>54</v>
      </c>
      <c r="G488" s="10">
        <v>1</v>
      </c>
    </row>
    <row r="489" spans="1:7" x14ac:dyDescent="0.3">
      <c r="A489" s="9" t="s">
        <v>142</v>
      </c>
      <c r="B489" s="9" t="s">
        <v>81</v>
      </c>
      <c r="C489" s="10">
        <v>8.1189999999999998</v>
      </c>
      <c r="D489" s="10">
        <v>0.64697681904000004</v>
      </c>
      <c r="E489" s="9" t="s">
        <v>88</v>
      </c>
      <c r="F489" s="10">
        <v>54</v>
      </c>
      <c r="G489" s="10">
        <v>1</v>
      </c>
    </row>
    <row r="490" spans="1:7" x14ac:dyDescent="0.3">
      <c r="A490" s="9" t="s">
        <v>142</v>
      </c>
      <c r="B490" s="9" t="s">
        <v>78</v>
      </c>
      <c r="C490" s="10">
        <v>6.1760000000000002</v>
      </c>
      <c r="D490" s="10">
        <v>0.64697681904000004</v>
      </c>
      <c r="E490" s="9" t="s">
        <v>88</v>
      </c>
      <c r="F490" s="10">
        <v>54</v>
      </c>
      <c r="G490" s="10">
        <v>1</v>
      </c>
    </row>
    <row r="491" spans="1:7" x14ac:dyDescent="0.3">
      <c r="A491" s="9" t="s">
        <v>142</v>
      </c>
      <c r="B491" s="9" t="s">
        <v>82</v>
      </c>
      <c r="C491" s="10">
        <v>1.0960000000000001</v>
      </c>
      <c r="D491" s="10">
        <v>0.64697681904000004</v>
      </c>
      <c r="E491" s="9" t="s">
        <v>88</v>
      </c>
      <c r="F491" s="10">
        <v>54</v>
      </c>
      <c r="G491" s="10">
        <v>1</v>
      </c>
    </row>
    <row r="492" spans="1:7" x14ac:dyDescent="0.3">
      <c r="A492" s="9" t="s">
        <v>141</v>
      </c>
      <c r="B492" s="9" t="s">
        <v>80</v>
      </c>
      <c r="C492" s="10">
        <v>6.39</v>
      </c>
      <c r="D492" s="10">
        <v>2.1259661345E-2</v>
      </c>
      <c r="E492" s="9" t="s">
        <v>88</v>
      </c>
      <c r="F492" s="10">
        <v>6</v>
      </c>
      <c r="G492" s="10">
        <v>1</v>
      </c>
    </row>
    <row r="493" spans="1:7" x14ac:dyDescent="0.3">
      <c r="A493" s="9" t="s">
        <v>141</v>
      </c>
      <c r="B493" s="9" t="s">
        <v>79</v>
      </c>
      <c r="C493" s="10">
        <v>3.1179999999999999</v>
      </c>
      <c r="D493" s="10">
        <v>2.1259661345E-2</v>
      </c>
      <c r="E493" s="9" t="s">
        <v>88</v>
      </c>
      <c r="F493" s="10">
        <v>6</v>
      </c>
      <c r="G493" s="10">
        <v>1</v>
      </c>
    </row>
    <row r="494" spans="1:7" x14ac:dyDescent="0.3">
      <c r="A494" s="9" t="s">
        <v>141</v>
      </c>
      <c r="B494" s="9" t="s">
        <v>81</v>
      </c>
      <c r="C494" s="10">
        <v>6.7380000000000004</v>
      </c>
      <c r="D494" s="10">
        <v>2.1259661345E-2</v>
      </c>
      <c r="E494" s="9" t="s">
        <v>88</v>
      </c>
      <c r="F494" s="10">
        <v>6</v>
      </c>
      <c r="G494" s="10">
        <v>1</v>
      </c>
    </row>
    <row r="495" spans="1:7" x14ac:dyDescent="0.3">
      <c r="A495" s="9" t="s">
        <v>141</v>
      </c>
      <c r="B495" s="9" t="s">
        <v>78</v>
      </c>
      <c r="C495" s="10">
        <v>3.3570000000000002</v>
      </c>
      <c r="D495" s="10">
        <v>2.1259661345E-2</v>
      </c>
      <c r="E495" s="9" t="s">
        <v>88</v>
      </c>
      <c r="F495" s="10">
        <v>6</v>
      </c>
      <c r="G495" s="10">
        <v>1</v>
      </c>
    </row>
    <row r="496" spans="1:7" x14ac:dyDescent="0.3">
      <c r="A496" s="9" t="s">
        <v>141</v>
      </c>
      <c r="B496" s="9" t="s">
        <v>82</v>
      </c>
      <c r="C496" s="10">
        <v>0.76800000000000002</v>
      </c>
      <c r="D496" s="10">
        <v>2.1259661345E-2</v>
      </c>
      <c r="E496" s="9" t="s">
        <v>88</v>
      </c>
      <c r="F496" s="10">
        <v>6</v>
      </c>
      <c r="G496" s="10">
        <v>1</v>
      </c>
    </row>
    <row r="497" spans="1:7" x14ac:dyDescent="0.3">
      <c r="A497" s="9" t="s">
        <v>140</v>
      </c>
      <c r="B497" s="9" t="s">
        <v>80</v>
      </c>
      <c r="C497" s="10">
        <v>3.778</v>
      </c>
      <c r="D497" s="10">
        <v>-0.77597427051900003</v>
      </c>
      <c r="E497" s="9" t="s">
        <v>87</v>
      </c>
      <c r="F497" s="10">
        <v>7</v>
      </c>
      <c r="G497" s="10">
        <v>1</v>
      </c>
    </row>
    <row r="498" spans="1:7" x14ac:dyDescent="0.3">
      <c r="A498" s="9" t="s">
        <v>140</v>
      </c>
      <c r="B498" s="9" t="s">
        <v>79</v>
      </c>
      <c r="C498" s="10">
        <v>2.8580000000000001</v>
      </c>
      <c r="D498" s="10">
        <v>-0.77597427051900003</v>
      </c>
      <c r="E498" s="9" t="s">
        <v>87</v>
      </c>
      <c r="F498" s="10">
        <v>7</v>
      </c>
      <c r="G498" s="10">
        <v>1</v>
      </c>
    </row>
    <row r="499" spans="1:7" x14ac:dyDescent="0.3">
      <c r="A499" s="9" t="s">
        <v>140</v>
      </c>
      <c r="B499" s="9" t="s">
        <v>81</v>
      </c>
      <c r="C499" s="10">
        <v>6.6040000000000001</v>
      </c>
      <c r="D499" s="10">
        <v>-0.77597427051900003</v>
      </c>
      <c r="E499" s="9" t="s">
        <v>87</v>
      </c>
      <c r="F499" s="10">
        <v>7</v>
      </c>
      <c r="G499" s="10">
        <v>1</v>
      </c>
    </row>
    <row r="500" spans="1:7" x14ac:dyDescent="0.3">
      <c r="A500" s="9" t="s">
        <v>140</v>
      </c>
      <c r="B500" s="9" t="s">
        <v>78</v>
      </c>
      <c r="C500" s="10">
        <v>3.7789999999999999</v>
      </c>
      <c r="D500" s="10">
        <v>-0.77597427051900003</v>
      </c>
      <c r="E500" s="9" t="s">
        <v>87</v>
      </c>
      <c r="F500" s="10">
        <v>7</v>
      </c>
      <c r="G500" s="10">
        <v>1</v>
      </c>
    </row>
    <row r="501" spans="1:7" x14ac:dyDescent="0.3">
      <c r="A501" s="9" t="s">
        <v>140</v>
      </c>
      <c r="B501" s="9" t="s">
        <v>82</v>
      </c>
      <c r="C501" s="10">
        <v>0.73099999999999998</v>
      </c>
      <c r="D501" s="10">
        <v>-0.77597427051900003</v>
      </c>
      <c r="E501" s="9" t="s">
        <v>87</v>
      </c>
      <c r="F501" s="10">
        <v>7</v>
      </c>
      <c r="G501" s="10">
        <v>1</v>
      </c>
    </row>
    <row r="502" spans="1:7" x14ac:dyDescent="0.3">
      <c r="A502" s="9" t="s">
        <v>139</v>
      </c>
      <c r="B502" s="9" t="s">
        <v>80</v>
      </c>
      <c r="C502" s="10">
        <v>9.7289999999999992</v>
      </c>
      <c r="D502" s="10">
        <v>-1.798815065059</v>
      </c>
      <c r="E502" s="9" t="s">
        <v>87</v>
      </c>
      <c r="F502" s="10">
        <v>7</v>
      </c>
      <c r="G502" s="10">
        <v>1</v>
      </c>
    </row>
    <row r="503" spans="1:7" x14ac:dyDescent="0.3">
      <c r="A503" s="9" t="s">
        <v>139</v>
      </c>
      <c r="B503" s="9" t="s">
        <v>79</v>
      </c>
      <c r="C503" s="10">
        <v>1.3660000000000001</v>
      </c>
      <c r="D503" s="10">
        <v>-1.798815065059</v>
      </c>
      <c r="E503" s="9" t="s">
        <v>87</v>
      </c>
      <c r="F503" s="10">
        <v>7</v>
      </c>
      <c r="G503" s="10">
        <v>1</v>
      </c>
    </row>
    <row r="504" spans="1:7" x14ac:dyDescent="0.3">
      <c r="A504" s="9" t="s">
        <v>139</v>
      </c>
      <c r="B504" s="9" t="s">
        <v>81</v>
      </c>
      <c r="C504" s="10">
        <v>6.3109999999999999</v>
      </c>
      <c r="D504" s="10">
        <v>-1.798815065059</v>
      </c>
      <c r="E504" s="9" t="s">
        <v>87</v>
      </c>
      <c r="F504" s="10">
        <v>7</v>
      </c>
      <c r="G504" s="10">
        <v>1</v>
      </c>
    </row>
    <row r="505" spans="1:7" x14ac:dyDescent="0.3">
      <c r="A505" s="9" t="s">
        <v>139</v>
      </c>
      <c r="B505" s="9" t="s">
        <v>78</v>
      </c>
      <c r="C505" s="10">
        <v>5.298</v>
      </c>
      <c r="D505" s="10">
        <v>-1.798815065059</v>
      </c>
      <c r="E505" s="9" t="s">
        <v>87</v>
      </c>
      <c r="F505" s="10">
        <v>7</v>
      </c>
      <c r="G505" s="10">
        <v>1</v>
      </c>
    </row>
    <row r="506" spans="1:7" x14ac:dyDescent="0.3">
      <c r="A506" s="9" t="s">
        <v>139</v>
      </c>
      <c r="B506" s="9" t="s">
        <v>82</v>
      </c>
      <c r="C506" s="10">
        <v>1.909</v>
      </c>
      <c r="D506" s="10">
        <v>-1.798815065059</v>
      </c>
      <c r="E506" s="9" t="s">
        <v>87</v>
      </c>
      <c r="F506" s="10">
        <v>7</v>
      </c>
      <c r="G506" s="10">
        <v>1</v>
      </c>
    </row>
    <row r="507" spans="1:7" x14ac:dyDescent="0.3">
      <c r="A507" s="9" t="s">
        <v>138</v>
      </c>
      <c r="B507" s="9" t="s">
        <v>80</v>
      </c>
      <c r="C507" s="10">
        <v>4.97</v>
      </c>
      <c r="D507" s="10">
        <v>-0.21526203746200001</v>
      </c>
      <c r="E507" s="9" t="s">
        <v>88</v>
      </c>
      <c r="F507" s="10">
        <v>13</v>
      </c>
      <c r="G507" s="10">
        <v>1</v>
      </c>
    </row>
    <row r="508" spans="1:7" x14ac:dyDescent="0.3">
      <c r="A508" s="9" t="s">
        <v>138</v>
      </c>
      <c r="B508" s="9" t="s">
        <v>79</v>
      </c>
      <c r="C508" s="10">
        <v>0.81399999999999995</v>
      </c>
      <c r="D508" s="10">
        <v>-0.21526203746200001</v>
      </c>
      <c r="E508" s="9" t="s">
        <v>88</v>
      </c>
      <c r="F508" s="10">
        <v>13</v>
      </c>
      <c r="G508" s="10">
        <v>1</v>
      </c>
    </row>
    <row r="509" spans="1:7" x14ac:dyDescent="0.3">
      <c r="A509" s="9" t="s">
        <v>138</v>
      </c>
      <c r="B509" s="9" t="s">
        <v>81</v>
      </c>
      <c r="C509" s="10">
        <v>5.5469999999999997</v>
      </c>
      <c r="D509" s="10">
        <v>-0.21526203746200001</v>
      </c>
      <c r="E509" s="9" t="s">
        <v>88</v>
      </c>
      <c r="F509" s="10">
        <v>13</v>
      </c>
      <c r="G509" s="10">
        <v>1</v>
      </c>
    </row>
    <row r="510" spans="1:7" x14ac:dyDescent="0.3">
      <c r="A510" s="9" t="s">
        <v>138</v>
      </c>
      <c r="B510" s="9" t="s">
        <v>78</v>
      </c>
      <c r="C510" s="10">
        <v>4.95</v>
      </c>
      <c r="D510" s="10">
        <v>-0.21526203746200001</v>
      </c>
      <c r="E510" s="9" t="s">
        <v>88</v>
      </c>
      <c r="F510" s="10">
        <v>13</v>
      </c>
      <c r="G510" s="10">
        <v>1</v>
      </c>
    </row>
    <row r="511" spans="1:7" x14ac:dyDescent="0.3">
      <c r="A511" s="9" t="s">
        <v>138</v>
      </c>
      <c r="B511" s="9" t="s">
        <v>82</v>
      </c>
      <c r="C511" s="10">
        <v>0.65200000000000002</v>
      </c>
      <c r="D511" s="10">
        <v>-0.21526203746200001</v>
      </c>
      <c r="E511" s="9" t="s">
        <v>88</v>
      </c>
      <c r="F511" s="10">
        <v>13</v>
      </c>
      <c r="G511" s="10">
        <v>1</v>
      </c>
    </row>
    <row r="512" spans="1:7" x14ac:dyDescent="0.3">
      <c r="A512" s="9" t="s">
        <v>137</v>
      </c>
      <c r="B512" s="9" t="s">
        <v>80</v>
      </c>
      <c r="C512" s="10">
        <v>5.2050000000000001</v>
      </c>
      <c r="D512" s="10">
        <v>2.2732758188999998E-2</v>
      </c>
      <c r="E512" s="9" t="s">
        <v>88</v>
      </c>
      <c r="F512" s="10">
        <v>16</v>
      </c>
      <c r="G512" s="10">
        <v>1</v>
      </c>
    </row>
    <row r="513" spans="1:7" x14ac:dyDescent="0.3">
      <c r="A513" s="9" t="s">
        <v>137</v>
      </c>
      <c r="B513" s="9" t="s">
        <v>79</v>
      </c>
      <c r="C513" s="10">
        <v>2.972</v>
      </c>
      <c r="D513" s="10">
        <v>2.2732758188999998E-2</v>
      </c>
      <c r="E513" s="9" t="s">
        <v>88</v>
      </c>
      <c r="F513" s="10">
        <v>16</v>
      </c>
      <c r="G513" s="10">
        <v>1</v>
      </c>
    </row>
    <row r="514" spans="1:7" x14ac:dyDescent="0.3">
      <c r="A514" s="9" t="s">
        <v>137</v>
      </c>
      <c r="B514" s="9" t="s">
        <v>81</v>
      </c>
      <c r="C514" s="10">
        <v>7.2309999999999999</v>
      </c>
      <c r="D514" s="10">
        <v>2.2732758188999998E-2</v>
      </c>
      <c r="E514" s="9" t="s">
        <v>88</v>
      </c>
      <c r="F514" s="10">
        <v>16</v>
      </c>
      <c r="G514" s="10">
        <v>1</v>
      </c>
    </row>
    <row r="515" spans="1:7" x14ac:dyDescent="0.3">
      <c r="A515" s="9" t="s">
        <v>137</v>
      </c>
      <c r="B515" s="9" t="s">
        <v>78</v>
      </c>
      <c r="C515" s="10">
        <v>3.117</v>
      </c>
      <c r="D515" s="10">
        <v>2.2732758188999998E-2</v>
      </c>
      <c r="E515" s="9" t="s">
        <v>88</v>
      </c>
      <c r="F515" s="10">
        <v>16</v>
      </c>
      <c r="G515" s="10">
        <v>1</v>
      </c>
    </row>
    <row r="516" spans="1:7" x14ac:dyDescent="0.3">
      <c r="A516" s="9" t="s">
        <v>137</v>
      </c>
      <c r="B516" s="9" t="s">
        <v>82</v>
      </c>
      <c r="C516" s="10">
        <v>0.878</v>
      </c>
      <c r="D516" s="10">
        <v>2.2732758188999998E-2</v>
      </c>
      <c r="E516" s="9" t="s">
        <v>88</v>
      </c>
      <c r="F516" s="10">
        <v>16</v>
      </c>
      <c r="G516" s="10">
        <v>1</v>
      </c>
    </row>
    <row r="517" spans="1:7" x14ac:dyDescent="0.3">
      <c r="A517" s="9" t="s">
        <v>136</v>
      </c>
      <c r="B517" s="9" t="s">
        <v>80</v>
      </c>
      <c r="C517" s="10">
        <v>6.2729999999999997</v>
      </c>
      <c r="D517" s="10">
        <v>7.7962672395000002E-2</v>
      </c>
      <c r="E517" s="9" t="s">
        <v>88</v>
      </c>
      <c r="F517" s="10">
        <v>15</v>
      </c>
      <c r="G517" s="10">
        <v>1</v>
      </c>
    </row>
    <row r="518" spans="1:7" x14ac:dyDescent="0.3">
      <c r="A518" s="9" t="s">
        <v>136</v>
      </c>
      <c r="B518" s="9" t="s">
        <v>79</v>
      </c>
      <c r="C518" s="10">
        <v>0.95199999999999996</v>
      </c>
      <c r="D518" s="10">
        <v>7.7962672395000002E-2</v>
      </c>
      <c r="E518" s="9" t="s">
        <v>88</v>
      </c>
      <c r="F518" s="10">
        <v>15</v>
      </c>
      <c r="G518" s="10">
        <v>1</v>
      </c>
    </row>
    <row r="519" spans="1:7" x14ac:dyDescent="0.3">
      <c r="A519" s="9" t="s">
        <v>136</v>
      </c>
      <c r="B519" s="9" t="s">
        <v>81</v>
      </c>
      <c r="C519" s="10">
        <v>5.4779999999999998</v>
      </c>
      <c r="D519" s="10">
        <v>7.7962672395000002E-2</v>
      </c>
      <c r="E519" s="9" t="s">
        <v>88</v>
      </c>
      <c r="F519" s="10">
        <v>15</v>
      </c>
      <c r="G519" s="10">
        <v>1</v>
      </c>
    </row>
    <row r="520" spans="1:7" x14ac:dyDescent="0.3">
      <c r="A520" s="9" t="s">
        <v>136</v>
      </c>
      <c r="B520" s="9" t="s">
        <v>78</v>
      </c>
      <c r="C520" s="10">
        <v>3.677</v>
      </c>
      <c r="D520" s="10">
        <v>7.7962672395000002E-2</v>
      </c>
      <c r="E520" s="9" t="s">
        <v>88</v>
      </c>
      <c r="F520" s="10">
        <v>15</v>
      </c>
      <c r="G520" s="10">
        <v>1</v>
      </c>
    </row>
    <row r="521" spans="1:7" x14ac:dyDescent="0.3">
      <c r="A521" s="9" t="s">
        <v>136</v>
      </c>
      <c r="B521" s="9" t="s">
        <v>82</v>
      </c>
      <c r="C521" s="10">
        <v>0.9</v>
      </c>
      <c r="D521" s="10">
        <v>7.7962672395000002E-2</v>
      </c>
      <c r="E521" s="9" t="s">
        <v>88</v>
      </c>
      <c r="F521" s="10">
        <v>15</v>
      </c>
      <c r="G521" s="10">
        <v>1</v>
      </c>
    </row>
    <row r="522" spans="1:7" x14ac:dyDescent="0.3">
      <c r="A522" s="9" t="s">
        <v>135</v>
      </c>
      <c r="B522" s="9" t="s">
        <v>80</v>
      </c>
      <c r="C522" s="10">
        <v>2.2109999999999999</v>
      </c>
      <c r="D522" s="10">
        <v>-0.41926671002400001</v>
      </c>
      <c r="E522" s="9" t="s">
        <v>88</v>
      </c>
      <c r="F522" s="10">
        <v>6</v>
      </c>
      <c r="G522" s="10">
        <v>1</v>
      </c>
    </row>
    <row r="523" spans="1:7" x14ac:dyDescent="0.3">
      <c r="A523" s="9" t="s">
        <v>135</v>
      </c>
      <c r="B523" s="9" t="s">
        <v>79</v>
      </c>
      <c r="C523" s="10">
        <v>3.202</v>
      </c>
      <c r="D523" s="10">
        <v>-0.41926671002400001</v>
      </c>
      <c r="E523" s="9" t="s">
        <v>88</v>
      </c>
      <c r="F523" s="10">
        <v>6</v>
      </c>
      <c r="G523" s="10">
        <v>1</v>
      </c>
    </row>
    <row r="524" spans="1:7" x14ac:dyDescent="0.3">
      <c r="A524" s="9" t="s">
        <v>135</v>
      </c>
      <c r="B524" s="9" t="s">
        <v>81</v>
      </c>
      <c r="C524" s="10">
        <v>7.8620000000000001</v>
      </c>
      <c r="D524" s="10">
        <v>-0.41926671002400001</v>
      </c>
      <c r="E524" s="9" t="s">
        <v>88</v>
      </c>
      <c r="F524" s="10">
        <v>6</v>
      </c>
      <c r="G524" s="10">
        <v>1</v>
      </c>
    </row>
    <row r="525" spans="1:7" x14ac:dyDescent="0.3">
      <c r="A525" s="9" t="s">
        <v>135</v>
      </c>
      <c r="B525" s="9" t="s">
        <v>78</v>
      </c>
      <c r="C525" s="10">
        <v>3.2490000000000001</v>
      </c>
      <c r="D525" s="10">
        <v>-0.41926671002400001</v>
      </c>
      <c r="E525" s="9" t="s">
        <v>88</v>
      </c>
      <c r="F525" s="10">
        <v>6</v>
      </c>
      <c r="G525" s="10">
        <v>1</v>
      </c>
    </row>
    <row r="526" spans="1:7" x14ac:dyDescent="0.3">
      <c r="A526" s="9" t="s">
        <v>135</v>
      </c>
      <c r="B526" s="9" t="s">
        <v>82</v>
      </c>
      <c r="C526" s="10">
        <v>1.4390000000000001</v>
      </c>
      <c r="D526" s="10">
        <v>-0.41926671002400001</v>
      </c>
      <c r="E526" s="9" t="s">
        <v>88</v>
      </c>
      <c r="F526" s="10">
        <v>6</v>
      </c>
      <c r="G526" s="10">
        <v>1</v>
      </c>
    </row>
    <row r="527" spans="1:7" x14ac:dyDescent="0.3">
      <c r="A527" s="9" t="s">
        <v>134</v>
      </c>
      <c r="B527" s="9" t="s">
        <v>80</v>
      </c>
      <c r="C527" s="10">
        <v>5.8840000000000003</v>
      </c>
      <c r="D527" s="10">
        <v>-1.307982215085</v>
      </c>
      <c r="E527" s="9" t="s">
        <v>87</v>
      </c>
      <c r="F527" s="10">
        <v>7</v>
      </c>
      <c r="G527" s="10">
        <v>1</v>
      </c>
    </row>
    <row r="528" spans="1:7" x14ac:dyDescent="0.3">
      <c r="A528" s="9" t="s">
        <v>134</v>
      </c>
      <c r="B528" s="9" t="s">
        <v>79</v>
      </c>
      <c r="C528" s="10">
        <v>1.468</v>
      </c>
      <c r="D528" s="10">
        <v>-1.307982215085</v>
      </c>
      <c r="E528" s="9" t="s">
        <v>87</v>
      </c>
      <c r="F528" s="10">
        <v>7</v>
      </c>
      <c r="G528" s="10">
        <v>1</v>
      </c>
    </row>
    <row r="529" spans="1:7" x14ac:dyDescent="0.3">
      <c r="A529" s="9" t="s">
        <v>134</v>
      </c>
      <c r="B529" s="9" t="s">
        <v>81</v>
      </c>
      <c r="C529" s="10">
        <v>5.9870000000000001</v>
      </c>
      <c r="D529" s="10">
        <v>-1.307982215085</v>
      </c>
      <c r="E529" s="9" t="s">
        <v>87</v>
      </c>
      <c r="F529" s="10">
        <v>7</v>
      </c>
      <c r="G529" s="10">
        <v>1</v>
      </c>
    </row>
    <row r="530" spans="1:7" x14ac:dyDescent="0.3">
      <c r="A530" s="9" t="s">
        <v>134</v>
      </c>
      <c r="B530" s="9" t="s">
        <v>78</v>
      </c>
      <c r="C530" s="10">
        <v>2.6909999999999998</v>
      </c>
      <c r="D530" s="10">
        <v>-1.307982215085</v>
      </c>
      <c r="E530" s="9" t="s">
        <v>87</v>
      </c>
      <c r="F530" s="10">
        <v>7</v>
      </c>
      <c r="G530" s="10">
        <v>1</v>
      </c>
    </row>
    <row r="531" spans="1:7" x14ac:dyDescent="0.3">
      <c r="A531" s="9" t="s">
        <v>134</v>
      </c>
      <c r="B531" s="9" t="s">
        <v>82</v>
      </c>
      <c r="C531" s="10">
        <v>0.65400000000000003</v>
      </c>
      <c r="D531" s="10">
        <v>-1.307982215085</v>
      </c>
      <c r="E531" s="9" t="s">
        <v>87</v>
      </c>
      <c r="F531" s="10">
        <v>7</v>
      </c>
      <c r="G531" s="10">
        <v>1</v>
      </c>
    </row>
    <row r="532" spans="1:7" x14ac:dyDescent="0.3">
      <c r="A532" s="9" t="s">
        <v>133</v>
      </c>
      <c r="B532" s="9" t="s">
        <v>80</v>
      </c>
      <c r="C532" s="10">
        <v>6.2030000000000003</v>
      </c>
      <c r="D532" s="10">
        <v>-0.51387799661800004</v>
      </c>
      <c r="E532" s="9" t="s">
        <v>87</v>
      </c>
      <c r="F532" s="10">
        <v>18</v>
      </c>
      <c r="G532" s="10">
        <v>1</v>
      </c>
    </row>
    <row r="533" spans="1:7" x14ac:dyDescent="0.3">
      <c r="A533" s="9" t="s">
        <v>133</v>
      </c>
      <c r="B533" s="9" t="s">
        <v>79</v>
      </c>
      <c r="C533" s="10">
        <v>2.2959999999999998</v>
      </c>
      <c r="D533" s="10">
        <v>-0.51387799661800004</v>
      </c>
      <c r="E533" s="9" t="s">
        <v>87</v>
      </c>
      <c r="F533" s="10">
        <v>18</v>
      </c>
      <c r="G533" s="10">
        <v>1</v>
      </c>
    </row>
    <row r="534" spans="1:7" x14ac:dyDescent="0.3">
      <c r="A534" s="9" t="s">
        <v>133</v>
      </c>
      <c r="B534" s="9" t="s">
        <v>81</v>
      </c>
      <c r="C534" s="10">
        <v>6.4909999999999997</v>
      </c>
      <c r="D534" s="10">
        <v>-0.51387799661800004</v>
      </c>
      <c r="E534" s="9" t="s">
        <v>87</v>
      </c>
      <c r="F534" s="10">
        <v>18</v>
      </c>
      <c r="G534" s="10">
        <v>1</v>
      </c>
    </row>
    <row r="535" spans="1:7" x14ac:dyDescent="0.3">
      <c r="A535" s="9" t="s">
        <v>133</v>
      </c>
      <c r="B535" s="9" t="s">
        <v>78</v>
      </c>
      <c r="C535" s="10">
        <v>3.4329999999999998</v>
      </c>
      <c r="D535" s="10">
        <v>-0.51387799661800004</v>
      </c>
      <c r="E535" s="9" t="s">
        <v>87</v>
      </c>
      <c r="F535" s="10">
        <v>18</v>
      </c>
      <c r="G535" s="10">
        <v>1</v>
      </c>
    </row>
    <row r="536" spans="1:7" x14ac:dyDescent="0.3">
      <c r="A536" s="9" t="s">
        <v>133</v>
      </c>
      <c r="B536" s="9" t="s">
        <v>82</v>
      </c>
      <c r="C536" s="10">
        <v>0.94099999999999995</v>
      </c>
      <c r="D536" s="10">
        <v>-0.51387799661800004</v>
      </c>
      <c r="E536" s="9" t="s">
        <v>87</v>
      </c>
      <c r="F536" s="10">
        <v>18</v>
      </c>
      <c r="G536" s="10">
        <v>1</v>
      </c>
    </row>
    <row r="537" spans="1:7" x14ac:dyDescent="0.3">
      <c r="A537" s="9" t="s">
        <v>132</v>
      </c>
      <c r="B537" s="9" t="s">
        <v>80</v>
      </c>
      <c r="C537" s="10">
        <v>10.138999999999999</v>
      </c>
      <c r="D537" s="10">
        <v>0.57626988452100003</v>
      </c>
      <c r="E537" s="9" t="s">
        <v>88</v>
      </c>
      <c r="F537" s="10">
        <v>7</v>
      </c>
      <c r="G537" s="10">
        <v>1</v>
      </c>
    </row>
    <row r="538" spans="1:7" x14ac:dyDescent="0.3">
      <c r="A538" s="9" t="s">
        <v>132</v>
      </c>
      <c r="B538" s="9" t="s">
        <v>79</v>
      </c>
      <c r="C538" s="10">
        <v>2.996</v>
      </c>
      <c r="D538" s="10">
        <v>0.57626988452100003</v>
      </c>
      <c r="E538" s="9" t="s">
        <v>88</v>
      </c>
      <c r="F538" s="10">
        <v>7</v>
      </c>
      <c r="G538" s="10">
        <v>1</v>
      </c>
    </row>
    <row r="539" spans="1:7" x14ac:dyDescent="0.3">
      <c r="A539" s="9" t="s">
        <v>132</v>
      </c>
      <c r="B539" s="9" t="s">
        <v>81</v>
      </c>
      <c r="C539" s="10">
        <v>6.5529999999999999</v>
      </c>
      <c r="D539" s="10">
        <v>0.57626988452100003</v>
      </c>
      <c r="E539" s="9" t="s">
        <v>88</v>
      </c>
      <c r="F539" s="10">
        <v>7</v>
      </c>
      <c r="G539" s="10">
        <v>1</v>
      </c>
    </row>
    <row r="540" spans="1:7" x14ac:dyDescent="0.3">
      <c r="A540" s="9" t="s">
        <v>132</v>
      </c>
      <c r="B540" s="9" t="s">
        <v>78</v>
      </c>
      <c r="C540" s="10">
        <v>4.09</v>
      </c>
      <c r="D540" s="10">
        <v>0.57626988452100003</v>
      </c>
      <c r="E540" s="9" t="s">
        <v>88</v>
      </c>
      <c r="F540" s="10">
        <v>7</v>
      </c>
      <c r="G540" s="10">
        <v>1</v>
      </c>
    </row>
    <row r="541" spans="1:7" x14ac:dyDescent="0.3">
      <c r="A541" s="9" t="s">
        <v>132</v>
      </c>
      <c r="B541" s="9" t="s">
        <v>82</v>
      </c>
      <c r="C541" s="10">
        <v>0.84599999999999997</v>
      </c>
      <c r="D541" s="10">
        <v>0.57626988452100003</v>
      </c>
      <c r="E541" s="9" t="s">
        <v>88</v>
      </c>
      <c r="F541" s="10">
        <v>7</v>
      </c>
      <c r="G541" s="10">
        <v>1</v>
      </c>
    </row>
    <row r="542" spans="1:7" x14ac:dyDescent="0.3">
      <c r="A542" s="9" t="s">
        <v>131</v>
      </c>
      <c r="B542" s="9" t="s">
        <v>80</v>
      </c>
      <c r="C542" s="10">
        <v>9.2940000000000005</v>
      </c>
      <c r="D542" s="10">
        <v>9.9526417990000605E-3</v>
      </c>
      <c r="E542" s="9" t="s">
        <v>88</v>
      </c>
      <c r="F542" s="10">
        <v>22</v>
      </c>
      <c r="G542" s="10">
        <v>1</v>
      </c>
    </row>
    <row r="543" spans="1:7" x14ac:dyDescent="0.3">
      <c r="A543" s="9" t="s">
        <v>131</v>
      </c>
      <c r="B543" s="9" t="s">
        <v>79</v>
      </c>
      <c r="C543" s="10">
        <v>2.069</v>
      </c>
      <c r="D543" s="10">
        <v>9.9526417990000605E-3</v>
      </c>
      <c r="E543" s="9" t="s">
        <v>88</v>
      </c>
      <c r="F543" s="10">
        <v>22</v>
      </c>
      <c r="G543" s="10">
        <v>1</v>
      </c>
    </row>
    <row r="544" spans="1:7" x14ac:dyDescent="0.3">
      <c r="A544" s="9" t="s">
        <v>131</v>
      </c>
      <c r="B544" s="9" t="s">
        <v>81</v>
      </c>
      <c r="C544" s="10">
        <v>6.109</v>
      </c>
      <c r="D544" s="10">
        <v>9.9526417990000605E-3</v>
      </c>
      <c r="E544" s="9" t="s">
        <v>88</v>
      </c>
      <c r="F544" s="10">
        <v>22</v>
      </c>
      <c r="G544" s="10">
        <v>1</v>
      </c>
    </row>
    <row r="545" spans="1:7" x14ac:dyDescent="0.3">
      <c r="A545" s="9" t="s">
        <v>131</v>
      </c>
      <c r="B545" s="9" t="s">
        <v>78</v>
      </c>
      <c r="C545" s="10">
        <v>4.1159999999999997</v>
      </c>
      <c r="D545" s="10">
        <v>9.9526417990000605E-3</v>
      </c>
      <c r="E545" s="9" t="s">
        <v>88</v>
      </c>
      <c r="F545" s="10">
        <v>22</v>
      </c>
      <c r="G545" s="10">
        <v>1</v>
      </c>
    </row>
    <row r="546" spans="1:7" x14ac:dyDescent="0.3">
      <c r="A546" s="9" t="s">
        <v>131</v>
      </c>
      <c r="B546" s="9" t="s">
        <v>82</v>
      </c>
      <c r="C546" s="10">
        <v>0.89100000000000001</v>
      </c>
      <c r="D546" s="10">
        <v>9.9526417990000605E-3</v>
      </c>
      <c r="E546" s="9" t="s">
        <v>88</v>
      </c>
      <c r="F546" s="10">
        <v>22</v>
      </c>
      <c r="G546" s="10">
        <v>1</v>
      </c>
    </row>
    <row r="547" spans="1:7" x14ac:dyDescent="0.3">
      <c r="A547" s="9" t="s">
        <v>130</v>
      </c>
      <c r="B547" s="9" t="s">
        <v>80</v>
      </c>
      <c r="C547" s="10">
        <v>10.038</v>
      </c>
      <c r="D547" s="10">
        <v>-1.5288060752529999</v>
      </c>
      <c r="E547" s="9" t="s">
        <v>87</v>
      </c>
      <c r="F547" s="10">
        <v>25</v>
      </c>
      <c r="G547" s="10">
        <v>1</v>
      </c>
    </row>
    <row r="548" spans="1:7" x14ac:dyDescent="0.3">
      <c r="A548" s="9" t="s">
        <v>130</v>
      </c>
      <c r="B548" s="9" t="s">
        <v>79</v>
      </c>
      <c r="C548" s="10">
        <v>2.9529999999999998</v>
      </c>
      <c r="D548" s="10">
        <v>-1.5288060752529999</v>
      </c>
      <c r="E548" s="9" t="s">
        <v>87</v>
      </c>
      <c r="F548" s="10">
        <v>25</v>
      </c>
      <c r="G548" s="10">
        <v>1</v>
      </c>
    </row>
    <row r="549" spans="1:7" x14ac:dyDescent="0.3">
      <c r="A549" s="9" t="s">
        <v>130</v>
      </c>
      <c r="B549" s="9" t="s">
        <v>81</v>
      </c>
      <c r="C549" s="10">
        <v>7.6769999999999996</v>
      </c>
      <c r="D549" s="10">
        <v>-1.5288060752529999</v>
      </c>
      <c r="E549" s="9" t="s">
        <v>87</v>
      </c>
      <c r="F549" s="10">
        <v>25</v>
      </c>
      <c r="G549" s="10">
        <v>1</v>
      </c>
    </row>
    <row r="550" spans="1:7" x14ac:dyDescent="0.3">
      <c r="A550" s="9" t="s">
        <v>130</v>
      </c>
      <c r="B550" s="9" t="s">
        <v>78</v>
      </c>
      <c r="C550" s="10">
        <v>3.9590000000000001</v>
      </c>
      <c r="D550" s="10">
        <v>-1.5288060752529999</v>
      </c>
      <c r="E550" s="9" t="s">
        <v>87</v>
      </c>
      <c r="F550" s="10">
        <v>25</v>
      </c>
      <c r="G550" s="10">
        <v>1</v>
      </c>
    </row>
    <row r="551" spans="1:7" x14ac:dyDescent="0.3">
      <c r="A551" s="9" t="s">
        <v>130</v>
      </c>
      <c r="B551" s="9" t="s">
        <v>82</v>
      </c>
      <c r="C551" s="10">
        <v>1.5049999999999999</v>
      </c>
      <c r="D551" s="10">
        <v>-1.5288060752529999</v>
      </c>
      <c r="E551" s="9" t="s">
        <v>87</v>
      </c>
      <c r="F551" s="10">
        <v>25</v>
      </c>
      <c r="G551" s="10">
        <v>1</v>
      </c>
    </row>
    <row r="552" spans="1:7" x14ac:dyDescent="0.3">
      <c r="A552" s="9" t="s">
        <v>129</v>
      </c>
      <c r="B552" s="9" t="s">
        <v>80</v>
      </c>
      <c r="C552" s="10">
        <v>5.0339999999999998</v>
      </c>
      <c r="D552" s="10">
        <v>-1.185869709903</v>
      </c>
      <c r="E552" s="9" t="s">
        <v>87</v>
      </c>
      <c r="F552" s="10">
        <v>30</v>
      </c>
      <c r="G552" s="10">
        <v>0</v>
      </c>
    </row>
    <row r="553" spans="1:7" x14ac:dyDescent="0.3">
      <c r="A553" s="9" t="s">
        <v>129</v>
      </c>
      <c r="B553" s="9" t="s">
        <v>79</v>
      </c>
      <c r="C553" s="10">
        <v>1.571</v>
      </c>
      <c r="D553" s="10">
        <v>-1.185869709903</v>
      </c>
      <c r="E553" s="9" t="s">
        <v>87</v>
      </c>
      <c r="F553" s="10">
        <v>30</v>
      </c>
      <c r="G553" s="10">
        <v>0</v>
      </c>
    </row>
    <row r="554" spans="1:7" x14ac:dyDescent="0.3">
      <c r="A554" s="9" t="s">
        <v>129</v>
      </c>
      <c r="B554" s="9" t="s">
        <v>81</v>
      </c>
      <c r="C554" s="10">
        <v>5.85</v>
      </c>
      <c r="D554" s="10">
        <v>-1.185869709903</v>
      </c>
      <c r="E554" s="9" t="s">
        <v>87</v>
      </c>
      <c r="F554" s="10">
        <v>30</v>
      </c>
      <c r="G554" s="10">
        <v>0</v>
      </c>
    </row>
    <row r="555" spans="1:7" x14ac:dyDescent="0.3">
      <c r="A555" s="9" t="s">
        <v>129</v>
      </c>
      <c r="B555" s="9" t="s">
        <v>78</v>
      </c>
      <c r="C555" s="10">
        <v>3.1360000000000001</v>
      </c>
      <c r="D555" s="10">
        <v>-1.185869709903</v>
      </c>
      <c r="E555" s="9" t="s">
        <v>87</v>
      </c>
      <c r="F555" s="10">
        <v>30</v>
      </c>
      <c r="G555" s="10">
        <v>0</v>
      </c>
    </row>
    <row r="556" spans="1:7" x14ac:dyDescent="0.3">
      <c r="A556" s="9" t="s">
        <v>129</v>
      </c>
      <c r="B556" s="9" t="s">
        <v>82</v>
      </c>
      <c r="C556" s="10">
        <v>0.998</v>
      </c>
      <c r="D556" s="10">
        <v>-1.185869709903</v>
      </c>
      <c r="E556" s="9" t="s">
        <v>87</v>
      </c>
      <c r="F556" s="10">
        <v>30</v>
      </c>
      <c r="G556" s="10">
        <v>0</v>
      </c>
    </row>
    <row r="557" spans="1:7" x14ac:dyDescent="0.3">
      <c r="A557" s="9" t="s">
        <v>128</v>
      </c>
      <c r="B557" s="9" t="s">
        <v>80</v>
      </c>
      <c r="C557" s="10">
        <v>9.92</v>
      </c>
      <c r="D557" s="10">
        <v>-0.50251483246700002</v>
      </c>
      <c r="E557" s="9" t="s">
        <v>87</v>
      </c>
      <c r="F557" s="10">
        <v>22</v>
      </c>
      <c r="G557" s="10">
        <v>1</v>
      </c>
    </row>
    <row r="558" spans="1:7" x14ac:dyDescent="0.3">
      <c r="A558" s="9" t="s">
        <v>128</v>
      </c>
      <c r="B558" s="9" t="s">
        <v>79</v>
      </c>
      <c r="C558" s="10">
        <v>1.8859999999999999</v>
      </c>
      <c r="D558" s="10">
        <v>-0.50251483246700002</v>
      </c>
      <c r="E558" s="9" t="s">
        <v>87</v>
      </c>
      <c r="F558" s="10">
        <v>22</v>
      </c>
      <c r="G558" s="10">
        <v>1</v>
      </c>
    </row>
    <row r="559" spans="1:7" x14ac:dyDescent="0.3">
      <c r="A559" s="9" t="s">
        <v>128</v>
      </c>
      <c r="B559" s="9" t="s">
        <v>81</v>
      </c>
      <c r="C559" s="10">
        <v>6.6429999999999998</v>
      </c>
      <c r="D559" s="10">
        <v>-0.50251483246700002</v>
      </c>
      <c r="E559" s="9" t="s">
        <v>87</v>
      </c>
      <c r="F559" s="10">
        <v>22</v>
      </c>
      <c r="G559" s="10">
        <v>1</v>
      </c>
    </row>
    <row r="560" spans="1:7" x14ac:dyDescent="0.3">
      <c r="A560" s="9" t="s">
        <v>128</v>
      </c>
      <c r="B560" s="9" t="s">
        <v>78</v>
      </c>
      <c r="C560" s="10">
        <v>4.8140000000000001</v>
      </c>
      <c r="D560" s="10">
        <v>-0.50251483246700002</v>
      </c>
      <c r="E560" s="9" t="s">
        <v>87</v>
      </c>
      <c r="F560" s="10">
        <v>22</v>
      </c>
      <c r="G560" s="10">
        <v>1</v>
      </c>
    </row>
    <row r="561" spans="1:7" x14ac:dyDescent="0.3">
      <c r="A561" s="9" t="s">
        <v>128</v>
      </c>
      <c r="B561" s="9" t="s">
        <v>82</v>
      </c>
      <c r="C561" s="10">
        <v>1.4450000000000001</v>
      </c>
      <c r="D561" s="10">
        <v>-0.50251483246700002</v>
      </c>
      <c r="E561" s="9" t="s">
        <v>87</v>
      </c>
      <c r="F561" s="10">
        <v>22</v>
      </c>
      <c r="G561" s="10">
        <v>1</v>
      </c>
    </row>
    <row r="562" spans="1:7" x14ac:dyDescent="0.3">
      <c r="A562" s="9" t="s">
        <v>127</v>
      </c>
      <c r="B562" s="9" t="s">
        <v>80</v>
      </c>
      <c r="C562" s="10">
        <v>5.3520000000000003</v>
      </c>
      <c r="D562" s="10">
        <v>0.31281942443900002</v>
      </c>
      <c r="E562" s="9" t="s">
        <v>88</v>
      </c>
      <c r="F562" s="10">
        <v>6</v>
      </c>
      <c r="G562" s="10">
        <v>1</v>
      </c>
    </row>
    <row r="563" spans="1:7" x14ac:dyDescent="0.3">
      <c r="A563" s="9" t="s">
        <v>127</v>
      </c>
      <c r="B563" s="9" t="s">
        <v>79</v>
      </c>
      <c r="C563" s="10">
        <v>0.97099999999999997</v>
      </c>
      <c r="D563" s="10">
        <v>0.31281942443900002</v>
      </c>
      <c r="E563" s="9" t="s">
        <v>88</v>
      </c>
      <c r="F563" s="10">
        <v>6</v>
      </c>
      <c r="G563" s="10">
        <v>1</v>
      </c>
    </row>
    <row r="564" spans="1:7" x14ac:dyDescent="0.3">
      <c r="A564" s="9" t="s">
        <v>127</v>
      </c>
      <c r="B564" s="9" t="s">
        <v>81</v>
      </c>
      <c r="C564" s="10">
        <v>5.7530000000000001</v>
      </c>
      <c r="D564" s="10">
        <v>0.31281942443900002</v>
      </c>
      <c r="E564" s="9" t="s">
        <v>88</v>
      </c>
      <c r="F564" s="10">
        <v>6</v>
      </c>
      <c r="G564" s="10">
        <v>1</v>
      </c>
    </row>
    <row r="565" spans="1:7" x14ac:dyDescent="0.3">
      <c r="A565" s="9" t="s">
        <v>127</v>
      </c>
      <c r="B565" s="9" t="s">
        <v>78</v>
      </c>
      <c r="C565" s="10">
        <v>3.3359999999999999</v>
      </c>
      <c r="D565" s="10">
        <v>0.31281942443900002</v>
      </c>
      <c r="E565" s="9" t="s">
        <v>88</v>
      </c>
      <c r="F565" s="10">
        <v>6</v>
      </c>
      <c r="G565" s="10">
        <v>1</v>
      </c>
    </row>
    <row r="566" spans="1:7" x14ac:dyDescent="0.3">
      <c r="A566" s="9" t="s">
        <v>127</v>
      </c>
      <c r="B566" s="9" t="s">
        <v>82</v>
      </c>
      <c r="C566" s="10">
        <v>1</v>
      </c>
      <c r="D566" s="10">
        <v>0.31281942443900002</v>
      </c>
      <c r="E566" s="9" t="s">
        <v>88</v>
      </c>
      <c r="F566" s="10">
        <v>6</v>
      </c>
      <c r="G566" s="10">
        <v>1</v>
      </c>
    </row>
    <row r="567" spans="1:7" x14ac:dyDescent="0.3">
      <c r="A567" s="9" t="s">
        <v>126</v>
      </c>
      <c r="B567" s="9" t="s">
        <v>80</v>
      </c>
      <c r="C567" s="10">
        <v>8.4949999999999992</v>
      </c>
      <c r="D567" s="10">
        <v>9.7398835013999902E-2</v>
      </c>
      <c r="E567" s="9" t="s">
        <v>88</v>
      </c>
      <c r="F567" s="10">
        <v>14</v>
      </c>
      <c r="G567" s="10">
        <v>1</v>
      </c>
    </row>
    <row r="568" spans="1:7" x14ac:dyDescent="0.3">
      <c r="A568" s="9" t="s">
        <v>126</v>
      </c>
      <c r="B568" s="9" t="s">
        <v>79</v>
      </c>
      <c r="C568" s="10">
        <v>0.89100000000000001</v>
      </c>
      <c r="D568" s="10">
        <v>9.7398835013999902E-2</v>
      </c>
      <c r="E568" s="9" t="s">
        <v>88</v>
      </c>
      <c r="F568" s="10">
        <v>14</v>
      </c>
      <c r="G568" s="10">
        <v>1</v>
      </c>
    </row>
    <row r="569" spans="1:7" x14ac:dyDescent="0.3">
      <c r="A569" s="9" t="s">
        <v>126</v>
      </c>
      <c r="B569" s="9" t="s">
        <v>81</v>
      </c>
      <c r="C569" s="10">
        <v>6.2759999999999998</v>
      </c>
      <c r="D569" s="10">
        <v>9.7398835013999902E-2</v>
      </c>
      <c r="E569" s="9" t="s">
        <v>88</v>
      </c>
      <c r="F569" s="10">
        <v>14</v>
      </c>
      <c r="G569" s="10">
        <v>1</v>
      </c>
    </row>
    <row r="570" spans="1:7" x14ac:dyDescent="0.3">
      <c r="A570" s="9" t="s">
        <v>126</v>
      </c>
      <c r="B570" s="9" t="s">
        <v>78</v>
      </c>
      <c r="C570" s="10">
        <v>4.4279999999999999</v>
      </c>
      <c r="D570" s="10">
        <v>9.7398835013999902E-2</v>
      </c>
      <c r="E570" s="9" t="s">
        <v>88</v>
      </c>
      <c r="F570" s="10">
        <v>14</v>
      </c>
      <c r="G570" s="10">
        <v>1</v>
      </c>
    </row>
    <row r="571" spans="1:7" x14ac:dyDescent="0.3">
      <c r="A571" s="9" t="s">
        <v>126</v>
      </c>
      <c r="B571" s="9" t="s">
        <v>82</v>
      </c>
      <c r="C571" s="10">
        <v>1.4079999999999999</v>
      </c>
      <c r="D571" s="10">
        <v>9.7398835013999902E-2</v>
      </c>
      <c r="E571" s="9" t="s">
        <v>88</v>
      </c>
      <c r="F571" s="10">
        <v>14</v>
      </c>
      <c r="G571" s="10">
        <v>1</v>
      </c>
    </row>
    <row r="572" spans="1:7" x14ac:dyDescent="0.3">
      <c r="A572" s="9" t="s">
        <v>125</v>
      </c>
      <c r="B572" s="9" t="s">
        <v>80</v>
      </c>
      <c r="C572" s="10">
        <v>4.0229999999999997</v>
      </c>
      <c r="D572" s="10">
        <v>-0.56982356182399996</v>
      </c>
      <c r="E572" s="9" t="s">
        <v>87</v>
      </c>
      <c r="F572" s="10">
        <v>1</v>
      </c>
      <c r="G572" s="10">
        <v>0</v>
      </c>
    </row>
    <row r="573" spans="1:7" x14ac:dyDescent="0.3">
      <c r="A573" s="9" t="s">
        <v>125</v>
      </c>
      <c r="B573" s="9" t="s">
        <v>79</v>
      </c>
      <c r="C573" s="10">
        <v>0.51200000000000001</v>
      </c>
      <c r="D573" s="10">
        <v>-0.56982356182399996</v>
      </c>
      <c r="E573" s="9" t="s">
        <v>87</v>
      </c>
      <c r="F573" s="10">
        <v>1</v>
      </c>
      <c r="G573" s="10">
        <v>0</v>
      </c>
    </row>
    <row r="574" spans="1:7" x14ac:dyDescent="0.3">
      <c r="A574" s="9" t="s">
        <v>125</v>
      </c>
      <c r="B574" s="9" t="s">
        <v>81</v>
      </c>
      <c r="C574" s="10">
        <v>5.9749999999999996</v>
      </c>
      <c r="D574" s="10">
        <v>-0.56982356182399996</v>
      </c>
      <c r="E574" s="9" t="s">
        <v>87</v>
      </c>
      <c r="F574" s="10">
        <v>1</v>
      </c>
      <c r="G574" s="10">
        <v>0</v>
      </c>
    </row>
    <row r="575" spans="1:7" x14ac:dyDescent="0.3">
      <c r="A575" s="9" t="s">
        <v>125</v>
      </c>
      <c r="B575" s="9" t="s">
        <v>78</v>
      </c>
      <c r="C575" s="10">
        <v>2.1779999999999999</v>
      </c>
      <c r="D575" s="10">
        <v>-0.56982356182399996</v>
      </c>
      <c r="E575" s="9" t="s">
        <v>87</v>
      </c>
      <c r="F575" s="10">
        <v>1</v>
      </c>
      <c r="G575" s="10">
        <v>0</v>
      </c>
    </row>
    <row r="576" spans="1:7" x14ac:dyDescent="0.3">
      <c r="A576" s="9" t="s">
        <v>125</v>
      </c>
      <c r="B576" s="9" t="s">
        <v>82</v>
      </c>
      <c r="C576" s="10">
        <v>1.125</v>
      </c>
      <c r="D576" s="10">
        <v>-0.56982356182399996</v>
      </c>
      <c r="E576" s="9" t="s">
        <v>87</v>
      </c>
      <c r="F576" s="10">
        <v>1</v>
      </c>
      <c r="G576" s="10">
        <v>0</v>
      </c>
    </row>
    <row r="577" spans="1:7" x14ac:dyDescent="0.3">
      <c r="A577" s="9" t="s">
        <v>124</v>
      </c>
      <c r="B577" s="9" t="s">
        <v>80</v>
      </c>
      <c r="C577" s="10">
        <v>5.867</v>
      </c>
      <c r="D577" s="10">
        <v>-1.457092963217</v>
      </c>
      <c r="E577" s="9" t="s">
        <v>87</v>
      </c>
      <c r="F577" s="10">
        <v>6</v>
      </c>
      <c r="G577" s="10">
        <v>0</v>
      </c>
    </row>
    <row r="578" spans="1:7" x14ac:dyDescent="0.3">
      <c r="A578" s="9" t="s">
        <v>124</v>
      </c>
      <c r="B578" s="9" t="s">
        <v>79</v>
      </c>
      <c r="C578" s="10">
        <v>1.2270000000000001</v>
      </c>
      <c r="D578" s="10">
        <v>-1.457092963217</v>
      </c>
      <c r="E578" s="9" t="s">
        <v>87</v>
      </c>
      <c r="F578" s="10">
        <v>6</v>
      </c>
      <c r="G578" s="10">
        <v>0</v>
      </c>
    </row>
    <row r="579" spans="1:7" x14ac:dyDescent="0.3">
      <c r="A579" s="9" t="s">
        <v>124</v>
      </c>
      <c r="B579" s="9" t="s">
        <v>81</v>
      </c>
      <c r="C579" s="10">
        <v>6.8520000000000003</v>
      </c>
      <c r="D579" s="10">
        <v>-1.457092963217</v>
      </c>
      <c r="E579" s="9" t="s">
        <v>87</v>
      </c>
      <c r="F579" s="10">
        <v>6</v>
      </c>
      <c r="G579" s="10">
        <v>0</v>
      </c>
    </row>
    <row r="580" spans="1:7" x14ac:dyDescent="0.3">
      <c r="A580" s="9" t="s">
        <v>124</v>
      </c>
      <c r="B580" s="9" t="s">
        <v>78</v>
      </c>
      <c r="C580" s="10">
        <v>3.6760000000000002</v>
      </c>
      <c r="D580" s="10">
        <v>-1.457092963217</v>
      </c>
      <c r="E580" s="9" t="s">
        <v>87</v>
      </c>
      <c r="F580" s="10">
        <v>6</v>
      </c>
      <c r="G580" s="10">
        <v>0</v>
      </c>
    </row>
    <row r="581" spans="1:7" x14ac:dyDescent="0.3">
      <c r="A581" s="9" t="s">
        <v>124</v>
      </c>
      <c r="B581" s="9" t="s">
        <v>82</v>
      </c>
      <c r="C581" s="10">
        <v>0.80600000000000005</v>
      </c>
      <c r="D581" s="10">
        <v>-1.457092963217</v>
      </c>
      <c r="E581" s="9" t="s">
        <v>87</v>
      </c>
      <c r="F581" s="10">
        <v>6</v>
      </c>
      <c r="G581" s="10">
        <v>0</v>
      </c>
    </row>
    <row r="582" spans="1:7" x14ac:dyDescent="0.3">
      <c r="A582" s="9" t="s">
        <v>123</v>
      </c>
      <c r="B582" s="9" t="s">
        <v>80</v>
      </c>
      <c r="C582" s="10">
        <v>9.2650000000000006</v>
      </c>
      <c r="D582" s="10">
        <v>-0.46113089791700002</v>
      </c>
      <c r="E582" s="9" t="s">
        <v>87</v>
      </c>
      <c r="F582" s="10">
        <v>7</v>
      </c>
      <c r="G582" s="10">
        <v>1</v>
      </c>
    </row>
    <row r="583" spans="1:7" x14ac:dyDescent="0.3">
      <c r="A583" s="9" t="s">
        <v>123</v>
      </c>
      <c r="B583" s="9" t="s">
        <v>79</v>
      </c>
      <c r="C583" s="10">
        <v>2.6110000000000002</v>
      </c>
      <c r="D583" s="10">
        <v>-0.46113089791700002</v>
      </c>
      <c r="E583" s="9" t="s">
        <v>87</v>
      </c>
      <c r="F583" s="10">
        <v>7</v>
      </c>
      <c r="G583" s="10">
        <v>1</v>
      </c>
    </row>
    <row r="584" spans="1:7" x14ac:dyDescent="0.3">
      <c r="A584" s="9" t="s">
        <v>123</v>
      </c>
      <c r="B584" s="9" t="s">
        <v>81</v>
      </c>
      <c r="C584" s="10">
        <v>6.452</v>
      </c>
      <c r="D584" s="10">
        <v>-0.46113089791700002</v>
      </c>
      <c r="E584" s="9" t="s">
        <v>87</v>
      </c>
      <c r="F584" s="10">
        <v>7</v>
      </c>
      <c r="G584" s="10">
        <v>1</v>
      </c>
    </row>
    <row r="585" spans="1:7" x14ac:dyDescent="0.3">
      <c r="A585" s="9" t="s">
        <v>123</v>
      </c>
      <c r="B585" s="9" t="s">
        <v>78</v>
      </c>
      <c r="C585" s="10">
        <v>4.125</v>
      </c>
      <c r="D585" s="10">
        <v>-0.46113089791700002</v>
      </c>
      <c r="E585" s="9" t="s">
        <v>87</v>
      </c>
      <c r="F585" s="10">
        <v>7</v>
      </c>
      <c r="G585" s="10">
        <v>1</v>
      </c>
    </row>
    <row r="586" spans="1:7" x14ac:dyDescent="0.3">
      <c r="A586" s="9" t="s">
        <v>123</v>
      </c>
      <c r="B586" s="9" t="s">
        <v>82</v>
      </c>
      <c r="C586" s="10">
        <v>0.878</v>
      </c>
      <c r="D586" s="10">
        <v>-0.46113089791700002</v>
      </c>
      <c r="E586" s="9" t="s">
        <v>87</v>
      </c>
      <c r="F586" s="10">
        <v>7</v>
      </c>
      <c r="G586" s="10">
        <v>1</v>
      </c>
    </row>
    <row r="587" spans="1:7" x14ac:dyDescent="0.3">
      <c r="A587" s="9" t="s">
        <v>122</v>
      </c>
      <c r="B587" s="9" t="s">
        <v>80</v>
      </c>
      <c r="C587" s="10">
        <v>2.5219999999999998</v>
      </c>
      <c r="D587" s="10">
        <v>-0.131531963753</v>
      </c>
      <c r="E587" s="9" t="s">
        <v>88</v>
      </c>
      <c r="F587" s="10">
        <v>19</v>
      </c>
      <c r="G587" s="10">
        <v>1</v>
      </c>
    </row>
    <row r="588" spans="1:7" x14ac:dyDescent="0.3">
      <c r="A588" s="9" t="s">
        <v>122</v>
      </c>
      <c r="B588" s="9" t="s">
        <v>79</v>
      </c>
      <c r="C588" s="10">
        <v>2.375</v>
      </c>
      <c r="D588" s="10">
        <v>-0.131531963753</v>
      </c>
      <c r="E588" s="9" t="s">
        <v>88</v>
      </c>
      <c r="F588" s="10">
        <v>19</v>
      </c>
      <c r="G588" s="10">
        <v>1</v>
      </c>
    </row>
    <row r="589" spans="1:7" x14ac:dyDescent="0.3">
      <c r="A589" s="9" t="s">
        <v>122</v>
      </c>
      <c r="B589" s="9" t="s">
        <v>81</v>
      </c>
      <c r="C589" s="10">
        <v>6.5010000000000003</v>
      </c>
      <c r="D589" s="10">
        <v>-0.131531963753</v>
      </c>
      <c r="E589" s="9" t="s">
        <v>88</v>
      </c>
      <c r="F589" s="10">
        <v>19</v>
      </c>
      <c r="G589" s="10">
        <v>1</v>
      </c>
    </row>
    <row r="590" spans="1:7" x14ac:dyDescent="0.3">
      <c r="A590" s="9" t="s">
        <v>122</v>
      </c>
      <c r="B590" s="9" t="s">
        <v>78</v>
      </c>
      <c r="C590" s="10">
        <v>3.9529999999999998</v>
      </c>
      <c r="D590" s="10">
        <v>-0.131531963753</v>
      </c>
      <c r="E590" s="9" t="s">
        <v>88</v>
      </c>
      <c r="F590" s="10">
        <v>19</v>
      </c>
      <c r="G590" s="10">
        <v>1</v>
      </c>
    </row>
    <row r="591" spans="1:7" x14ac:dyDescent="0.3">
      <c r="A591" s="9" t="s">
        <v>122</v>
      </c>
      <c r="B591" s="9" t="s">
        <v>82</v>
      </c>
      <c r="C591" s="10">
        <v>0.57799999999999996</v>
      </c>
      <c r="D591" s="10">
        <v>-0.131531963753</v>
      </c>
      <c r="E591" s="9" t="s">
        <v>88</v>
      </c>
      <c r="F591" s="10">
        <v>19</v>
      </c>
      <c r="G591" s="10">
        <v>1</v>
      </c>
    </row>
    <row r="592" spans="1:7" x14ac:dyDescent="0.3">
      <c r="A592" s="9" t="s">
        <v>121</v>
      </c>
      <c r="B592" s="9" t="s">
        <v>80</v>
      </c>
      <c r="C592" s="10">
        <v>5.4210000000000003</v>
      </c>
      <c r="D592" s="10">
        <v>-4.7392072640000298E-3</v>
      </c>
      <c r="E592" s="9" t="s">
        <v>88</v>
      </c>
      <c r="F592" s="10">
        <v>3</v>
      </c>
      <c r="G592" s="10">
        <v>1</v>
      </c>
    </row>
    <row r="593" spans="1:7" x14ac:dyDescent="0.3">
      <c r="A593" s="9" t="s">
        <v>121</v>
      </c>
      <c r="B593" s="9" t="s">
        <v>79</v>
      </c>
      <c r="C593" s="10">
        <v>1.032</v>
      </c>
      <c r="D593" s="10">
        <v>-4.7392072640000298E-3</v>
      </c>
      <c r="E593" s="9" t="s">
        <v>88</v>
      </c>
      <c r="F593" s="10">
        <v>3</v>
      </c>
      <c r="G593" s="10">
        <v>1</v>
      </c>
    </row>
    <row r="594" spans="1:7" x14ac:dyDescent="0.3">
      <c r="A594" s="9" t="s">
        <v>121</v>
      </c>
      <c r="B594" s="9" t="s">
        <v>81</v>
      </c>
      <c r="C594" s="10">
        <v>5.4909999999999997</v>
      </c>
      <c r="D594" s="10">
        <v>-4.7392072640000298E-3</v>
      </c>
      <c r="E594" s="9" t="s">
        <v>88</v>
      </c>
      <c r="F594" s="10">
        <v>3</v>
      </c>
      <c r="G594" s="10">
        <v>1</v>
      </c>
    </row>
    <row r="595" spans="1:7" x14ac:dyDescent="0.3">
      <c r="A595" s="9" t="s">
        <v>121</v>
      </c>
      <c r="B595" s="9" t="s">
        <v>78</v>
      </c>
      <c r="C595" s="10">
        <v>4.133</v>
      </c>
      <c r="D595" s="10">
        <v>-4.7392072640000298E-3</v>
      </c>
      <c r="E595" s="9" t="s">
        <v>88</v>
      </c>
      <c r="F595" s="10">
        <v>3</v>
      </c>
      <c r="G595" s="10">
        <v>1</v>
      </c>
    </row>
    <row r="596" spans="1:7" x14ac:dyDescent="0.3">
      <c r="A596" s="9" t="s">
        <v>121</v>
      </c>
      <c r="B596" s="9" t="s">
        <v>82</v>
      </c>
      <c r="C596" s="10">
        <v>1.0620000000000001</v>
      </c>
      <c r="D596" s="10">
        <v>-4.7392072640000298E-3</v>
      </c>
      <c r="E596" s="9" t="s">
        <v>88</v>
      </c>
      <c r="F596" s="10">
        <v>3</v>
      </c>
      <c r="G596" s="10">
        <v>1</v>
      </c>
    </row>
    <row r="597" spans="1:7" x14ac:dyDescent="0.3">
      <c r="A597" s="9" t="s">
        <v>120</v>
      </c>
      <c r="B597" s="9" t="s">
        <v>80</v>
      </c>
      <c r="C597" s="10">
        <v>6.7210000000000001</v>
      </c>
      <c r="D597" s="10">
        <v>-1.0780812034080001</v>
      </c>
      <c r="E597" s="9" t="s">
        <v>87</v>
      </c>
      <c r="F597" s="10">
        <v>19</v>
      </c>
      <c r="G597" s="10">
        <v>1</v>
      </c>
    </row>
    <row r="598" spans="1:7" x14ac:dyDescent="0.3">
      <c r="A598" s="9" t="s">
        <v>120</v>
      </c>
      <c r="B598" s="9" t="s">
        <v>79</v>
      </c>
      <c r="C598" s="10">
        <v>0.99299999999999999</v>
      </c>
      <c r="D598" s="10">
        <v>-1.0780812034080001</v>
      </c>
      <c r="E598" s="9" t="s">
        <v>87</v>
      </c>
      <c r="F598" s="10">
        <v>19</v>
      </c>
      <c r="G598" s="10">
        <v>1</v>
      </c>
    </row>
    <row r="599" spans="1:7" x14ac:dyDescent="0.3">
      <c r="A599" s="9" t="s">
        <v>120</v>
      </c>
      <c r="B599" s="9" t="s">
        <v>81</v>
      </c>
      <c r="C599" s="10">
        <v>5.9279999999999999</v>
      </c>
      <c r="D599" s="10">
        <v>-1.0780812034080001</v>
      </c>
      <c r="E599" s="9" t="s">
        <v>87</v>
      </c>
      <c r="F599" s="10">
        <v>19</v>
      </c>
      <c r="G599" s="10">
        <v>1</v>
      </c>
    </row>
    <row r="600" spans="1:7" x14ac:dyDescent="0.3">
      <c r="A600" s="9" t="s">
        <v>120</v>
      </c>
      <c r="B600" s="9" t="s">
        <v>78</v>
      </c>
      <c r="C600" s="10">
        <v>3.488</v>
      </c>
      <c r="D600" s="10">
        <v>-1.0780812034080001</v>
      </c>
      <c r="E600" s="9" t="s">
        <v>87</v>
      </c>
      <c r="F600" s="10">
        <v>19</v>
      </c>
      <c r="G600" s="10">
        <v>1</v>
      </c>
    </row>
    <row r="601" spans="1:7" x14ac:dyDescent="0.3">
      <c r="A601" s="9" t="s">
        <v>120</v>
      </c>
      <c r="B601" s="9" t="s">
        <v>82</v>
      </c>
      <c r="C601" s="10">
        <v>1.131</v>
      </c>
      <c r="D601" s="10">
        <v>-1.0780812034080001</v>
      </c>
      <c r="E601" s="9" t="s">
        <v>87</v>
      </c>
      <c r="F601" s="10">
        <v>19</v>
      </c>
      <c r="G601" s="10">
        <v>1</v>
      </c>
    </row>
    <row r="602" spans="1:7" x14ac:dyDescent="0.3">
      <c r="A602" s="9" t="s">
        <v>119</v>
      </c>
      <c r="B602" s="9" t="s">
        <v>80</v>
      </c>
      <c r="C602" s="10">
        <v>5.7880000000000003</v>
      </c>
      <c r="D602" s="10">
        <v>-1.2305773264519999</v>
      </c>
      <c r="E602" s="9" t="s">
        <v>87</v>
      </c>
      <c r="F602" s="10">
        <v>17</v>
      </c>
      <c r="G602" s="10">
        <v>1</v>
      </c>
    </row>
    <row r="603" spans="1:7" x14ac:dyDescent="0.3">
      <c r="A603" s="9" t="s">
        <v>119</v>
      </c>
      <c r="B603" s="9" t="s">
        <v>79</v>
      </c>
      <c r="C603" s="10">
        <v>1.9119999999999999</v>
      </c>
      <c r="D603" s="10">
        <v>-1.2305773264519999</v>
      </c>
      <c r="E603" s="9" t="s">
        <v>87</v>
      </c>
      <c r="F603" s="10">
        <v>17</v>
      </c>
      <c r="G603" s="10">
        <v>1</v>
      </c>
    </row>
    <row r="604" spans="1:7" x14ac:dyDescent="0.3">
      <c r="A604" s="9" t="s">
        <v>119</v>
      </c>
      <c r="B604" s="9" t="s">
        <v>81</v>
      </c>
      <c r="C604" s="10">
        <v>5.8940000000000001</v>
      </c>
      <c r="D604" s="10">
        <v>-1.2305773264519999</v>
      </c>
      <c r="E604" s="9" t="s">
        <v>87</v>
      </c>
      <c r="F604" s="10">
        <v>17</v>
      </c>
      <c r="G604" s="10">
        <v>1</v>
      </c>
    </row>
    <row r="605" spans="1:7" x14ac:dyDescent="0.3">
      <c r="A605" s="9" t="s">
        <v>119</v>
      </c>
      <c r="B605" s="9" t="s">
        <v>78</v>
      </c>
      <c r="C605" s="10">
        <v>3.1139999999999999</v>
      </c>
      <c r="D605" s="10">
        <v>-1.2305773264519999</v>
      </c>
      <c r="E605" s="9" t="s">
        <v>87</v>
      </c>
      <c r="F605" s="10">
        <v>17</v>
      </c>
      <c r="G605" s="10">
        <v>1</v>
      </c>
    </row>
    <row r="606" spans="1:7" x14ac:dyDescent="0.3">
      <c r="A606" s="9" t="s">
        <v>119</v>
      </c>
      <c r="B606" s="9" t="s">
        <v>82</v>
      </c>
      <c r="C606" s="10">
        <v>1.4710000000000001</v>
      </c>
      <c r="D606" s="10">
        <v>-1.2305773264519999</v>
      </c>
      <c r="E606" s="9" t="s">
        <v>87</v>
      </c>
      <c r="F606" s="10">
        <v>17</v>
      </c>
      <c r="G606" s="10">
        <v>1</v>
      </c>
    </row>
    <row r="607" spans="1:7" x14ac:dyDescent="0.3">
      <c r="A607" s="9" t="s">
        <v>118</v>
      </c>
      <c r="B607" s="9" t="s">
        <v>80</v>
      </c>
      <c r="C607" s="10">
        <v>8.2780000000000005</v>
      </c>
      <c r="D607" s="10">
        <v>-0.46136176368199999</v>
      </c>
      <c r="E607" s="9" t="s">
        <v>87</v>
      </c>
      <c r="F607" s="10">
        <v>1</v>
      </c>
      <c r="G607" s="10">
        <v>0</v>
      </c>
    </row>
    <row r="608" spans="1:7" x14ac:dyDescent="0.3">
      <c r="A608" s="9" t="s">
        <v>118</v>
      </c>
      <c r="B608" s="9" t="s">
        <v>79</v>
      </c>
      <c r="C608" s="10">
        <v>2.36</v>
      </c>
      <c r="D608" s="10">
        <v>-0.46136176368199999</v>
      </c>
      <c r="E608" s="9" t="s">
        <v>87</v>
      </c>
      <c r="F608" s="10">
        <v>1</v>
      </c>
      <c r="G608" s="10">
        <v>0</v>
      </c>
    </row>
    <row r="609" spans="1:7" x14ac:dyDescent="0.3">
      <c r="A609" s="9" t="s">
        <v>118</v>
      </c>
      <c r="B609" s="9" t="s">
        <v>81</v>
      </c>
      <c r="C609" s="10">
        <v>6.0590000000000002</v>
      </c>
      <c r="D609" s="10">
        <v>-0.46136176368199999</v>
      </c>
      <c r="E609" s="9" t="s">
        <v>87</v>
      </c>
      <c r="F609" s="10">
        <v>1</v>
      </c>
      <c r="G609" s="10">
        <v>0</v>
      </c>
    </row>
    <row r="610" spans="1:7" x14ac:dyDescent="0.3">
      <c r="A610" s="9" t="s">
        <v>118</v>
      </c>
      <c r="B610" s="9" t="s">
        <v>78</v>
      </c>
      <c r="C610" s="10">
        <v>3.9590000000000001</v>
      </c>
      <c r="D610" s="10">
        <v>-0.46136176368199999</v>
      </c>
      <c r="E610" s="9" t="s">
        <v>87</v>
      </c>
      <c r="F610" s="10">
        <v>1</v>
      </c>
      <c r="G610" s="10">
        <v>0</v>
      </c>
    </row>
    <row r="611" spans="1:7" x14ac:dyDescent="0.3">
      <c r="A611" s="9" t="s">
        <v>118</v>
      </c>
      <c r="B611" s="9" t="s">
        <v>82</v>
      </c>
      <c r="C611" s="10">
        <v>1.137</v>
      </c>
      <c r="D611" s="10">
        <v>-0.46136176368199999</v>
      </c>
      <c r="E611" s="9" t="s">
        <v>87</v>
      </c>
      <c r="F611" s="10">
        <v>1</v>
      </c>
      <c r="G611" s="10">
        <v>0</v>
      </c>
    </row>
    <row r="612" spans="1:7" x14ac:dyDescent="0.3">
      <c r="A612" s="9" t="s">
        <v>117</v>
      </c>
      <c r="B612" s="9" t="s">
        <v>80</v>
      </c>
      <c r="C612" s="10">
        <v>3.0720000000000001</v>
      </c>
      <c r="D612" s="10">
        <v>-5.7109923442999998E-2</v>
      </c>
      <c r="E612" s="9" t="s">
        <v>88</v>
      </c>
      <c r="F612" s="10">
        <v>20</v>
      </c>
      <c r="G612" s="10">
        <v>1</v>
      </c>
    </row>
    <row r="613" spans="1:7" x14ac:dyDescent="0.3">
      <c r="A613" s="9" t="s">
        <v>117</v>
      </c>
      <c r="B613" s="9" t="s">
        <v>79</v>
      </c>
      <c r="C613" s="10">
        <v>1.7430000000000001</v>
      </c>
      <c r="D613" s="10">
        <v>-5.7109923442999998E-2</v>
      </c>
      <c r="E613" s="9" t="s">
        <v>88</v>
      </c>
      <c r="F613" s="10">
        <v>20</v>
      </c>
      <c r="G613" s="10">
        <v>1</v>
      </c>
    </row>
    <row r="614" spans="1:7" x14ac:dyDescent="0.3">
      <c r="A614" s="9" t="s">
        <v>117</v>
      </c>
      <c r="B614" s="9" t="s">
        <v>81</v>
      </c>
      <c r="C614" s="10">
        <v>6.8079999999999998</v>
      </c>
      <c r="D614" s="10">
        <v>-5.7109923442999998E-2</v>
      </c>
      <c r="E614" s="9" t="s">
        <v>88</v>
      </c>
      <c r="F614" s="10">
        <v>20</v>
      </c>
      <c r="G614" s="10">
        <v>1</v>
      </c>
    </row>
    <row r="615" spans="1:7" x14ac:dyDescent="0.3">
      <c r="A615" s="9" t="s">
        <v>117</v>
      </c>
      <c r="B615" s="9" t="s">
        <v>78</v>
      </c>
      <c r="C615" s="10">
        <v>3.294</v>
      </c>
      <c r="D615" s="10">
        <v>-5.7109923442999998E-2</v>
      </c>
      <c r="E615" s="9" t="s">
        <v>88</v>
      </c>
      <c r="F615" s="10">
        <v>20</v>
      </c>
      <c r="G615" s="10">
        <v>1</v>
      </c>
    </row>
    <row r="616" spans="1:7" x14ac:dyDescent="0.3">
      <c r="A616" s="9" t="s">
        <v>117</v>
      </c>
      <c r="B616" s="9" t="s">
        <v>82</v>
      </c>
      <c r="C616" s="10">
        <v>1.077</v>
      </c>
      <c r="D616" s="10">
        <v>-5.7109923442999998E-2</v>
      </c>
      <c r="E616" s="9" t="s">
        <v>88</v>
      </c>
      <c r="F616" s="10">
        <v>20</v>
      </c>
      <c r="G616" s="10">
        <v>1</v>
      </c>
    </row>
    <row r="617" spans="1:7" x14ac:dyDescent="0.3">
      <c r="A617" s="9" t="s">
        <v>116</v>
      </c>
      <c r="B617" s="9" t="s">
        <v>80</v>
      </c>
      <c r="C617" s="10">
        <v>2.323</v>
      </c>
      <c r="D617" s="10">
        <v>0.25790228867199999</v>
      </c>
      <c r="E617" s="9" t="s">
        <v>88</v>
      </c>
      <c r="F617" s="10">
        <v>2</v>
      </c>
      <c r="G617" s="10">
        <v>1</v>
      </c>
    </row>
    <row r="618" spans="1:7" x14ac:dyDescent="0.3">
      <c r="A618" s="9" t="s">
        <v>116</v>
      </c>
      <c r="B618" s="9" t="s">
        <v>79</v>
      </c>
      <c r="C618" s="10">
        <v>1.679</v>
      </c>
      <c r="D618" s="10">
        <v>0.25790228867199999</v>
      </c>
      <c r="E618" s="9" t="s">
        <v>88</v>
      </c>
      <c r="F618" s="10">
        <v>2</v>
      </c>
      <c r="G618" s="10">
        <v>1</v>
      </c>
    </row>
    <row r="619" spans="1:7" x14ac:dyDescent="0.3">
      <c r="A619" s="9" t="s">
        <v>116</v>
      </c>
      <c r="B619" s="9" t="s">
        <v>81</v>
      </c>
      <c r="C619" s="10">
        <v>8.952</v>
      </c>
      <c r="D619" s="10">
        <v>0.25790228867199999</v>
      </c>
      <c r="E619" s="9" t="s">
        <v>88</v>
      </c>
      <c r="F619" s="10">
        <v>2</v>
      </c>
      <c r="G619" s="10">
        <v>1</v>
      </c>
    </row>
    <row r="620" spans="1:7" x14ac:dyDescent="0.3">
      <c r="A620" s="9" t="s">
        <v>116</v>
      </c>
      <c r="B620" s="9" t="s">
        <v>78</v>
      </c>
      <c r="C620" s="10">
        <v>4.0140000000000002</v>
      </c>
      <c r="D620" s="10">
        <v>0.25790228867199999</v>
      </c>
      <c r="E620" s="9" t="s">
        <v>88</v>
      </c>
      <c r="F620" s="10">
        <v>2</v>
      </c>
      <c r="G620" s="10">
        <v>1</v>
      </c>
    </row>
    <row r="621" spans="1:7" x14ac:dyDescent="0.3">
      <c r="A621" s="9" t="s">
        <v>116</v>
      </c>
      <c r="B621" s="9" t="s">
        <v>82</v>
      </c>
      <c r="C621" s="10">
        <v>1.6639999999999999</v>
      </c>
      <c r="D621" s="10">
        <v>0.25790228867199999</v>
      </c>
      <c r="E621" s="9" t="s">
        <v>88</v>
      </c>
      <c r="F621" s="10">
        <v>2</v>
      </c>
      <c r="G621" s="10">
        <v>1</v>
      </c>
    </row>
    <row r="622" spans="1:7" x14ac:dyDescent="0.3">
      <c r="A622" s="9" t="s">
        <v>115</v>
      </c>
      <c r="B622" s="9" t="s">
        <v>80</v>
      </c>
      <c r="C622" s="10">
        <v>11.75</v>
      </c>
      <c r="D622" s="10">
        <v>-0.765282936676</v>
      </c>
      <c r="E622" s="9" t="s">
        <v>87</v>
      </c>
      <c r="F622" s="10">
        <v>24</v>
      </c>
      <c r="G622" s="10">
        <v>1</v>
      </c>
    </row>
    <row r="623" spans="1:7" x14ac:dyDescent="0.3">
      <c r="A623" s="9" t="s">
        <v>115</v>
      </c>
      <c r="B623" s="9" t="s">
        <v>79</v>
      </c>
      <c r="C623" s="10">
        <v>4.3230000000000004</v>
      </c>
      <c r="D623" s="10">
        <v>-0.765282936676</v>
      </c>
      <c r="E623" s="9" t="s">
        <v>87</v>
      </c>
      <c r="F623" s="10">
        <v>24</v>
      </c>
      <c r="G623" s="10">
        <v>1</v>
      </c>
    </row>
    <row r="624" spans="1:7" x14ac:dyDescent="0.3">
      <c r="A624" s="9" t="s">
        <v>115</v>
      </c>
      <c r="B624" s="9" t="s">
        <v>81</v>
      </c>
      <c r="C624" s="10">
        <v>8.9149999999999991</v>
      </c>
      <c r="D624" s="10">
        <v>-0.765282936676</v>
      </c>
      <c r="E624" s="9" t="s">
        <v>87</v>
      </c>
      <c r="F624" s="10">
        <v>24</v>
      </c>
      <c r="G624" s="10">
        <v>1</v>
      </c>
    </row>
    <row r="625" spans="1:7" x14ac:dyDescent="0.3">
      <c r="A625" s="9" t="s">
        <v>115</v>
      </c>
      <c r="B625" s="9" t="s">
        <v>78</v>
      </c>
      <c r="C625" s="10">
        <v>5.7510000000000003</v>
      </c>
      <c r="D625" s="10">
        <v>-0.765282936676</v>
      </c>
      <c r="E625" s="9" t="s">
        <v>87</v>
      </c>
      <c r="F625" s="10">
        <v>24</v>
      </c>
      <c r="G625" s="10">
        <v>1</v>
      </c>
    </row>
    <row r="626" spans="1:7" x14ac:dyDescent="0.3">
      <c r="A626" s="9" t="s">
        <v>115</v>
      </c>
      <c r="B626" s="9" t="s">
        <v>82</v>
      </c>
      <c r="C626" s="10">
        <v>2.4009999999999998</v>
      </c>
      <c r="D626" s="10">
        <v>-0.765282936676</v>
      </c>
      <c r="E626" s="9" t="s">
        <v>87</v>
      </c>
      <c r="F626" s="10">
        <v>24</v>
      </c>
      <c r="G626" s="10">
        <v>1</v>
      </c>
    </row>
  </sheetData>
  <autoFilter ref="A1:G626" xr:uid="{00000000-0009-0000-0000-000001000000}"/>
  <pageMargins left="0.7" right="0.7" top="0.75" bottom="0.75" header="0.3" footer="0.3"/>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F24C-8BB0-4570-B509-40D9C1D11CC2}">
  <dimension ref="A1:G41"/>
  <sheetViews>
    <sheetView workbookViewId="0">
      <selection sqref="A1:G1"/>
    </sheetView>
  </sheetViews>
  <sheetFormatPr defaultRowHeight="14.4" x14ac:dyDescent="0.3"/>
  <cols>
    <col min="1" max="1" width="16.6640625" customWidth="1"/>
    <col min="2" max="2" width="18.5546875" customWidth="1"/>
    <col min="3" max="3" width="40.77734375" customWidth="1"/>
    <col min="4" max="4" width="27.77734375" customWidth="1"/>
    <col min="5" max="5" width="25.88671875" customWidth="1"/>
    <col min="6" max="6" width="27.77734375" customWidth="1"/>
    <col min="7" max="7" width="55.5546875" customWidth="1"/>
  </cols>
  <sheetData>
    <row r="1" spans="1:7" ht="18" x14ac:dyDescent="0.35">
      <c r="A1" s="31" t="s">
        <v>530</v>
      </c>
      <c r="B1" s="31"/>
      <c r="C1" s="31"/>
      <c r="D1" s="31"/>
      <c r="E1" s="31"/>
      <c r="F1" s="31"/>
      <c r="G1" s="31"/>
    </row>
    <row r="2" spans="1:7" x14ac:dyDescent="0.3">
      <c r="A2" s="33" t="s">
        <v>531</v>
      </c>
      <c r="B2" s="33"/>
      <c r="C2" s="33"/>
      <c r="D2" s="33"/>
      <c r="E2" s="33"/>
      <c r="F2" s="33"/>
      <c r="G2" s="33"/>
    </row>
    <row r="4" spans="1:7" ht="15" thickBot="1" x14ac:dyDescent="0.35">
      <c r="A4" s="30" t="s">
        <v>532</v>
      </c>
      <c r="B4" s="30" t="s">
        <v>505</v>
      </c>
      <c r="C4" s="30" t="s">
        <v>2</v>
      </c>
      <c r="D4" s="30" t="s">
        <v>533</v>
      </c>
      <c r="E4" s="30" t="s">
        <v>506</v>
      </c>
      <c r="F4" s="30" t="s">
        <v>3</v>
      </c>
      <c r="G4" s="30" t="s">
        <v>534</v>
      </c>
    </row>
    <row r="5" spans="1:7" ht="15" thickTop="1" x14ac:dyDescent="0.3">
      <c r="A5">
        <v>7</v>
      </c>
      <c r="B5" t="s">
        <v>535</v>
      </c>
      <c r="C5" t="s">
        <v>64</v>
      </c>
      <c r="D5" t="s">
        <v>536</v>
      </c>
      <c r="E5" t="s">
        <v>537</v>
      </c>
      <c r="F5" t="s">
        <v>65</v>
      </c>
      <c r="G5" t="s">
        <v>538</v>
      </c>
    </row>
    <row r="6" spans="1:7" x14ac:dyDescent="0.3">
      <c r="A6">
        <v>8</v>
      </c>
      <c r="B6" t="s">
        <v>539</v>
      </c>
      <c r="C6" t="s">
        <v>540</v>
      </c>
      <c r="D6" t="s">
        <v>541</v>
      </c>
      <c r="E6" t="s">
        <v>8</v>
      </c>
      <c r="F6" t="s">
        <v>4</v>
      </c>
      <c r="G6" t="s">
        <v>542</v>
      </c>
    </row>
    <row r="7" spans="1:7" x14ac:dyDescent="0.3">
      <c r="A7">
        <v>13</v>
      </c>
      <c r="B7" t="s">
        <v>543</v>
      </c>
      <c r="C7" t="s">
        <v>544</v>
      </c>
      <c r="D7" t="s">
        <v>545</v>
      </c>
      <c r="E7" t="s">
        <v>286</v>
      </c>
      <c r="F7" t="s">
        <v>66</v>
      </c>
      <c r="G7" t="s">
        <v>546</v>
      </c>
    </row>
    <row r="8" spans="1:7" x14ac:dyDescent="0.3">
      <c r="A8">
        <v>18</v>
      </c>
      <c r="B8" t="s">
        <v>547</v>
      </c>
      <c r="C8" t="s">
        <v>548</v>
      </c>
      <c r="D8" t="s">
        <v>549</v>
      </c>
      <c r="E8" t="s">
        <v>9</v>
      </c>
      <c r="F8" t="s">
        <v>4</v>
      </c>
      <c r="G8" t="s">
        <v>550</v>
      </c>
    </row>
    <row r="9" spans="1:7" x14ac:dyDescent="0.3">
      <c r="A9">
        <v>20</v>
      </c>
      <c r="B9" t="s">
        <v>551</v>
      </c>
      <c r="C9" t="s">
        <v>552</v>
      </c>
      <c r="D9" t="s">
        <v>553</v>
      </c>
      <c r="E9">
        <v>441</v>
      </c>
      <c r="F9" t="s">
        <v>4</v>
      </c>
      <c r="G9" t="s">
        <v>554</v>
      </c>
    </row>
    <row r="10" spans="1:7" x14ac:dyDescent="0.3">
      <c r="A10">
        <v>26</v>
      </c>
      <c r="B10" t="s">
        <v>555</v>
      </c>
      <c r="C10" t="s">
        <v>12</v>
      </c>
      <c r="D10" t="s">
        <v>11</v>
      </c>
      <c r="E10" t="s">
        <v>10</v>
      </c>
      <c r="F10" t="s">
        <v>6</v>
      </c>
      <c r="G10" t="s">
        <v>556</v>
      </c>
    </row>
    <row r="11" spans="1:7" x14ac:dyDescent="0.3">
      <c r="A11">
        <v>30</v>
      </c>
      <c r="B11" t="s">
        <v>557</v>
      </c>
      <c r="C11" t="s">
        <v>558</v>
      </c>
      <c r="D11" t="s">
        <v>15</v>
      </c>
      <c r="E11" t="s">
        <v>14</v>
      </c>
      <c r="F11" t="s">
        <v>4</v>
      </c>
      <c r="G11" t="s">
        <v>559</v>
      </c>
    </row>
    <row r="12" spans="1:7" x14ac:dyDescent="0.3">
      <c r="A12">
        <v>33</v>
      </c>
      <c r="B12" t="s">
        <v>560</v>
      </c>
      <c r="C12" t="s">
        <v>16</v>
      </c>
      <c r="D12" t="s">
        <v>11</v>
      </c>
      <c r="E12" t="s">
        <v>561</v>
      </c>
      <c r="F12" t="s">
        <v>6</v>
      </c>
      <c r="G12" t="s">
        <v>562</v>
      </c>
    </row>
    <row r="13" spans="1:7" x14ac:dyDescent="0.3">
      <c r="A13">
        <v>36</v>
      </c>
      <c r="B13" t="s">
        <v>72</v>
      </c>
      <c r="C13" t="s">
        <v>18</v>
      </c>
      <c r="D13" t="s">
        <v>11</v>
      </c>
      <c r="E13" t="s">
        <v>17</v>
      </c>
      <c r="F13" t="s">
        <v>6</v>
      </c>
      <c r="G13" t="s">
        <v>563</v>
      </c>
    </row>
    <row r="14" spans="1:7" x14ac:dyDescent="0.3">
      <c r="A14">
        <v>39</v>
      </c>
      <c r="B14" t="s">
        <v>72</v>
      </c>
      <c r="C14" t="s">
        <v>564</v>
      </c>
      <c r="D14" t="s">
        <v>19</v>
      </c>
      <c r="E14" t="s">
        <v>565</v>
      </c>
      <c r="F14" t="s">
        <v>4</v>
      </c>
      <c r="G14" t="s">
        <v>566</v>
      </c>
    </row>
    <row r="15" spans="1:7" x14ac:dyDescent="0.3">
      <c r="A15">
        <v>41</v>
      </c>
      <c r="B15" t="s">
        <v>73</v>
      </c>
      <c r="C15" t="s">
        <v>567</v>
      </c>
      <c r="D15" t="s">
        <v>11</v>
      </c>
      <c r="E15" t="s">
        <v>20</v>
      </c>
      <c r="F15" t="s">
        <v>6</v>
      </c>
      <c r="G15" t="s">
        <v>568</v>
      </c>
    </row>
    <row r="16" spans="1:7" x14ac:dyDescent="0.3">
      <c r="A16">
        <v>59</v>
      </c>
      <c r="B16" t="s">
        <v>74</v>
      </c>
      <c r="C16" t="s">
        <v>569</v>
      </c>
      <c r="D16" t="s">
        <v>570</v>
      </c>
      <c r="E16" t="s">
        <v>571</v>
      </c>
      <c r="F16" t="s">
        <v>6</v>
      </c>
      <c r="G16" t="s">
        <v>572</v>
      </c>
    </row>
    <row r="17" spans="1:7" x14ac:dyDescent="0.3">
      <c r="A17">
        <v>60</v>
      </c>
      <c r="B17" t="s">
        <v>74</v>
      </c>
      <c r="C17" t="s">
        <v>22</v>
      </c>
      <c r="D17" t="s">
        <v>21</v>
      </c>
      <c r="E17" t="s">
        <v>573</v>
      </c>
      <c r="F17" t="s">
        <v>6</v>
      </c>
      <c r="G17" t="s">
        <v>574</v>
      </c>
    </row>
    <row r="18" spans="1:7" x14ac:dyDescent="0.3">
      <c r="A18">
        <v>61</v>
      </c>
      <c r="B18" t="s">
        <v>74</v>
      </c>
      <c r="C18" t="s">
        <v>23</v>
      </c>
      <c r="D18" t="s">
        <v>575</v>
      </c>
      <c r="E18" t="s">
        <v>576</v>
      </c>
      <c r="F18" t="s">
        <v>4</v>
      </c>
      <c r="G18" t="s">
        <v>577</v>
      </c>
    </row>
    <row r="19" spans="1:7" x14ac:dyDescent="0.3">
      <c r="A19">
        <v>63</v>
      </c>
      <c r="B19" t="s">
        <v>74</v>
      </c>
      <c r="C19" t="s">
        <v>25</v>
      </c>
      <c r="D19" t="s">
        <v>24</v>
      </c>
      <c r="E19" t="s">
        <v>578</v>
      </c>
      <c r="F19" t="s">
        <v>6</v>
      </c>
      <c r="G19" t="s">
        <v>579</v>
      </c>
    </row>
    <row r="20" spans="1:7" x14ac:dyDescent="0.3">
      <c r="A20">
        <v>67</v>
      </c>
      <c r="B20" t="s">
        <v>580</v>
      </c>
      <c r="C20" t="s">
        <v>27</v>
      </c>
      <c r="D20" t="s">
        <v>26</v>
      </c>
      <c r="E20" t="s">
        <v>581</v>
      </c>
      <c r="F20" t="s">
        <v>28</v>
      </c>
      <c r="G20" t="s">
        <v>582</v>
      </c>
    </row>
    <row r="21" spans="1:7" x14ac:dyDescent="0.3">
      <c r="A21">
        <v>71</v>
      </c>
      <c r="B21" t="s">
        <v>583</v>
      </c>
      <c r="C21" t="s">
        <v>30</v>
      </c>
      <c r="D21" t="s">
        <v>584</v>
      </c>
      <c r="E21" t="s">
        <v>29</v>
      </c>
      <c r="F21" t="s">
        <v>585</v>
      </c>
      <c r="G21" t="s">
        <v>31</v>
      </c>
    </row>
    <row r="22" spans="1:7" x14ac:dyDescent="0.3">
      <c r="A22">
        <v>74</v>
      </c>
      <c r="B22" t="s">
        <v>586</v>
      </c>
      <c r="C22" t="s">
        <v>587</v>
      </c>
      <c r="D22" t="s">
        <v>588</v>
      </c>
      <c r="E22" t="s">
        <v>589</v>
      </c>
      <c r="F22" t="s">
        <v>590</v>
      </c>
      <c r="G22" t="s">
        <v>591</v>
      </c>
    </row>
    <row r="23" spans="1:7" x14ac:dyDescent="0.3">
      <c r="A23">
        <v>77</v>
      </c>
      <c r="B23" t="s">
        <v>592</v>
      </c>
      <c r="C23" t="s">
        <v>593</v>
      </c>
      <c r="D23" t="s">
        <v>32</v>
      </c>
      <c r="E23" t="s">
        <v>594</v>
      </c>
      <c r="F23" t="s">
        <v>595</v>
      </c>
      <c r="G23" t="s">
        <v>596</v>
      </c>
    </row>
    <row r="24" spans="1:7" x14ac:dyDescent="0.3">
      <c r="A24">
        <v>84</v>
      </c>
      <c r="B24" t="s">
        <v>75</v>
      </c>
      <c r="C24" t="s">
        <v>597</v>
      </c>
      <c r="D24" t="s">
        <v>34</v>
      </c>
      <c r="E24" t="s">
        <v>33</v>
      </c>
      <c r="F24" t="s">
        <v>598</v>
      </c>
      <c r="G24" t="s">
        <v>599</v>
      </c>
    </row>
    <row r="25" spans="1:7" x14ac:dyDescent="0.3">
      <c r="A25">
        <v>85</v>
      </c>
      <c r="B25" t="s">
        <v>600</v>
      </c>
      <c r="C25" t="s">
        <v>36</v>
      </c>
      <c r="D25" t="s">
        <v>35</v>
      </c>
      <c r="E25">
        <v>573</v>
      </c>
      <c r="F25" t="s">
        <v>6</v>
      </c>
      <c r="G25" t="s">
        <v>37</v>
      </c>
    </row>
    <row r="26" spans="1:7" x14ac:dyDescent="0.3">
      <c r="A26">
        <v>91</v>
      </c>
      <c r="B26" t="s">
        <v>601</v>
      </c>
      <c r="C26" t="s">
        <v>602</v>
      </c>
      <c r="D26" t="s">
        <v>39</v>
      </c>
      <c r="E26" t="s">
        <v>603</v>
      </c>
      <c r="F26" t="s">
        <v>604</v>
      </c>
      <c r="G26" t="s">
        <v>605</v>
      </c>
    </row>
    <row r="27" spans="1:7" x14ac:dyDescent="0.3">
      <c r="A27">
        <v>93</v>
      </c>
      <c r="B27" t="s">
        <v>606</v>
      </c>
      <c r="C27" t="s">
        <v>41</v>
      </c>
      <c r="D27" t="s">
        <v>607</v>
      </c>
      <c r="E27" t="s">
        <v>40</v>
      </c>
      <c r="F27" t="s">
        <v>38</v>
      </c>
      <c r="G27" t="s">
        <v>608</v>
      </c>
    </row>
    <row r="28" spans="1:7" x14ac:dyDescent="0.3">
      <c r="A28">
        <v>94</v>
      </c>
      <c r="B28" t="s">
        <v>609</v>
      </c>
      <c r="C28" t="s">
        <v>43</v>
      </c>
      <c r="D28" t="s">
        <v>610</v>
      </c>
      <c r="E28" t="s">
        <v>42</v>
      </c>
      <c r="F28" t="s">
        <v>44</v>
      </c>
      <c r="G28" t="s">
        <v>611</v>
      </c>
    </row>
    <row r="29" spans="1:7" x14ac:dyDescent="0.3">
      <c r="A29">
        <v>95</v>
      </c>
      <c r="B29" t="s">
        <v>612</v>
      </c>
      <c r="C29" t="s">
        <v>46</v>
      </c>
      <c r="D29" t="s">
        <v>613</v>
      </c>
      <c r="E29" t="s">
        <v>45</v>
      </c>
      <c r="F29" t="s">
        <v>614</v>
      </c>
      <c r="G29" t="s">
        <v>615</v>
      </c>
    </row>
    <row r="30" spans="1:7" x14ac:dyDescent="0.3">
      <c r="A30">
        <v>98</v>
      </c>
      <c r="B30" t="s">
        <v>616</v>
      </c>
      <c r="C30" t="s">
        <v>48</v>
      </c>
      <c r="D30" t="s">
        <v>617</v>
      </c>
      <c r="E30" t="s">
        <v>47</v>
      </c>
      <c r="F30" t="s">
        <v>6</v>
      </c>
      <c r="G30" t="s">
        <v>618</v>
      </c>
    </row>
    <row r="31" spans="1:7" x14ac:dyDescent="0.3">
      <c r="A31">
        <v>100</v>
      </c>
      <c r="B31" t="s">
        <v>619</v>
      </c>
      <c r="C31" t="s">
        <v>620</v>
      </c>
      <c r="D31" t="s">
        <v>621</v>
      </c>
      <c r="E31" t="s">
        <v>622</v>
      </c>
      <c r="F31" t="s">
        <v>623</v>
      </c>
      <c r="G31" t="s">
        <v>624</v>
      </c>
    </row>
    <row r="32" spans="1:7" x14ac:dyDescent="0.3">
      <c r="A32">
        <v>105</v>
      </c>
      <c r="B32" t="s">
        <v>76</v>
      </c>
      <c r="C32" t="s">
        <v>68</v>
      </c>
      <c r="D32" t="s">
        <v>625</v>
      </c>
      <c r="E32" t="s">
        <v>13</v>
      </c>
      <c r="F32" t="s">
        <v>626</v>
      </c>
      <c r="G32" t="s">
        <v>627</v>
      </c>
    </row>
    <row r="33" spans="1:7" x14ac:dyDescent="0.3">
      <c r="A33">
        <v>106</v>
      </c>
      <c r="B33" t="s">
        <v>76</v>
      </c>
      <c r="C33" t="s">
        <v>50</v>
      </c>
      <c r="D33" t="s">
        <v>628</v>
      </c>
      <c r="E33" t="s">
        <v>49</v>
      </c>
      <c r="F33" t="s">
        <v>51</v>
      </c>
      <c r="G33" t="s">
        <v>52</v>
      </c>
    </row>
    <row r="34" spans="1:7" x14ac:dyDescent="0.3">
      <c r="A34">
        <v>109</v>
      </c>
      <c r="B34" t="s">
        <v>629</v>
      </c>
      <c r="C34" t="s">
        <v>55</v>
      </c>
      <c r="D34" t="s">
        <v>54</v>
      </c>
      <c r="E34" t="s">
        <v>53</v>
      </c>
      <c r="F34" t="s">
        <v>56</v>
      </c>
      <c r="G34" t="s">
        <v>57</v>
      </c>
    </row>
    <row r="35" spans="1:7" x14ac:dyDescent="0.3">
      <c r="A35">
        <v>110</v>
      </c>
      <c r="B35" t="s">
        <v>629</v>
      </c>
      <c r="C35" t="s">
        <v>60</v>
      </c>
      <c r="D35" t="s">
        <v>59</v>
      </c>
      <c r="E35" t="s">
        <v>58</v>
      </c>
      <c r="F35" t="s">
        <v>0</v>
      </c>
      <c r="G35" t="s">
        <v>61</v>
      </c>
    </row>
    <row r="36" spans="1:7" x14ac:dyDescent="0.3">
      <c r="A36">
        <v>111</v>
      </c>
      <c r="B36" t="s">
        <v>630</v>
      </c>
      <c r="C36" t="s">
        <v>70</v>
      </c>
      <c r="D36" t="s">
        <v>69</v>
      </c>
      <c r="E36" t="s">
        <v>13</v>
      </c>
      <c r="F36" t="s">
        <v>67</v>
      </c>
      <c r="G36" t="s">
        <v>631</v>
      </c>
    </row>
    <row r="37" spans="1:7" x14ac:dyDescent="0.3">
      <c r="A37">
        <v>114</v>
      </c>
      <c r="B37" t="s">
        <v>632</v>
      </c>
      <c r="C37" t="s">
        <v>62</v>
      </c>
      <c r="D37" t="s">
        <v>633</v>
      </c>
      <c r="E37" t="s">
        <v>634</v>
      </c>
      <c r="F37" t="s">
        <v>6</v>
      </c>
      <c r="G37" t="s">
        <v>635</v>
      </c>
    </row>
    <row r="38" spans="1:7" x14ac:dyDescent="0.3">
      <c r="A38">
        <v>116</v>
      </c>
      <c r="B38" t="s">
        <v>636</v>
      </c>
      <c r="C38" t="s">
        <v>63</v>
      </c>
      <c r="D38" t="s">
        <v>637</v>
      </c>
      <c r="E38" t="s">
        <v>638</v>
      </c>
      <c r="F38" t="s">
        <v>6</v>
      </c>
      <c r="G38" t="s">
        <v>639</v>
      </c>
    </row>
    <row r="39" spans="1:7" x14ac:dyDescent="0.3">
      <c r="A39">
        <v>117</v>
      </c>
      <c r="B39" t="s">
        <v>636</v>
      </c>
      <c r="C39" t="s">
        <v>640</v>
      </c>
      <c r="D39" t="s">
        <v>641</v>
      </c>
      <c r="E39" t="s">
        <v>642</v>
      </c>
      <c r="F39" t="s">
        <v>6</v>
      </c>
      <c r="G39" t="s">
        <v>643</v>
      </c>
    </row>
    <row r="40" spans="1:7" x14ac:dyDescent="0.3">
      <c r="A40">
        <v>120</v>
      </c>
      <c r="B40" t="s">
        <v>77</v>
      </c>
      <c r="C40" t="s">
        <v>644</v>
      </c>
      <c r="D40" t="s">
        <v>645</v>
      </c>
      <c r="E40" t="s">
        <v>646</v>
      </c>
      <c r="F40" t="s">
        <v>6</v>
      </c>
      <c r="G40" t="s">
        <v>647</v>
      </c>
    </row>
    <row r="41" spans="1:7" x14ac:dyDescent="0.3">
      <c r="A41">
        <v>127</v>
      </c>
      <c r="B41" t="s">
        <v>648</v>
      </c>
      <c r="C41" t="s">
        <v>649</v>
      </c>
      <c r="D41" t="s">
        <v>7</v>
      </c>
      <c r="E41" t="s">
        <v>650</v>
      </c>
      <c r="F41" t="s">
        <v>6</v>
      </c>
      <c r="G41" t="s">
        <v>651</v>
      </c>
    </row>
  </sheetData>
  <mergeCells count="2">
    <mergeCell ref="A2:G2"/>
    <mergeCell ref="A1:G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74D610-8A3E-4D22-BF49-F438BF3099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LAB data</vt:lpstr>
      <vt:lpstr>EXTERNAL VALIDATION </vt:lpstr>
      <vt:lpstr>cohort_summary</vt:lpstr>
      <vt:lpstr>GSE71729_validation_dataset</vt:lpstr>
      <vt:lpstr>signature_coefficients</vt:lpstr>
      <vt:lpstr>survival_results</vt:lpstr>
      <vt:lpstr>cox_univariable</vt:lpstr>
      <vt:lpstr>cox_median_split</vt:lpstr>
      <vt:lpstr>cox_multivariable</vt:lpstr>
      <vt:lpstr>km_medians</vt:lpstr>
      <vt:lpstr>logrank_test</vt:lpstr>
      <vt:lpstr>model_performance (2)</vt:lpstr>
      <vt:lpstr>signature_expression</vt:lpstr>
      <vt:lpstr>expression_wide</vt:lpstr>
      <vt:lpstr>expression_long</vt:lpstr>
      <vt:lpstr>DATA-3 review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Vassiliki Tarara</cp:lastModifiedBy>
  <dcterms:created xsi:type="dcterms:W3CDTF">2026-03-07T07:16:37Z</dcterms:created>
  <dcterms:modified xsi:type="dcterms:W3CDTF">2026-09-06T08:53:41Z</dcterms:modified>
</cp:coreProperties>
</file>