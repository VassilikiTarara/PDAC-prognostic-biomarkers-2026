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https://d.docs.live.net/ea5c81a0d8d8691c/Desktop/PhD_Med_Auth/publications 2026 v2.0 resubmissions/126295_v2.0_07092026/final submission WJTM 30092026/"/>
    </mc:Choice>
  </mc:AlternateContent>
  <xr:revisionPtr revIDLastSave="0" documentId="8_{2FBA013B-B43F-411B-A264-6100F3CD148F}" xr6:coauthVersionLast="47" xr6:coauthVersionMax="47" xr10:uidLastSave="{00000000-0000-0000-0000-000000000000}"/>
  <bookViews>
    <workbookView xWindow="-108" yWindow="-108" windowWidth="23256" windowHeight="12456" xr2:uid="{E39E5BD1-6F11-4351-B9D1-7CD34E9503E9}"/>
  </bookViews>
  <sheets>
    <sheet name="Study decisions log" sheetId="1" r:id="rId1"/>
  </sheets>
  <externalReferences>
    <externalReference r:id="rId2"/>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12" i="1" l="1"/>
  <c r="D312" i="1"/>
  <c r="C312" i="1"/>
  <c r="B312" i="1"/>
  <c r="A312" i="1"/>
  <c r="F311" i="1"/>
  <c r="D311" i="1"/>
  <c r="C311" i="1"/>
  <c r="B311" i="1"/>
  <c r="A311" i="1"/>
  <c r="F310" i="1"/>
  <c r="D310" i="1"/>
  <c r="C310" i="1"/>
  <c r="B310" i="1"/>
  <c r="A310" i="1"/>
  <c r="F309" i="1"/>
  <c r="D309" i="1"/>
  <c r="C309" i="1"/>
  <c r="B309" i="1"/>
  <c r="A309" i="1"/>
  <c r="F308" i="1"/>
  <c r="D308" i="1"/>
  <c r="C308" i="1"/>
  <c r="B308" i="1"/>
  <c r="A308" i="1"/>
  <c r="F307" i="1"/>
  <c r="D307" i="1"/>
  <c r="C307" i="1"/>
  <c r="B307" i="1"/>
  <c r="A307" i="1"/>
  <c r="F306" i="1"/>
  <c r="D306" i="1"/>
  <c r="C306" i="1"/>
  <c r="B306" i="1"/>
  <c r="A306" i="1"/>
  <c r="F305" i="1"/>
  <c r="D305" i="1"/>
  <c r="C305" i="1"/>
  <c r="B305" i="1"/>
  <c r="A305" i="1"/>
  <c r="F304" i="1"/>
  <c r="D304" i="1"/>
  <c r="C304" i="1"/>
  <c r="B304" i="1"/>
  <c r="A304" i="1"/>
  <c r="F303" i="1"/>
  <c r="D303" i="1"/>
  <c r="C303" i="1"/>
  <c r="B303" i="1"/>
  <c r="A303" i="1"/>
  <c r="F302" i="1"/>
  <c r="D302" i="1"/>
  <c r="C302" i="1"/>
  <c r="B302" i="1"/>
  <c r="A302" i="1"/>
  <c r="F301" i="1"/>
  <c r="D301" i="1"/>
  <c r="C301" i="1"/>
  <c r="B301" i="1"/>
  <c r="A301" i="1"/>
  <c r="F300" i="1"/>
  <c r="D300" i="1"/>
  <c r="C300" i="1"/>
  <c r="B300" i="1"/>
  <c r="A300" i="1"/>
  <c r="F299" i="1"/>
  <c r="D299" i="1"/>
  <c r="C299" i="1"/>
  <c r="B299" i="1"/>
  <c r="A299" i="1"/>
  <c r="L294" i="1"/>
  <c r="G294" i="1"/>
  <c r="F294" i="1"/>
  <c r="P294" i="1" s="1"/>
  <c r="Q294" i="1" s="1"/>
  <c r="E294" i="1"/>
  <c r="D294" i="1"/>
  <c r="C294" i="1"/>
  <c r="B294" i="1"/>
  <c r="A294" i="1"/>
  <c r="L293" i="1"/>
  <c r="G293" i="1"/>
  <c r="F293" i="1"/>
  <c r="P293" i="1" s="1"/>
  <c r="Q293" i="1" s="1"/>
  <c r="E293" i="1"/>
  <c r="D293" i="1"/>
  <c r="C293" i="1"/>
  <c r="B293" i="1"/>
  <c r="A293" i="1"/>
  <c r="K292" i="1"/>
  <c r="J292" i="1"/>
  <c r="I292" i="1"/>
  <c r="H292" i="1"/>
  <c r="L292" i="1" s="1"/>
  <c r="G292" i="1"/>
  <c r="F292" i="1"/>
  <c r="P292" i="1" s="1"/>
  <c r="E292" i="1"/>
  <c r="D292" i="1"/>
  <c r="C292" i="1"/>
  <c r="B292" i="1"/>
  <c r="A292" i="1"/>
  <c r="K291" i="1"/>
  <c r="J291" i="1"/>
  <c r="I291" i="1"/>
  <c r="H291" i="1"/>
  <c r="L291" i="1" s="1"/>
  <c r="G291" i="1"/>
  <c r="F291" i="1"/>
  <c r="P291" i="1" s="1"/>
  <c r="E291" i="1"/>
  <c r="D291" i="1"/>
  <c r="C291" i="1"/>
  <c r="B291" i="1"/>
  <c r="A291" i="1"/>
  <c r="L290" i="1"/>
  <c r="G290" i="1"/>
  <c r="F290" i="1"/>
  <c r="P290" i="1" s="1"/>
  <c r="Q290" i="1" s="1"/>
  <c r="E290" i="1"/>
  <c r="D290" i="1"/>
  <c r="C290" i="1"/>
  <c r="B290" i="1"/>
  <c r="A290" i="1"/>
  <c r="K289" i="1"/>
  <c r="J289" i="1"/>
  <c r="I289" i="1"/>
  <c r="H289" i="1"/>
  <c r="L289" i="1" s="1"/>
  <c r="G289" i="1"/>
  <c r="F289" i="1"/>
  <c r="P289" i="1" s="1"/>
  <c r="E289" i="1"/>
  <c r="D289" i="1"/>
  <c r="C289" i="1"/>
  <c r="B289" i="1"/>
  <c r="A289" i="1"/>
  <c r="L288" i="1"/>
  <c r="G288" i="1"/>
  <c r="F288" i="1"/>
  <c r="P288" i="1" s="1"/>
  <c r="Q288" i="1" s="1"/>
  <c r="E288" i="1"/>
  <c r="D288" i="1"/>
  <c r="C288" i="1"/>
  <c r="B288" i="1"/>
  <c r="A288" i="1"/>
  <c r="K287" i="1"/>
  <c r="J287" i="1"/>
  <c r="I287" i="1"/>
  <c r="H287" i="1"/>
  <c r="L287" i="1" s="1"/>
  <c r="G287" i="1"/>
  <c r="F287" i="1"/>
  <c r="P287" i="1" s="1"/>
  <c r="E287" i="1"/>
  <c r="D287" i="1"/>
  <c r="C287" i="1"/>
  <c r="B287" i="1"/>
  <c r="A287" i="1"/>
  <c r="L286" i="1"/>
  <c r="G286" i="1"/>
  <c r="F286" i="1"/>
  <c r="P286" i="1" s="1"/>
  <c r="Q286" i="1" s="1"/>
  <c r="E286" i="1"/>
  <c r="D286" i="1"/>
  <c r="C286" i="1"/>
  <c r="B286" i="1"/>
  <c r="A286" i="1"/>
  <c r="L285" i="1"/>
  <c r="G285" i="1"/>
  <c r="F285" i="1"/>
  <c r="P285" i="1" s="1"/>
  <c r="Q285" i="1" s="1"/>
  <c r="E285" i="1"/>
  <c r="D285" i="1"/>
  <c r="C285" i="1"/>
  <c r="B285" i="1"/>
  <c r="A285" i="1"/>
  <c r="K284" i="1"/>
  <c r="J284" i="1"/>
  <c r="I284" i="1"/>
  <c r="H284" i="1"/>
  <c r="L284" i="1" s="1"/>
  <c r="G284" i="1"/>
  <c r="F284" i="1"/>
  <c r="P284" i="1" s="1"/>
  <c r="E284" i="1"/>
  <c r="D284" i="1"/>
  <c r="C284" i="1"/>
  <c r="B284" i="1"/>
  <c r="A284" i="1"/>
  <c r="L283" i="1"/>
  <c r="G283" i="1"/>
  <c r="F283" i="1"/>
  <c r="P283" i="1" s="1"/>
  <c r="Q283" i="1" s="1"/>
  <c r="E283" i="1"/>
  <c r="D283" i="1"/>
  <c r="C283" i="1"/>
  <c r="B283" i="1"/>
  <c r="A283" i="1"/>
  <c r="L282" i="1"/>
  <c r="G282" i="1"/>
  <c r="F282" i="1"/>
  <c r="P282" i="1" s="1"/>
  <c r="Q282" i="1" s="1"/>
  <c r="E282" i="1"/>
  <c r="D282" i="1"/>
  <c r="C282" i="1"/>
  <c r="B282" i="1"/>
  <c r="A282" i="1"/>
  <c r="L281" i="1"/>
  <c r="G281" i="1"/>
  <c r="F281" i="1"/>
  <c r="P281" i="1" s="1"/>
  <c r="Q281" i="1" s="1"/>
  <c r="E281" i="1"/>
  <c r="D281" i="1"/>
  <c r="C281" i="1"/>
  <c r="B281" i="1"/>
  <c r="A281" i="1"/>
  <c r="L280" i="1"/>
  <c r="G280" i="1"/>
  <c r="F280" i="1"/>
  <c r="P280" i="1" s="1"/>
  <c r="Q280" i="1" s="1"/>
  <c r="E280" i="1"/>
  <c r="D280" i="1"/>
  <c r="C280" i="1"/>
  <c r="B280" i="1"/>
  <c r="A280" i="1"/>
  <c r="K279" i="1"/>
  <c r="J279" i="1"/>
  <c r="I279" i="1"/>
  <c r="H279" i="1"/>
  <c r="L279" i="1" s="1"/>
  <c r="G279" i="1"/>
  <c r="F279" i="1"/>
  <c r="P279" i="1" s="1"/>
  <c r="E279" i="1"/>
  <c r="D279" i="1"/>
  <c r="C279" i="1"/>
  <c r="B279" i="1"/>
  <c r="A279" i="1"/>
  <c r="L278" i="1"/>
  <c r="G278" i="1"/>
  <c r="F278" i="1"/>
  <c r="P278" i="1" s="1"/>
  <c r="Q278" i="1" s="1"/>
  <c r="E278" i="1"/>
  <c r="D278" i="1"/>
  <c r="C278" i="1"/>
  <c r="B278" i="1"/>
  <c r="A278" i="1"/>
  <c r="L277" i="1"/>
  <c r="G277" i="1"/>
  <c r="F277" i="1"/>
  <c r="P277" i="1" s="1"/>
  <c r="Q277" i="1" s="1"/>
  <c r="E277" i="1"/>
  <c r="D277" i="1"/>
  <c r="C277" i="1"/>
  <c r="B277" i="1"/>
  <c r="A277" i="1"/>
  <c r="K276" i="1"/>
  <c r="J276" i="1"/>
  <c r="I276" i="1"/>
  <c r="H276" i="1"/>
  <c r="L276" i="1" s="1"/>
  <c r="G276" i="1"/>
  <c r="F276" i="1"/>
  <c r="P276" i="1" s="1"/>
  <c r="E276" i="1"/>
  <c r="D276" i="1"/>
  <c r="C276" i="1"/>
  <c r="B276" i="1"/>
  <c r="A276" i="1"/>
  <c r="L275" i="1"/>
  <c r="G275" i="1"/>
  <c r="F275" i="1"/>
  <c r="P275" i="1" s="1"/>
  <c r="Q275" i="1" s="1"/>
  <c r="E275" i="1"/>
  <c r="D275" i="1"/>
  <c r="C275" i="1"/>
  <c r="B275" i="1"/>
  <c r="A275" i="1"/>
  <c r="L274" i="1"/>
  <c r="G274" i="1"/>
  <c r="F274" i="1"/>
  <c r="P274" i="1" s="1"/>
  <c r="Q274" i="1" s="1"/>
  <c r="E274" i="1"/>
  <c r="D274" i="1"/>
  <c r="C274" i="1"/>
  <c r="B274" i="1"/>
  <c r="A274" i="1"/>
  <c r="K273" i="1"/>
  <c r="J273" i="1"/>
  <c r="I273" i="1"/>
  <c r="H273" i="1"/>
  <c r="L273" i="1" s="1"/>
  <c r="G273" i="1"/>
  <c r="F273" i="1"/>
  <c r="P273" i="1" s="1"/>
  <c r="E273" i="1"/>
  <c r="D273" i="1"/>
  <c r="C273" i="1"/>
  <c r="B273" i="1"/>
  <c r="A273" i="1"/>
  <c r="L272" i="1"/>
  <c r="G272" i="1"/>
  <c r="F272" i="1"/>
  <c r="P272" i="1" s="1"/>
  <c r="Q272" i="1" s="1"/>
  <c r="E272" i="1"/>
  <c r="D272" i="1"/>
  <c r="C272" i="1"/>
  <c r="B272" i="1"/>
  <c r="A272" i="1"/>
  <c r="K271" i="1"/>
  <c r="J271" i="1"/>
  <c r="I271" i="1"/>
  <c r="H271" i="1"/>
  <c r="L271" i="1" s="1"/>
  <c r="G271" i="1"/>
  <c r="F271" i="1"/>
  <c r="P271" i="1" s="1"/>
  <c r="E271" i="1"/>
  <c r="D271" i="1"/>
  <c r="C271" i="1"/>
  <c r="B271" i="1"/>
  <c r="A271" i="1"/>
  <c r="L270" i="1"/>
  <c r="G270" i="1"/>
  <c r="F270" i="1"/>
  <c r="P270" i="1" s="1"/>
  <c r="Q270" i="1" s="1"/>
  <c r="E270" i="1"/>
  <c r="D270" i="1"/>
  <c r="C270" i="1"/>
  <c r="B270" i="1"/>
  <c r="A270" i="1"/>
  <c r="L269" i="1"/>
  <c r="G269" i="1"/>
  <c r="F269" i="1"/>
  <c r="P269" i="1" s="1"/>
  <c r="Q269" i="1" s="1"/>
  <c r="E269" i="1"/>
  <c r="D269" i="1"/>
  <c r="C269" i="1"/>
  <c r="B269" i="1"/>
  <c r="A269" i="1"/>
  <c r="L268" i="1"/>
  <c r="G268" i="1"/>
  <c r="F268" i="1"/>
  <c r="P268" i="1" s="1"/>
  <c r="Q268" i="1" s="1"/>
  <c r="E268" i="1"/>
  <c r="D268" i="1"/>
  <c r="C268" i="1"/>
  <c r="B268" i="1"/>
  <c r="A268" i="1"/>
  <c r="K267" i="1"/>
  <c r="J267" i="1"/>
  <c r="I267" i="1"/>
  <c r="H267" i="1"/>
  <c r="L267" i="1" s="1"/>
  <c r="G267" i="1"/>
  <c r="F267" i="1"/>
  <c r="E267" i="1"/>
  <c r="D267" i="1"/>
  <c r="C267" i="1"/>
  <c r="B267" i="1"/>
  <c r="A267" i="1"/>
  <c r="L266" i="1"/>
  <c r="G266" i="1"/>
  <c r="F266" i="1"/>
  <c r="P266" i="1" s="1"/>
  <c r="Q266" i="1" s="1"/>
  <c r="E266" i="1"/>
  <c r="D266" i="1"/>
  <c r="C266" i="1"/>
  <c r="B266" i="1"/>
  <c r="A266" i="1"/>
  <c r="K265" i="1"/>
  <c r="J265" i="1"/>
  <c r="I265" i="1"/>
  <c r="H265" i="1"/>
  <c r="L265" i="1" s="1"/>
  <c r="G265" i="1"/>
  <c r="F265" i="1"/>
  <c r="P265" i="1" s="1"/>
  <c r="E265" i="1"/>
  <c r="D265" i="1"/>
  <c r="C265" i="1"/>
  <c r="B265" i="1"/>
  <c r="A265" i="1"/>
  <c r="L264" i="1"/>
  <c r="G264" i="1"/>
  <c r="F264" i="1"/>
  <c r="P264" i="1" s="1"/>
  <c r="Q264" i="1" s="1"/>
  <c r="E264" i="1"/>
  <c r="D264" i="1"/>
  <c r="C264" i="1"/>
  <c r="B264" i="1"/>
  <c r="A264" i="1"/>
  <c r="L263" i="1"/>
  <c r="G263" i="1"/>
  <c r="F263" i="1"/>
  <c r="P263" i="1" s="1"/>
  <c r="Q263" i="1" s="1"/>
  <c r="E263" i="1"/>
  <c r="D263" i="1"/>
  <c r="C263" i="1"/>
  <c r="B263" i="1"/>
  <c r="A263" i="1"/>
  <c r="L262" i="1"/>
  <c r="G262" i="1"/>
  <c r="F262" i="1"/>
  <c r="P262" i="1" s="1"/>
  <c r="Q262" i="1" s="1"/>
  <c r="E262" i="1"/>
  <c r="D262" i="1"/>
  <c r="C262" i="1"/>
  <c r="B262" i="1"/>
  <c r="A262" i="1"/>
  <c r="L261" i="1"/>
  <c r="G261" i="1"/>
  <c r="F261" i="1"/>
  <c r="P261" i="1" s="1"/>
  <c r="Q261" i="1" s="1"/>
  <c r="E261" i="1"/>
  <c r="D261" i="1"/>
  <c r="C261" i="1"/>
  <c r="B261" i="1"/>
  <c r="A261" i="1"/>
  <c r="K260" i="1"/>
  <c r="J260" i="1"/>
  <c r="I260" i="1"/>
  <c r="H260" i="1"/>
  <c r="L260" i="1" s="1"/>
  <c r="G260" i="1"/>
  <c r="F260" i="1"/>
  <c r="P260" i="1" s="1"/>
  <c r="E260" i="1"/>
  <c r="D260" i="1"/>
  <c r="C260" i="1"/>
  <c r="B260" i="1"/>
  <c r="A260" i="1"/>
  <c r="K259" i="1"/>
  <c r="J259" i="1"/>
  <c r="I259" i="1"/>
  <c r="H259" i="1"/>
  <c r="L259" i="1" s="1"/>
  <c r="G259" i="1"/>
  <c r="F259" i="1"/>
  <c r="P259" i="1" s="1"/>
  <c r="E259" i="1"/>
  <c r="D259" i="1"/>
  <c r="C259" i="1"/>
  <c r="B259" i="1"/>
  <c r="A259" i="1"/>
  <c r="L258" i="1"/>
  <c r="G258" i="1"/>
  <c r="F258" i="1"/>
  <c r="P258" i="1" s="1"/>
  <c r="Q258" i="1" s="1"/>
  <c r="E258" i="1"/>
  <c r="D258" i="1"/>
  <c r="C258" i="1"/>
  <c r="B258" i="1"/>
  <c r="A258" i="1"/>
  <c r="L257" i="1"/>
  <c r="G257" i="1"/>
  <c r="F257" i="1"/>
  <c r="P257" i="1" s="1"/>
  <c r="Q257" i="1" s="1"/>
  <c r="E257" i="1"/>
  <c r="D257" i="1"/>
  <c r="C257" i="1"/>
  <c r="B257" i="1"/>
  <c r="A257" i="1"/>
  <c r="K256" i="1"/>
  <c r="J256" i="1"/>
  <c r="I256" i="1"/>
  <c r="H256" i="1"/>
  <c r="L256" i="1" s="1"/>
  <c r="G256" i="1"/>
  <c r="F256" i="1"/>
  <c r="P256" i="1" s="1"/>
  <c r="E256" i="1"/>
  <c r="D256" i="1"/>
  <c r="C256" i="1"/>
  <c r="B256" i="1"/>
  <c r="A256" i="1"/>
  <c r="K255" i="1"/>
  <c r="J255" i="1"/>
  <c r="I255" i="1"/>
  <c r="H255" i="1"/>
  <c r="L255" i="1" s="1"/>
  <c r="G255" i="1"/>
  <c r="F255" i="1"/>
  <c r="P255" i="1" s="1"/>
  <c r="E255" i="1"/>
  <c r="D255" i="1"/>
  <c r="C255" i="1"/>
  <c r="B255" i="1"/>
  <c r="A255" i="1"/>
  <c r="K254" i="1"/>
  <c r="J254" i="1"/>
  <c r="I254" i="1"/>
  <c r="H254" i="1"/>
  <c r="L254" i="1" s="1"/>
  <c r="G254" i="1"/>
  <c r="F254" i="1"/>
  <c r="P254" i="1" s="1"/>
  <c r="E254" i="1"/>
  <c r="D254" i="1"/>
  <c r="C254" i="1"/>
  <c r="B254" i="1"/>
  <c r="A254" i="1"/>
  <c r="K253" i="1"/>
  <c r="J253" i="1"/>
  <c r="I253" i="1"/>
  <c r="H253" i="1"/>
  <c r="L253" i="1" s="1"/>
  <c r="G253" i="1"/>
  <c r="F253" i="1"/>
  <c r="P253" i="1" s="1"/>
  <c r="E253" i="1"/>
  <c r="D253" i="1"/>
  <c r="C253" i="1"/>
  <c r="B253" i="1"/>
  <c r="A253" i="1"/>
  <c r="K252" i="1"/>
  <c r="J252" i="1"/>
  <c r="I252" i="1"/>
  <c r="H252" i="1"/>
  <c r="L252" i="1" s="1"/>
  <c r="G252" i="1"/>
  <c r="F252" i="1"/>
  <c r="P252" i="1" s="1"/>
  <c r="E252" i="1"/>
  <c r="D252" i="1"/>
  <c r="C252" i="1"/>
  <c r="B252" i="1"/>
  <c r="A252" i="1"/>
  <c r="L251" i="1"/>
  <c r="G251" i="1"/>
  <c r="F251" i="1"/>
  <c r="P251" i="1" s="1"/>
  <c r="Q251" i="1" s="1"/>
  <c r="E251" i="1"/>
  <c r="D251" i="1"/>
  <c r="C251" i="1"/>
  <c r="B251" i="1"/>
  <c r="A251" i="1"/>
  <c r="L250" i="1"/>
  <c r="G250" i="1"/>
  <c r="F250" i="1"/>
  <c r="P250" i="1" s="1"/>
  <c r="Q250" i="1" s="1"/>
  <c r="E250" i="1"/>
  <c r="D250" i="1"/>
  <c r="C250" i="1"/>
  <c r="B250" i="1"/>
  <c r="A250" i="1"/>
  <c r="L249" i="1"/>
  <c r="G249" i="1"/>
  <c r="F249" i="1"/>
  <c r="P249" i="1" s="1"/>
  <c r="Q249" i="1" s="1"/>
  <c r="E249" i="1"/>
  <c r="D249" i="1"/>
  <c r="C249" i="1"/>
  <c r="B249" i="1"/>
  <c r="A249" i="1"/>
  <c r="L248" i="1"/>
  <c r="G248" i="1"/>
  <c r="F248" i="1"/>
  <c r="P248" i="1" s="1"/>
  <c r="Q248" i="1" s="1"/>
  <c r="E248" i="1"/>
  <c r="D248" i="1"/>
  <c r="C248" i="1"/>
  <c r="B248" i="1"/>
  <c r="A248" i="1"/>
  <c r="K247" i="1"/>
  <c r="J247" i="1"/>
  <c r="I247" i="1"/>
  <c r="H247" i="1"/>
  <c r="L247" i="1" s="1"/>
  <c r="G247" i="1"/>
  <c r="F247" i="1"/>
  <c r="E247" i="1"/>
  <c r="D247" i="1"/>
  <c r="C247" i="1"/>
  <c r="B247" i="1"/>
  <c r="A247" i="1"/>
  <c r="K246" i="1"/>
  <c r="J246" i="1"/>
  <c r="I246" i="1"/>
  <c r="H246" i="1"/>
  <c r="L246" i="1" s="1"/>
  <c r="G246" i="1"/>
  <c r="F246" i="1"/>
  <c r="P246" i="1" s="1"/>
  <c r="E246" i="1"/>
  <c r="D246" i="1"/>
  <c r="C246" i="1"/>
  <c r="B246" i="1"/>
  <c r="A246" i="1"/>
  <c r="L245" i="1"/>
  <c r="G245" i="1"/>
  <c r="F245" i="1"/>
  <c r="P245" i="1" s="1"/>
  <c r="Q245" i="1" s="1"/>
  <c r="E245" i="1"/>
  <c r="D245" i="1"/>
  <c r="C245" i="1"/>
  <c r="B245" i="1"/>
  <c r="A245" i="1"/>
  <c r="L244" i="1"/>
  <c r="G244" i="1"/>
  <c r="F244" i="1"/>
  <c r="P244" i="1" s="1"/>
  <c r="Q244" i="1" s="1"/>
  <c r="E244" i="1"/>
  <c r="D244" i="1"/>
  <c r="C244" i="1"/>
  <c r="B244" i="1"/>
  <c r="A244" i="1"/>
  <c r="L243" i="1"/>
  <c r="G243" i="1"/>
  <c r="F243" i="1"/>
  <c r="P243" i="1" s="1"/>
  <c r="Q243" i="1" s="1"/>
  <c r="E243" i="1"/>
  <c r="D243" i="1"/>
  <c r="C243" i="1"/>
  <c r="B243" i="1"/>
  <c r="A243" i="1"/>
  <c r="L242" i="1"/>
  <c r="G242" i="1"/>
  <c r="F242" i="1"/>
  <c r="P242" i="1" s="1"/>
  <c r="Q242" i="1" s="1"/>
  <c r="E242" i="1"/>
  <c r="D242" i="1"/>
  <c r="C242" i="1"/>
  <c r="B242" i="1"/>
  <c r="A242" i="1"/>
  <c r="K241" i="1"/>
  <c r="J241" i="1"/>
  <c r="I241" i="1"/>
  <c r="H241" i="1"/>
  <c r="L241" i="1" s="1"/>
  <c r="G241" i="1"/>
  <c r="F241" i="1"/>
  <c r="P241" i="1" s="1"/>
  <c r="E241" i="1"/>
  <c r="D241" i="1"/>
  <c r="C241" i="1"/>
  <c r="B241" i="1"/>
  <c r="A241" i="1"/>
  <c r="L240" i="1"/>
  <c r="G240" i="1"/>
  <c r="F240" i="1"/>
  <c r="P240" i="1" s="1"/>
  <c r="Q240" i="1" s="1"/>
  <c r="E240" i="1"/>
  <c r="D240" i="1"/>
  <c r="C240" i="1"/>
  <c r="B240" i="1"/>
  <c r="A240" i="1"/>
  <c r="K239" i="1"/>
  <c r="J239" i="1"/>
  <c r="I239" i="1"/>
  <c r="H239" i="1"/>
  <c r="L239" i="1" s="1"/>
  <c r="G239" i="1"/>
  <c r="F239" i="1"/>
  <c r="P239" i="1" s="1"/>
  <c r="E239" i="1"/>
  <c r="D239" i="1"/>
  <c r="C239" i="1"/>
  <c r="B239" i="1"/>
  <c r="A239" i="1"/>
  <c r="L238" i="1"/>
  <c r="G238" i="1"/>
  <c r="F238" i="1"/>
  <c r="P238" i="1" s="1"/>
  <c r="Q238" i="1" s="1"/>
  <c r="E238" i="1"/>
  <c r="D238" i="1"/>
  <c r="C238" i="1"/>
  <c r="B238" i="1"/>
  <c r="A238" i="1"/>
  <c r="K237" i="1"/>
  <c r="J237" i="1"/>
  <c r="I237" i="1"/>
  <c r="H237" i="1"/>
  <c r="L237" i="1" s="1"/>
  <c r="G237" i="1"/>
  <c r="F237" i="1"/>
  <c r="P237" i="1" s="1"/>
  <c r="E237" i="1"/>
  <c r="D237" i="1"/>
  <c r="C237" i="1"/>
  <c r="B237" i="1"/>
  <c r="A237" i="1"/>
  <c r="K236" i="1"/>
  <c r="J236" i="1"/>
  <c r="I236" i="1"/>
  <c r="H236" i="1"/>
  <c r="L236" i="1" s="1"/>
  <c r="G236" i="1"/>
  <c r="F236" i="1"/>
  <c r="P236" i="1" s="1"/>
  <c r="E236" i="1"/>
  <c r="D236" i="1"/>
  <c r="C236" i="1"/>
  <c r="B236" i="1"/>
  <c r="A236" i="1"/>
  <c r="K235" i="1"/>
  <c r="J235" i="1"/>
  <c r="I235" i="1"/>
  <c r="H235" i="1"/>
  <c r="L235" i="1" s="1"/>
  <c r="G235" i="1"/>
  <c r="F235" i="1"/>
  <c r="P235" i="1" s="1"/>
  <c r="E235" i="1"/>
  <c r="D235" i="1"/>
  <c r="C235" i="1"/>
  <c r="B235" i="1"/>
  <c r="A235" i="1"/>
  <c r="K234" i="1"/>
  <c r="J234" i="1"/>
  <c r="I234" i="1"/>
  <c r="H234" i="1"/>
  <c r="L234" i="1" s="1"/>
  <c r="G234" i="1"/>
  <c r="F234" i="1"/>
  <c r="E234" i="1"/>
  <c r="D234" i="1"/>
  <c r="C234" i="1"/>
  <c r="B234" i="1"/>
  <c r="A234" i="1"/>
  <c r="L233" i="1"/>
  <c r="G233" i="1"/>
  <c r="F233" i="1"/>
  <c r="P233" i="1" s="1"/>
  <c r="Q233" i="1" s="1"/>
  <c r="E233" i="1"/>
  <c r="D233" i="1"/>
  <c r="C233" i="1"/>
  <c r="B233" i="1"/>
  <c r="A233" i="1"/>
  <c r="L232" i="1"/>
  <c r="G232" i="1"/>
  <c r="F232" i="1"/>
  <c r="P232" i="1" s="1"/>
  <c r="Q232" i="1" s="1"/>
  <c r="E232" i="1"/>
  <c r="D232" i="1"/>
  <c r="C232" i="1"/>
  <c r="B232" i="1"/>
  <c r="A232" i="1"/>
  <c r="L231" i="1"/>
  <c r="G231" i="1"/>
  <c r="F231" i="1"/>
  <c r="P231" i="1" s="1"/>
  <c r="Q231" i="1" s="1"/>
  <c r="E231" i="1"/>
  <c r="D231" i="1"/>
  <c r="C231" i="1"/>
  <c r="B231" i="1"/>
  <c r="A231" i="1"/>
  <c r="K230" i="1"/>
  <c r="J230" i="1"/>
  <c r="I230" i="1"/>
  <c r="H230" i="1"/>
  <c r="L230" i="1" s="1"/>
  <c r="G230" i="1"/>
  <c r="F230" i="1"/>
  <c r="P230" i="1" s="1"/>
  <c r="E230" i="1"/>
  <c r="D230" i="1"/>
  <c r="C230" i="1"/>
  <c r="B230" i="1"/>
  <c r="A230" i="1"/>
  <c r="L229" i="1"/>
  <c r="G229" i="1"/>
  <c r="F229" i="1"/>
  <c r="P229" i="1" s="1"/>
  <c r="Q229" i="1" s="1"/>
  <c r="E229" i="1"/>
  <c r="D229" i="1"/>
  <c r="C229" i="1"/>
  <c r="B229" i="1"/>
  <c r="A229" i="1"/>
  <c r="L228" i="1"/>
  <c r="G228" i="1"/>
  <c r="F228" i="1"/>
  <c r="P228" i="1" s="1"/>
  <c r="Q228" i="1" s="1"/>
  <c r="E228" i="1"/>
  <c r="D228" i="1"/>
  <c r="C228" i="1"/>
  <c r="B228" i="1"/>
  <c r="A228" i="1"/>
  <c r="K227" i="1"/>
  <c r="J227" i="1"/>
  <c r="I227" i="1"/>
  <c r="H227" i="1"/>
  <c r="L227" i="1" s="1"/>
  <c r="G227" i="1"/>
  <c r="F227" i="1"/>
  <c r="P227" i="1" s="1"/>
  <c r="E227" i="1"/>
  <c r="D227" i="1"/>
  <c r="C227" i="1"/>
  <c r="B227" i="1"/>
  <c r="A227" i="1"/>
  <c r="L226" i="1"/>
  <c r="G226" i="1"/>
  <c r="F226" i="1"/>
  <c r="P226" i="1" s="1"/>
  <c r="Q226" i="1" s="1"/>
  <c r="E226" i="1"/>
  <c r="D226" i="1"/>
  <c r="C226" i="1"/>
  <c r="B226" i="1"/>
  <c r="A226" i="1"/>
  <c r="L225" i="1"/>
  <c r="G225" i="1"/>
  <c r="F225" i="1"/>
  <c r="P225" i="1" s="1"/>
  <c r="E225" i="1"/>
  <c r="D225" i="1"/>
  <c r="C225" i="1"/>
  <c r="B225" i="1"/>
  <c r="A225" i="1"/>
  <c r="K224" i="1"/>
  <c r="J224" i="1"/>
  <c r="I224" i="1"/>
  <c r="H224" i="1"/>
  <c r="L224" i="1" s="1"/>
  <c r="G224" i="1"/>
  <c r="F224" i="1"/>
  <c r="P224" i="1" s="1"/>
  <c r="E224" i="1"/>
  <c r="D224" i="1"/>
  <c r="C224" i="1"/>
  <c r="B224" i="1"/>
  <c r="A224" i="1"/>
  <c r="L223" i="1"/>
  <c r="G223" i="1"/>
  <c r="F223" i="1"/>
  <c r="P223" i="1" s="1"/>
  <c r="Q223" i="1" s="1"/>
  <c r="E223" i="1"/>
  <c r="D223" i="1"/>
  <c r="C223" i="1"/>
  <c r="B223" i="1"/>
  <c r="A223" i="1"/>
  <c r="L222" i="1"/>
  <c r="G222" i="1"/>
  <c r="F222" i="1"/>
  <c r="P222" i="1" s="1"/>
  <c r="Q222" i="1" s="1"/>
  <c r="E222" i="1"/>
  <c r="D222" i="1"/>
  <c r="C222" i="1"/>
  <c r="B222" i="1"/>
  <c r="A222" i="1"/>
  <c r="K221" i="1"/>
  <c r="J221" i="1"/>
  <c r="I221" i="1"/>
  <c r="H221" i="1"/>
  <c r="L221" i="1" s="1"/>
  <c r="G221" i="1"/>
  <c r="F221" i="1"/>
  <c r="E221" i="1"/>
  <c r="D221" i="1"/>
  <c r="C221" i="1"/>
  <c r="B221" i="1"/>
  <c r="A221" i="1"/>
  <c r="L220" i="1"/>
  <c r="G220" i="1"/>
  <c r="F220" i="1"/>
  <c r="P220" i="1" s="1"/>
  <c r="Q220" i="1" s="1"/>
  <c r="E220" i="1"/>
  <c r="D220" i="1"/>
  <c r="C220" i="1"/>
  <c r="B220" i="1"/>
  <c r="A220" i="1"/>
  <c r="L219" i="1"/>
  <c r="G219" i="1"/>
  <c r="F219" i="1"/>
  <c r="P219" i="1" s="1"/>
  <c r="Q219" i="1" s="1"/>
  <c r="E219" i="1"/>
  <c r="D219" i="1"/>
  <c r="C219" i="1"/>
  <c r="B219" i="1"/>
  <c r="A219" i="1"/>
  <c r="L218" i="1"/>
  <c r="G218" i="1"/>
  <c r="F218" i="1"/>
  <c r="P218" i="1" s="1"/>
  <c r="Q218" i="1" s="1"/>
  <c r="E218" i="1"/>
  <c r="D218" i="1"/>
  <c r="C218" i="1"/>
  <c r="B218" i="1"/>
  <c r="A218" i="1"/>
  <c r="K217" i="1"/>
  <c r="J217" i="1"/>
  <c r="I217" i="1"/>
  <c r="H217" i="1"/>
  <c r="L217" i="1" s="1"/>
  <c r="G217" i="1"/>
  <c r="F217" i="1"/>
  <c r="P217" i="1" s="1"/>
  <c r="E217" i="1"/>
  <c r="D217" i="1"/>
  <c r="C217" i="1"/>
  <c r="B217" i="1"/>
  <c r="A217" i="1"/>
  <c r="L216" i="1"/>
  <c r="G216" i="1"/>
  <c r="F216" i="1"/>
  <c r="P216" i="1" s="1"/>
  <c r="Q216" i="1" s="1"/>
  <c r="E216" i="1"/>
  <c r="D216" i="1"/>
  <c r="C216" i="1"/>
  <c r="B216" i="1"/>
  <c r="A216" i="1"/>
  <c r="L215" i="1"/>
  <c r="G215" i="1"/>
  <c r="F215" i="1"/>
  <c r="P215" i="1" s="1"/>
  <c r="Q215" i="1" s="1"/>
  <c r="E215" i="1"/>
  <c r="D215" i="1"/>
  <c r="C215" i="1"/>
  <c r="B215" i="1"/>
  <c r="A215" i="1"/>
  <c r="L214" i="1"/>
  <c r="G214" i="1"/>
  <c r="F214" i="1"/>
  <c r="P214" i="1" s="1"/>
  <c r="Q214" i="1" s="1"/>
  <c r="E214" i="1"/>
  <c r="D214" i="1"/>
  <c r="C214" i="1"/>
  <c r="B214" i="1"/>
  <c r="A214" i="1"/>
  <c r="K213" i="1"/>
  <c r="J213" i="1"/>
  <c r="I213" i="1"/>
  <c r="H213" i="1"/>
  <c r="L213" i="1" s="1"/>
  <c r="G213" i="1"/>
  <c r="F213" i="1"/>
  <c r="P213" i="1" s="1"/>
  <c r="E213" i="1"/>
  <c r="D213" i="1"/>
  <c r="C213" i="1"/>
  <c r="B213" i="1"/>
  <c r="A213" i="1"/>
  <c r="L212" i="1"/>
  <c r="G212" i="1"/>
  <c r="F212" i="1"/>
  <c r="P212" i="1" s="1"/>
  <c r="Q212" i="1" s="1"/>
  <c r="E212" i="1"/>
  <c r="D212" i="1"/>
  <c r="C212" i="1"/>
  <c r="B212" i="1"/>
  <c r="A212" i="1"/>
  <c r="L211" i="1"/>
  <c r="G211" i="1"/>
  <c r="F211" i="1"/>
  <c r="P211" i="1" s="1"/>
  <c r="Q211" i="1" s="1"/>
  <c r="E211" i="1"/>
  <c r="D211" i="1"/>
  <c r="C211" i="1"/>
  <c r="B211" i="1"/>
  <c r="A211" i="1"/>
  <c r="L210" i="1"/>
  <c r="G210" i="1"/>
  <c r="F210" i="1"/>
  <c r="P210" i="1" s="1"/>
  <c r="Q210" i="1" s="1"/>
  <c r="E210" i="1"/>
  <c r="D210" i="1"/>
  <c r="C210" i="1"/>
  <c r="B210" i="1"/>
  <c r="A210" i="1"/>
  <c r="L209" i="1"/>
  <c r="G209" i="1"/>
  <c r="F209" i="1"/>
  <c r="P209" i="1" s="1"/>
  <c r="Q209" i="1" s="1"/>
  <c r="E209" i="1"/>
  <c r="D209" i="1"/>
  <c r="C209" i="1"/>
  <c r="B209" i="1"/>
  <c r="A209" i="1"/>
  <c r="L208" i="1"/>
  <c r="G208" i="1"/>
  <c r="F208" i="1"/>
  <c r="P208" i="1" s="1"/>
  <c r="Q208" i="1" s="1"/>
  <c r="E208" i="1"/>
  <c r="D208" i="1"/>
  <c r="C208" i="1"/>
  <c r="B208" i="1"/>
  <c r="A208" i="1"/>
  <c r="K207" i="1"/>
  <c r="J207" i="1"/>
  <c r="I207" i="1"/>
  <c r="H207" i="1"/>
  <c r="L207" i="1" s="1"/>
  <c r="G207" i="1"/>
  <c r="F207" i="1"/>
  <c r="P207" i="1" s="1"/>
  <c r="E207" i="1"/>
  <c r="D207" i="1"/>
  <c r="C207" i="1"/>
  <c r="B207" i="1"/>
  <c r="A207" i="1"/>
  <c r="K206" i="1"/>
  <c r="J206" i="1"/>
  <c r="I206" i="1"/>
  <c r="H206" i="1"/>
  <c r="L206" i="1" s="1"/>
  <c r="G206" i="1"/>
  <c r="F206" i="1"/>
  <c r="P206" i="1" s="1"/>
  <c r="E206" i="1"/>
  <c r="D206" i="1"/>
  <c r="C206" i="1"/>
  <c r="B206" i="1"/>
  <c r="A206" i="1"/>
  <c r="L205" i="1"/>
  <c r="G205" i="1"/>
  <c r="F205" i="1"/>
  <c r="P205" i="1" s="1"/>
  <c r="Q205" i="1" s="1"/>
  <c r="E205" i="1"/>
  <c r="D205" i="1"/>
  <c r="C205" i="1"/>
  <c r="B205" i="1"/>
  <c r="A205" i="1"/>
  <c r="L204" i="1"/>
  <c r="G204" i="1"/>
  <c r="F204" i="1"/>
  <c r="P204" i="1" s="1"/>
  <c r="Q204" i="1" s="1"/>
  <c r="E204" i="1"/>
  <c r="D204" i="1"/>
  <c r="C204" i="1"/>
  <c r="B204" i="1"/>
  <c r="A204" i="1"/>
  <c r="L203" i="1"/>
  <c r="G203" i="1"/>
  <c r="F203" i="1"/>
  <c r="P203" i="1" s="1"/>
  <c r="Q203" i="1" s="1"/>
  <c r="E203" i="1"/>
  <c r="D203" i="1"/>
  <c r="C203" i="1"/>
  <c r="B203" i="1"/>
  <c r="A203" i="1"/>
  <c r="K202" i="1"/>
  <c r="J202" i="1"/>
  <c r="I202" i="1"/>
  <c r="H202" i="1"/>
  <c r="L202" i="1" s="1"/>
  <c r="G202" i="1"/>
  <c r="F202" i="1"/>
  <c r="P202" i="1" s="1"/>
  <c r="E202" i="1"/>
  <c r="D202" i="1"/>
  <c r="C202" i="1"/>
  <c r="B202" i="1"/>
  <c r="A202" i="1"/>
  <c r="L201" i="1"/>
  <c r="G201" i="1"/>
  <c r="F201" i="1"/>
  <c r="P201" i="1" s="1"/>
  <c r="Q201" i="1" s="1"/>
  <c r="E201" i="1"/>
  <c r="D201" i="1"/>
  <c r="C201" i="1"/>
  <c r="B201" i="1"/>
  <c r="A201" i="1"/>
  <c r="L200" i="1"/>
  <c r="G200" i="1"/>
  <c r="F200" i="1"/>
  <c r="P200" i="1" s="1"/>
  <c r="Q200" i="1" s="1"/>
  <c r="E200" i="1"/>
  <c r="D200" i="1"/>
  <c r="C200" i="1"/>
  <c r="B200" i="1"/>
  <c r="A200" i="1"/>
  <c r="K199" i="1"/>
  <c r="J199" i="1"/>
  <c r="I199" i="1"/>
  <c r="H199" i="1"/>
  <c r="L199" i="1" s="1"/>
  <c r="G199" i="1"/>
  <c r="F199" i="1"/>
  <c r="P199" i="1" s="1"/>
  <c r="E199" i="1"/>
  <c r="D199" i="1"/>
  <c r="C199" i="1"/>
  <c r="B199" i="1"/>
  <c r="A199" i="1"/>
  <c r="L198" i="1"/>
  <c r="G198" i="1"/>
  <c r="F198" i="1"/>
  <c r="P198" i="1" s="1"/>
  <c r="Q198" i="1" s="1"/>
  <c r="E198" i="1"/>
  <c r="D198" i="1"/>
  <c r="C198" i="1"/>
  <c r="B198" i="1"/>
  <c r="A198" i="1"/>
  <c r="L197" i="1"/>
  <c r="G197" i="1"/>
  <c r="F197" i="1"/>
  <c r="P197" i="1" s="1"/>
  <c r="Q197" i="1" s="1"/>
  <c r="E197" i="1"/>
  <c r="D197" i="1"/>
  <c r="C197" i="1"/>
  <c r="B197" i="1"/>
  <c r="A197" i="1"/>
  <c r="L196" i="1"/>
  <c r="G196" i="1"/>
  <c r="F196" i="1"/>
  <c r="P196" i="1" s="1"/>
  <c r="Q196" i="1" s="1"/>
  <c r="E196" i="1"/>
  <c r="D196" i="1"/>
  <c r="C196" i="1"/>
  <c r="B196" i="1"/>
  <c r="A196" i="1"/>
  <c r="L195" i="1"/>
  <c r="G195" i="1"/>
  <c r="F195" i="1"/>
  <c r="P195" i="1" s="1"/>
  <c r="Q195" i="1" s="1"/>
  <c r="E195" i="1"/>
  <c r="D195" i="1"/>
  <c r="C195" i="1"/>
  <c r="B195" i="1"/>
  <c r="A195" i="1"/>
  <c r="L194" i="1"/>
  <c r="G194" i="1"/>
  <c r="F194" i="1"/>
  <c r="P194" i="1" s="1"/>
  <c r="Q194" i="1" s="1"/>
  <c r="E194" i="1"/>
  <c r="D194" i="1"/>
  <c r="C194" i="1"/>
  <c r="B194" i="1"/>
  <c r="A194" i="1"/>
  <c r="K193" i="1"/>
  <c r="J193" i="1"/>
  <c r="I193" i="1"/>
  <c r="H193" i="1"/>
  <c r="L193" i="1" s="1"/>
  <c r="G193" i="1"/>
  <c r="F193" i="1"/>
  <c r="P193" i="1" s="1"/>
  <c r="E193" i="1"/>
  <c r="D193" i="1"/>
  <c r="C193" i="1"/>
  <c r="B193" i="1"/>
  <c r="A193" i="1"/>
  <c r="K192" i="1"/>
  <c r="J192" i="1"/>
  <c r="I192" i="1"/>
  <c r="H192" i="1"/>
  <c r="L192" i="1" s="1"/>
  <c r="G192" i="1"/>
  <c r="F192" i="1"/>
  <c r="P192" i="1" s="1"/>
  <c r="E192" i="1"/>
  <c r="D192" i="1"/>
  <c r="C192" i="1"/>
  <c r="B192" i="1"/>
  <c r="A192" i="1"/>
  <c r="K191" i="1"/>
  <c r="J191" i="1"/>
  <c r="I191" i="1"/>
  <c r="H191" i="1"/>
  <c r="L191" i="1" s="1"/>
  <c r="G191" i="1"/>
  <c r="F191" i="1"/>
  <c r="P191" i="1" s="1"/>
  <c r="E191" i="1"/>
  <c r="D191" i="1"/>
  <c r="C191" i="1"/>
  <c r="B191" i="1"/>
  <c r="A191" i="1"/>
  <c r="L190" i="1"/>
  <c r="G190" i="1"/>
  <c r="F190" i="1"/>
  <c r="P190" i="1" s="1"/>
  <c r="Q190" i="1" s="1"/>
  <c r="E190" i="1"/>
  <c r="D190" i="1"/>
  <c r="C190" i="1"/>
  <c r="B190" i="1"/>
  <c r="A190" i="1"/>
  <c r="K189" i="1"/>
  <c r="J189" i="1"/>
  <c r="I189" i="1"/>
  <c r="H189" i="1"/>
  <c r="L189" i="1" s="1"/>
  <c r="G189" i="1"/>
  <c r="F189" i="1"/>
  <c r="P189" i="1" s="1"/>
  <c r="E189" i="1"/>
  <c r="D189" i="1"/>
  <c r="C189" i="1"/>
  <c r="B189" i="1"/>
  <c r="A189" i="1"/>
  <c r="L188" i="1"/>
  <c r="G188" i="1"/>
  <c r="F188" i="1"/>
  <c r="P188" i="1" s="1"/>
  <c r="Q188" i="1" s="1"/>
  <c r="E188" i="1"/>
  <c r="D188" i="1"/>
  <c r="C188" i="1"/>
  <c r="B188" i="1"/>
  <c r="A188" i="1"/>
  <c r="K187" i="1"/>
  <c r="J187" i="1"/>
  <c r="I187" i="1"/>
  <c r="H187" i="1"/>
  <c r="L187" i="1" s="1"/>
  <c r="G187" i="1"/>
  <c r="F187" i="1"/>
  <c r="P187" i="1" s="1"/>
  <c r="E187" i="1"/>
  <c r="D187" i="1"/>
  <c r="C187" i="1"/>
  <c r="B187" i="1"/>
  <c r="A187" i="1"/>
  <c r="K186" i="1"/>
  <c r="J186" i="1"/>
  <c r="I186" i="1"/>
  <c r="H186" i="1"/>
  <c r="L186" i="1" s="1"/>
  <c r="G186" i="1"/>
  <c r="F186" i="1"/>
  <c r="P186" i="1" s="1"/>
  <c r="E186" i="1"/>
  <c r="D186" i="1"/>
  <c r="C186" i="1"/>
  <c r="B186" i="1"/>
  <c r="A186" i="1"/>
  <c r="K185" i="1"/>
  <c r="J185" i="1"/>
  <c r="I185" i="1"/>
  <c r="H185" i="1"/>
  <c r="L185" i="1" s="1"/>
  <c r="G185" i="1"/>
  <c r="F185" i="1"/>
  <c r="P185" i="1" s="1"/>
  <c r="E185" i="1"/>
  <c r="D185" i="1"/>
  <c r="C185" i="1"/>
  <c r="B185" i="1"/>
  <c r="A185" i="1"/>
  <c r="K184" i="1"/>
  <c r="J184" i="1"/>
  <c r="I184" i="1"/>
  <c r="H184" i="1"/>
  <c r="L184" i="1" s="1"/>
  <c r="G184" i="1"/>
  <c r="F184" i="1"/>
  <c r="P184" i="1" s="1"/>
  <c r="E184" i="1"/>
  <c r="D184" i="1"/>
  <c r="C184" i="1"/>
  <c r="B184" i="1"/>
  <c r="A184" i="1"/>
  <c r="L183" i="1"/>
  <c r="G183" i="1"/>
  <c r="F183" i="1"/>
  <c r="P183" i="1" s="1"/>
  <c r="Q183" i="1" s="1"/>
  <c r="E183" i="1"/>
  <c r="D183" i="1"/>
  <c r="C183" i="1"/>
  <c r="B183" i="1"/>
  <c r="A183" i="1"/>
  <c r="K182" i="1"/>
  <c r="J182" i="1"/>
  <c r="I182" i="1"/>
  <c r="H182" i="1"/>
  <c r="L182" i="1" s="1"/>
  <c r="G182" i="1"/>
  <c r="F182" i="1"/>
  <c r="P182" i="1" s="1"/>
  <c r="E182" i="1"/>
  <c r="D182" i="1"/>
  <c r="C182" i="1"/>
  <c r="B182" i="1"/>
  <c r="A182" i="1"/>
  <c r="K181" i="1"/>
  <c r="J181" i="1"/>
  <c r="I181" i="1"/>
  <c r="H181" i="1"/>
  <c r="L181" i="1" s="1"/>
  <c r="G181" i="1"/>
  <c r="F181" i="1"/>
  <c r="P181" i="1" s="1"/>
  <c r="E181" i="1"/>
  <c r="D181" i="1"/>
  <c r="C181" i="1"/>
  <c r="B181" i="1"/>
  <c r="A181" i="1"/>
  <c r="L180" i="1"/>
  <c r="G180" i="1"/>
  <c r="F180" i="1"/>
  <c r="P180" i="1" s="1"/>
  <c r="Q180" i="1" s="1"/>
  <c r="E180" i="1"/>
  <c r="D180" i="1"/>
  <c r="C180" i="1"/>
  <c r="B180" i="1"/>
  <c r="A180" i="1"/>
  <c r="K179" i="1"/>
  <c r="J179" i="1"/>
  <c r="I179" i="1"/>
  <c r="H179" i="1"/>
  <c r="L179" i="1" s="1"/>
  <c r="G179" i="1"/>
  <c r="F179" i="1"/>
  <c r="P179" i="1" s="1"/>
  <c r="E179" i="1"/>
  <c r="D179" i="1"/>
  <c r="C179" i="1"/>
  <c r="B179" i="1"/>
  <c r="A179" i="1"/>
  <c r="K178" i="1"/>
  <c r="J178" i="1"/>
  <c r="I178" i="1"/>
  <c r="H178" i="1"/>
  <c r="L178" i="1" s="1"/>
  <c r="G178" i="1"/>
  <c r="F178" i="1"/>
  <c r="P178" i="1" s="1"/>
  <c r="E178" i="1"/>
  <c r="D178" i="1"/>
  <c r="C178" i="1"/>
  <c r="B178" i="1"/>
  <c r="A178" i="1"/>
  <c r="K177" i="1"/>
  <c r="J177" i="1"/>
  <c r="I177" i="1"/>
  <c r="H177" i="1"/>
  <c r="L177" i="1" s="1"/>
  <c r="G177" i="1"/>
  <c r="F177" i="1"/>
  <c r="P177" i="1" s="1"/>
  <c r="E177" i="1"/>
  <c r="D177" i="1"/>
  <c r="C177" i="1"/>
  <c r="B177" i="1"/>
  <c r="A177" i="1"/>
  <c r="K176" i="1"/>
  <c r="J176" i="1"/>
  <c r="I176" i="1"/>
  <c r="H176" i="1"/>
  <c r="L176" i="1" s="1"/>
  <c r="G176" i="1"/>
  <c r="F176" i="1"/>
  <c r="P176" i="1" s="1"/>
  <c r="E176" i="1"/>
  <c r="D176" i="1"/>
  <c r="C176" i="1"/>
  <c r="B176" i="1"/>
  <c r="A176" i="1"/>
  <c r="K175" i="1"/>
  <c r="J175" i="1"/>
  <c r="I175" i="1"/>
  <c r="H175" i="1"/>
  <c r="L175" i="1" s="1"/>
  <c r="G175" i="1"/>
  <c r="F175" i="1"/>
  <c r="P175" i="1" s="1"/>
  <c r="E175" i="1"/>
  <c r="D175" i="1"/>
  <c r="C175" i="1"/>
  <c r="B175" i="1"/>
  <c r="A175" i="1"/>
  <c r="L174" i="1"/>
  <c r="G174" i="1"/>
  <c r="F174" i="1"/>
  <c r="P174" i="1" s="1"/>
  <c r="Q174" i="1" s="1"/>
  <c r="E174" i="1"/>
  <c r="D174" i="1"/>
  <c r="C174" i="1"/>
  <c r="B174" i="1"/>
  <c r="A174" i="1"/>
  <c r="L173" i="1"/>
  <c r="G173" i="1"/>
  <c r="F173" i="1"/>
  <c r="P173" i="1" s="1"/>
  <c r="Q173" i="1" s="1"/>
  <c r="E173" i="1"/>
  <c r="D173" i="1"/>
  <c r="C173" i="1"/>
  <c r="B173" i="1"/>
  <c r="A173" i="1"/>
  <c r="L172" i="1"/>
  <c r="G172" i="1"/>
  <c r="F172" i="1"/>
  <c r="P172" i="1" s="1"/>
  <c r="Q172" i="1" s="1"/>
  <c r="E172" i="1"/>
  <c r="D172" i="1"/>
  <c r="C172" i="1"/>
  <c r="B172" i="1"/>
  <c r="A172" i="1"/>
  <c r="L171" i="1"/>
  <c r="G171" i="1"/>
  <c r="F171" i="1"/>
  <c r="P171" i="1" s="1"/>
  <c r="Q171" i="1" s="1"/>
  <c r="E171" i="1"/>
  <c r="D171" i="1"/>
  <c r="C171" i="1"/>
  <c r="B171" i="1"/>
  <c r="A171" i="1"/>
  <c r="L170" i="1"/>
  <c r="G170" i="1"/>
  <c r="F170" i="1"/>
  <c r="P170" i="1" s="1"/>
  <c r="Q170" i="1" s="1"/>
  <c r="E170" i="1"/>
  <c r="D170" i="1"/>
  <c r="C170" i="1"/>
  <c r="B170" i="1"/>
  <c r="A170" i="1"/>
  <c r="K169" i="1"/>
  <c r="J169" i="1"/>
  <c r="I169" i="1"/>
  <c r="H169" i="1"/>
  <c r="L169" i="1" s="1"/>
  <c r="G169" i="1"/>
  <c r="F169" i="1"/>
  <c r="E169" i="1"/>
  <c r="D169" i="1"/>
  <c r="C169" i="1"/>
  <c r="B169" i="1"/>
  <c r="A169" i="1"/>
  <c r="K168" i="1"/>
  <c r="J168" i="1"/>
  <c r="I168" i="1"/>
  <c r="H168" i="1"/>
  <c r="L168" i="1" s="1"/>
  <c r="G168" i="1"/>
  <c r="F168" i="1"/>
  <c r="E168" i="1"/>
  <c r="D168" i="1"/>
  <c r="C168" i="1"/>
  <c r="B168" i="1"/>
  <c r="A168" i="1"/>
  <c r="L167" i="1"/>
  <c r="G167" i="1"/>
  <c r="F167" i="1"/>
  <c r="P167" i="1" s="1"/>
  <c r="Q167" i="1" s="1"/>
  <c r="E167" i="1"/>
  <c r="D167" i="1"/>
  <c r="C167" i="1"/>
  <c r="B167" i="1"/>
  <c r="A167" i="1"/>
  <c r="L166" i="1"/>
  <c r="G166" i="1"/>
  <c r="F166" i="1"/>
  <c r="P166" i="1" s="1"/>
  <c r="Q166" i="1" s="1"/>
  <c r="E166" i="1"/>
  <c r="D166" i="1"/>
  <c r="C166" i="1"/>
  <c r="B166" i="1"/>
  <c r="A166" i="1"/>
  <c r="K165" i="1"/>
  <c r="J165" i="1"/>
  <c r="I165" i="1"/>
  <c r="H165" i="1"/>
  <c r="L165" i="1" s="1"/>
  <c r="G165" i="1"/>
  <c r="F165" i="1"/>
  <c r="P165" i="1" s="1"/>
  <c r="E165" i="1"/>
  <c r="D165" i="1"/>
  <c r="C165" i="1"/>
  <c r="B165" i="1"/>
  <c r="A165" i="1"/>
  <c r="L164" i="1"/>
  <c r="G164" i="1"/>
  <c r="F164" i="1"/>
  <c r="P164" i="1" s="1"/>
  <c r="Q164" i="1" s="1"/>
  <c r="E164" i="1"/>
  <c r="D164" i="1"/>
  <c r="C164" i="1"/>
  <c r="B164" i="1"/>
  <c r="A164" i="1"/>
  <c r="L163" i="1"/>
  <c r="G163" i="1"/>
  <c r="F163" i="1"/>
  <c r="P163" i="1" s="1"/>
  <c r="Q163" i="1" s="1"/>
  <c r="E163" i="1"/>
  <c r="D163" i="1"/>
  <c r="C163" i="1"/>
  <c r="B163" i="1"/>
  <c r="A163" i="1"/>
  <c r="L162" i="1"/>
  <c r="G162" i="1"/>
  <c r="F162" i="1"/>
  <c r="P162" i="1" s="1"/>
  <c r="Q162" i="1" s="1"/>
  <c r="E162" i="1"/>
  <c r="D162" i="1"/>
  <c r="C162" i="1"/>
  <c r="B162" i="1"/>
  <c r="A162" i="1"/>
  <c r="L161" i="1"/>
  <c r="G161" i="1"/>
  <c r="F161" i="1"/>
  <c r="P161" i="1" s="1"/>
  <c r="Q161" i="1" s="1"/>
  <c r="E161" i="1"/>
  <c r="D161" i="1"/>
  <c r="C161" i="1"/>
  <c r="B161" i="1"/>
  <c r="A161" i="1"/>
  <c r="L160" i="1"/>
  <c r="G160" i="1"/>
  <c r="F160" i="1"/>
  <c r="P160" i="1" s="1"/>
  <c r="Q160" i="1" s="1"/>
  <c r="E160" i="1"/>
  <c r="D160" i="1"/>
  <c r="C160" i="1"/>
  <c r="B160" i="1"/>
  <c r="A160" i="1"/>
  <c r="K159" i="1"/>
  <c r="J159" i="1"/>
  <c r="I159" i="1"/>
  <c r="H159" i="1"/>
  <c r="L159" i="1" s="1"/>
  <c r="G159" i="1"/>
  <c r="F159" i="1"/>
  <c r="P159" i="1" s="1"/>
  <c r="E159" i="1"/>
  <c r="D159" i="1"/>
  <c r="C159" i="1"/>
  <c r="B159" i="1"/>
  <c r="A159" i="1"/>
  <c r="L158" i="1"/>
  <c r="G158" i="1"/>
  <c r="F158" i="1"/>
  <c r="P158" i="1" s="1"/>
  <c r="Q158" i="1" s="1"/>
  <c r="E158" i="1"/>
  <c r="D158" i="1"/>
  <c r="C158" i="1"/>
  <c r="B158" i="1"/>
  <c r="A158" i="1"/>
  <c r="L157" i="1"/>
  <c r="G157" i="1"/>
  <c r="F157" i="1"/>
  <c r="P157" i="1" s="1"/>
  <c r="Q157" i="1" s="1"/>
  <c r="E157" i="1"/>
  <c r="D157" i="1"/>
  <c r="C157" i="1"/>
  <c r="B157" i="1"/>
  <c r="A157" i="1"/>
  <c r="L156" i="1"/>
  <c r="G156" i="1"/>
  <c r="F156" i="1"/>
  <c r="P156" i="1" s="1"/>
  <c r="Q156" i="1" s="1"/>
  <c r="E156" i="1"/>
  <c r="D156" i="1"/>
  <c r="C156" i="1"/>
  <c r="B156" i="1"/>
  <c r="A156" i="1"/>
  <c r="L155" i="1"/>
  <c r="G155" i="1"/>
  <c r="F155" i="1"/>
  <c r="P155" i="1" s="1"/>
  <c r="Q155" i="1" s="1"/>
  <c r="E155" i="1"/>
  <c r="D155" i="1"/>
  <c r="C155" i="1"/>
  <c r="B155" i="1"/>
  <c r="A155" i="1"/>
  <c r="L154" i="1"/>
  <c r="G154" i="1"/>
  <c r="F154" i="1"/>
  <c r="P154" i="1" s="1"/>
  <c r="Q154" i="1" s="1"/>
  <c r="E154" i="1"/>
  <c r="D154" i="1"/>
  <c r="C154" i="1"/>
  <c r="B154" i="1"/>
  <c r="A154" i="1"/>
  <c r="K153" i="1"/>
  <c r="J153" i="1"/>
  <c r="I153" i="1"/>
  <c r="H153" i="1"/>
  <c r="L153" i="1" s="1"/>
  <c r="G153" i="1"/>
  <c r="F153" i="1"/>
  <c r="P153" i="1" s="1"/>
  <c r="E153" i="1"/>
  <c r="D153" i="1"/>
  <c r="C153" i="1"/>
  <c r="B153" i="1"/>
  <c r="A153" i="1"/>
  <c r="K152" i="1"/>
  <c r="J152" i="1"/>
  <c r="I152" i="1"/>
  <c r="H152" i="1"/>
  <c r="L152" i="1" s="1"/>
  <c r="G152" i="1"/>
  <c r="F152" i="1"/>
  <c r="P152" i="1" s="1"/>
  <c r="E152" i="1"/>
  <c r="D152" i="1"/>
  <c r="C152" i="1"/>
  <c r="B152" i="1"/>
  <c r="A152" i="1"/>
  <c r="L151" i="1"/>
  <c r="G151" i="1"/>
  <c r="F151" i="1"/>
  <c r="P151" i="1" s="1"/>
  <c r="Q151" i="1" s="1"/>
  <c r="E151" i="1"/>
  <c r="D151" i="1"/>
  <c r="C151" i="1"/>
  <c r="B151" i="1"/>
  <c r="A151" i="1"/>
  <c r="L150" i="1"/>
  <c r="G150" i="1"/>
  <c r="F150" i="1"/>
  <c r="P150" i="1" s="1"/>
  <c r="Q150" i="1" s="1"/>
  <c r="E150" i="1"/>
  <c r="D150" i="1"/>
  <c r="C150" i="1"/>
  <c r="B150" i="1"/>
  <c r="A150" i="1"/>
  <c r="K149" i="1"/>
  <c r="J149" i="1"/>
  <c r="I149" i="1"/>
  <c r="H149" i="1"/>
  <c r="L149" i="1" s="1"/>
  <c r="G149" i="1"/>
  <c r="F149" i="1"/>
  <c r="P149" i="1" s="1"/>
  <c r="E149" i="1"/>
  <c r="D149" i="1"/>
  <c r="C149" i="1"/>
  <c r="B149" i="1"/>
  <c r="A149" i="1"/>
  <c r="L148" i="1"/>
  <c r="G148" i="1"/>
  <c r="F148" i="1"/>
  <c r="P148" i="1" s="1"/>
  <c r="Q148" i="1" s="1"/>
  <c r="E148" i="1"/>
  <c r="D148" i="1"/>
  <c r="C148" i="1"/>
  <c r="B148" i="1"/>
  <c r="A148" i="1"/>
  <c r="L147" i="1"/>
  <c r="G147" i="1"/>
  <c r="F147" i="1"/>
  <c r="P147" i="1" s="1"/>
  <c r="Q147" i="1" s="1"/>
  <c r="E147" i="1"/>
  <c r="D147" i="1"/>
  <c r="C147" i="1"/>
  <c r="B147" i="1"/>
  <c r="A147" i="1"/>
  <c r="L146" i="1"/>
  <c r="G146" i="1"/>
  <c r="F146" i="1"/>
  <c r="P146" i="1" s="1"/>
  <c r="E146" i="1"/>
  <c r="D146" i="1"/>
  <c r="C146" i="1"/>
  <c r="B146" i="1"/>
  <c r="A146" i="1"/>
  <c r="L145" i="1"/>
  <c r="G145" i="1"/>
  <c r="F145" i="1"/>
  <c r="P145" i="1" s="1"/>
  <c r="Q145" i="1" s="1"/>
  <c r="E145" i="1"/>
  <c r="D145" i="1"/>
  <c r="C145" i="1"/>
  <c r="B145" i="1"/>
  <c r="A145" i="1"/>
  <c r="L144" i="1"/>
  <c r="G144" i="1"/>
  <c r="F144" i="1"/>
  <c r="P144" i="1" s="1"/>
  <c r="Q144" i="1" s="1"/>
  <c r="E144" i="1"/>
  <c r="D144" i="1"/>
  <c r="C144" i="1"/>
  <c r="B144" i="1"/>
  <c r="A144" i="1"/>
  <c r="L143" i="1"/>
  <c r="G143" i="1"/>
  <c r="F143" i="1"/>
  <c r="P143" i="1" s="1"/>
  <c r="Q143" i="1" s="1"/>
  <c r="E143" i="1"/>
  <c r="D143" i="1"/>
  <c r="C143" i="1"/>
  <c r="B143" i="1"/>
  <c r="A143" i="1"/>
  <c r="L142" i="1"/>
  <c r="G142" i="1"/>
  <c r="F142" i="1"/>
  <c r="P142" i="1" s="1"/>
  <c r="Q142" i="1" s="1"/>
  <c r="E142" i="1"/>
  <c r="D142" i="1"/>
  <c r="C142" i="1"/>
  <c r="B142" i="1"/>
  <c r="A142" i="1"/>
  <c r="K141" i="1"/>
  <c r="J141" i="1"/>
  <c r="I141" i="1"/>
  <c r="H141" i="1"/>
  <c r="L141" i="1" s="1"/>
  <c r="G141" i="1"/>
  <c r="F141" i="1"/>
  <c r="P141" i="1" s="1"/>
  <c r="E141" i="1"/>
  <c r="D141" i="1"/>
  <c r="C141" i="1"/>
  <c r="B141" i="1"/>
  <c r="A141" i="1"/>
  <c r="L140" i="1"/>
  <c r="G140" i="1"/>
  <c r="F140" i="1"/>
  <c r="P140" i="1" s="1"/>
  <c r="Q140" i="1" s="1"/>
  <c r="E140" i="1"/>
  <c r="D140" i="1"/>
  <c r="C140" i="1"/>
  <c r="B140" i="1"/>
  <c r="A140" i="1"/>
  <c r="L139" i="1"/>
  <c r="G139" i="1"/>
  <c r="F139" i="1"/>
  <c r="P139" i="1" s="1"/>
  <c r="Q139" i="1" s="1"/>
  <c r="E139" i="1"/>
  <c r="D139" i="1"/>
  <c r="C139" i="1"/>
  <c r="B139" i="1"/>
  <c r="A139" i="1"/>
  <c r="K138" i="1"/>
  <c r="J138" i="1"/>
  <c r="I138" i="1"/>
  <c r="H138" i="1"/>
  <c r="L138" i="1" s="1"/>
  <c r="G138" i="1"/>
  <c r="F138" i="1"/>
  <c r="P138" i="1" s="1"/>
  <c r="E138" i="1"/>
  <c r="D138" i="1"/>
  <c r="C138" i="1"/>
  <c r="B138" i="1"/>
  <c r="A138" i="1"/>
  <c r="K137" i="1"/>
  <c r="J137" i="1"/>
  <c r="I137" i="1"/>
  <c r="H137" i="1"/>
  <c r="L137" i="1" s="1"/>
  <c r="G137" i="1"/>
  <c r="F137" i="1"/>
  <c r="E137" i="1"/>
  <c r="D137" i="1"/>
  <c r="C137" i="1"/>
  <c r="B137" i="1"/>
  <c r="A137" i="1"/>
  <c r="L136" i="1"/>
  <c r="G136" i="1"/>
  <c r="F136" i="1"/>
  <c r="P136" i="1" s="1"/>
  <c r="Q136" i="1" s="1"/>
  <c r="E136" i="1"/>
  <c r="D136" i="1"/>
  <c r="C136" i="1"/>
  <c r="B136" i="1"/>
  <c r="A136" i="1"/>
  <c r="L135" i="1"/>
  <c r="G135" i="1"/>
  <c r="F135" i="1"/>
  <c r="P135" i="1" s="1"/>
  <c r="Q135" i="1" s="1"/>
  <c r="E135" i="1"/>
  <c r="D135" i="1"/>
  <c r="C135" i="1"/>
  <c r="B135" i="1"/>
  <c r="A135" i="1"/>
  <c r="L134" i="1"/>
  <c r="G134" i="1"/>
  <c r="F134" i="1"/>
  <c r="P134" i="1" s="1"/>
  <c r="Q134" i="1" s="1"/>
  <c r="E134" i="1"/>
  <c r="D134" i="1"/>
  <c r="C134" i="1"/>
  <c r="B134" i="1"/>
  <c r="A134" i="1"/>
  <c r="K133" i="1"/>
  <c r="J133" i="1"/>
  <c r="I133" i="1"/>
  <c r="H133" i="1"/>
  <c r="L133" i="1" s="1"/>
  <c r="G133" i="1"/>
  <c r="F133" i="1"/>
  <c r="P133" i="1" s="1"/>
  <c r="E133" i="1"/>
  <c r="D133" i="1"/>
  <c r="C133" i="1"/>
  <c r="B133" i="1"/>
  <c r="A133" i="1"/>
  <c r="K132" i="1"/>
  <c r="J132" i="1"/>
  <c r="I132" i="1"/>
  <c r="H132" i="1"/>
  <c r="L132" i="1" s="1"/>
  <c r="G132" i="1"/>
  <c r="F132" i="1"/>
  <c r="P132" i="1" s="1"/>
  <c r="E132" i="1"/>
  <c r="D132" i="1"/>
  <c r="C132" i="1"/>
  <c r="B132" i="1"/>
  <c r="A132" i="1"/>
  <c r="L131" i="1"/>
  <c r="G131" i="1"/>
  <c r="F131" i="1"/>
  <c r="P131" i="1" s="1"/>
  <c r="Q131" i="1" s="1"/>
  <c r="E131" i="1"/>
  <c r="D131" i="1"/>
  <c r="C131" i="1"/>
  <c r="B131" i="1"/>
  <c r="A131" i="1"/>
  <c r="K130" i="1"/>
  <c r="J130" i="1"/>
  <c r="I130" i="1"/>
  <c r="H130" i="1"/>
  <c r="L130" i="1" s="1"/>
  <c r="G130" i="1"/>
  <c r="F130" i="1"/>
  <c r="P130" i="1" s="1"/>
  <c r="E130" i="1"/>
  <c r="D130" i="1"/>
  <c r="C130" i="1"/>
  <c r="B130" i="1"/>
  <c r="A130" i="1"/>
  <c r="L129" i="1"/>
  <c r="G129" i="1"/>
  <c r="F129" i="1"/>
  <c r="P129" i="1" s="1"/>
  <c r="Q129" i="1" s="1"/>
  <c r="E129" i="1"/>
  <c r="D129" i="1"/>
  <c r="C129" i="1"/>
  <c r="B129" i="1"/>
  <c r="A129" i="1"/>
  <c r="L128" i="1"/>
  <c r="G128" i="1"/>
  <c r="F128" i="1"/>
  <c r="P128" i="1" s="1"/>
  <c r="Q128" i="1" s="1"/>
  <c r="E128" i="1"/>
  <c r="D128" i="1"/>
  <c r="C128" i="1"/>
  <c r="B128" i="1"/>
  <c r="A128" i="1"/>
  <c r="L127" i="1"/>
  <c r="G127" i="1"/>
  <c r="F127" i="1"/>
  <c r="P127" i="1" s="1"/>
  <c r="Q127" i="1" s="1"/>
  <c r="E127" i="1"/>
  <c r="D127" i="1"/>
  <c r="C127" i="1"/>
  <c r="B127" i="1"/>
  <c r="A127" i="1"/>
  <c r="L126" i="1"/>
  <c r="G126" i="1"/>
  <c r="F126" i="1"/>
  <c r="P126" i="1" s="1"/>
  <c r="Q126" i="1" s="1"/>
  <c r="E126" i="1"/>
  <c r="D126" i="1"/>
  <c r="C126" i="1"/>
  <c r="B126" i="1"/>
  <c r="A126" i="1"/>
  <c r="L125" i="1"/>
  <c r="G125" i="1"/>
  <c r="F125" i="1"/>
  <c r="P125" i="1" s="1"/>
  <c r="Q125" i="1" s="1"/>
  <c r="E125" i="1"/>
  <c r="D125" i="1"/>
  <c r="C125" i="1"/>
  <c r="B125" i="1"/>
  <c r="A125" i="1"/>
  <c r="L124" i="1"/>
  <c r="G124" i="1"/>
  <c r="F124" i="1"/>
  <c r="P124" i="1" s="1"/>
  <c r="Q124" i="1" s="1"/>
  <c r="E124" i="1"/>
  <c r="D124" i="1"/>
  <c r="C124" i="1"/>
  <c r="B124" i="1"/>
  <c r="A124" i="1"/>
  <c r="L123" i="1"/>
  <c r="G123" i="1"/>
  <c r="F123" i="1"/>
  <c r="P123" i="1" s="1"/>
  <c r="Q123" i="1" s="1"/>
  <c r="E123" i="1"/>
  <c r="D123" i="1"/>
  <c r="C123" i="1"/>
  <c r="B123" i="1"/>
  <c r="A123" i="1"/>
  <c r="L122" i="1"/>
  <c r="G122" i="1"/>
  <c r="F122" i="1"/>
  <c r="P122" i="1" s="1"/>
  <c r="Q122" i="1" s="1"/>
  <c r="E122" i="1"/>
  <c r="D122" i="1"/>
  <c r="C122" i="1"/>
  <c r="B122" i="1"/>
  <c r="A122" i="1"/>
  <c r="K121" i="1"/>
  <c r="J121" i="1"/>
  <c r="I121" i="1"/>
  <c r="H121" i="1"/>
  <c r="L121" i="1" s="1"/>
  <c r="G121" i="1"/>
  <c r="F121" i="1"/>
  <c r="P121" i="1" s="1"/>
  <c r="E121" i="1"/>
  <c r="D121" i="1"/>
  <c r="C121" i="1"/>
  <c r="B121" i="1"/>
  <c r="A121" i="1"/>
  <c r="L120" i="1"/>
  <c r="G120" i="1"/>
  <c r="F120" i="1"/>
  <c r="P120" i="1" s="1"/>
  <c r="Q120" i="1" s="1"/>
  <c r="E120" i="1"/>
  <c r="D120" i="1"/>
  <c r="C120" i="1"/>
  <c r="B120" i="1"/>
  <c r="A120" i="1"/>
  <c r="L119" i="1"/>
  <c r="G119" i="1"/>
  <c r="F119" i="1"/>
  <c r="P119" i="1" s="1"/>
  <c r="Q119" i="1" s="1"/>
  <c r="E119" i="1"/>
  <c r="D119" i="1"/>
  <c r="C119" i="1"/>
  <c r="B119" i="1"/>
  <c r="A119" i="1"/>
  <c r="L118" i="1"/>
  <c r="G118" i="1"/>
  <c r="F118" i="1"/>
  <c r="P118" i="1" s="1"/>
  <c r="Q118" i="1" s="1"/>
  <c r="E118" i="1"/>
  <c r="D118" i="1"/>
  <c r="C118" i="1"/>
  <c r="B118" i="1"/>
  <c r="A118" i="1"/>
  <c r="L117" i="1"/>
  <c r="G117" i="1"/>
  <c r="F117" i="1"/>
  <c r="P117" i="1" s="1"/>
  <c r="Q117" i="1" s="1"/>
  <c r="E117" i="1"/>
  <c r="D117" i="1"/>
  <c r="C117" i="1"/>
  <c r="B117" i="1"/>
  <c r="A117" i="1"/>
  <c r="K116" i="1"/>
  <c r="J116" i="1"/>
  <c r="I116" i="1"/>
  <c r="H116" i="1"/>
  <c r="L116" i="1" s="1"/>
  <c r="G116" i="1"/>
  <c r="F116" i="1"/>
  <c r="P116" i="1" s="1"/>
  <c r="E116" i="1"/>
  <c r="D116" i="1"/>
  <c r="C116" i="1"/>
  <c r="B116" i="1"/>
  <c r="A116" i="1"/>
  <c r="K115" i="1"/>
  <c r="J115" i="1"/>
  <c r="I115" i="1"/>
  <c r="H115" i="1"/>
  <c r="L115" i="1" s="1"/>
  <c r="G115" i="1"/>
  <c r="F115" i="1"/>
  <c r="P115" i="1" s="1"/>
  <c r="E115" i="1"/>
  <c r="D115" i="1"/>
  <c r="C115" i="1"/>
  <c r="B115" i="1"/>
  <c r="A115" i="1"/>
  <c r="K114" i="1"/>
  <c r="J114" i="1"/>
  <c r="I114" i="1"/>
  <c r="H114" i="1"/>
  <c r="L114" i="1" s="1"/>
  <c r="G114" i="1"/>
  <c r="F114" i="1"/>
  <c r="E114" i="1"/>
  <c r="D114" i="1"/>
  <c r="C114" i="1"/>
  <c r="B114" i="1"/>
  <c r="A114" i="1"/>
  <c r="K113" i="1"/>
  <c r="J113" i="1"/>
  <c r="I113" i="1"/>
  <c r="H113" i="1"/>
  <c r="L113" i="1" s="1"/>
  <c r="G113" i="1"/>
  <c r="F113" i="1"/>
  <c r="P113" i="1" s="1"/>
  <c r="E113" i="1"/>
  <c r="D113" i="1"/>
  <c r="C113" i="1"/>
  <c r="B113" i="1"/>
  <c r="A113" i="1"/>
  <c r="K112" i="1"/>
  <c r="J112" i="1"/>
  <c r="I112" i="1"/>
  <c r="H112" i="1"/>
  <c r="L112" i="1" s="1"/>
  <c r="G112" i="1"/>
  <c r="F112" i="1"/>
  <c r="P112" i="1" s="1"/>
  <c r="E112" i="1"/>
  <c r="D112" i="1"/>
  <c r="C112" i="1"/>
  <c r="B112" i="1"/>
  <c r="A112" i="1"/>
  <c r="K111" i="1"/>
  <c r="J111" i="1"/>
  <c r="I111" i="1"/>
  <c r="H111" i="1"/>
  <c r="L111" i="1" s="1"/>
  <c r="G111" i="1"/>
  <c r="F111" i="1"/>
  <c r="P111" i="1" s="1"/>
  <c r="E111" i="1"/>
  <c r="D111" i="1"/>
  <c r="C111" i="1"/>
  <c r="B111" i="1"/>
  <c r="A111" i="1"/>
  <c r="K110" i="1"/>
  <c r="J110" i="1"/>
  <c r="I110" i="1"/>
  <c r="H110" i="1"/>
  <c r="L110" i="1" s="1"/>
  <c r="G110" i="1"/>
  <c r="F110" i="1"/>
  <c r="P110" i="1" s="1"/>
  <c r="E110" i="1"/>
  <c r="D110" i="1"/>
  <c r="C110" i="1"/>
  <c r="B110" i="1"/>
  <c r="A110" i="1"/>
  <c r="K109" i="1"/>
  <c r="J109" i="1"/>
  <c r="I109" i="1"/>
  <c r="H109" i="1"/>
  <c r="L109" i="1" s="1"/>
  <c r="G109" i="1"/>
  <c r="F109" i="1"/>
  <c r="P109" i="1" s="1"/>
  <c r="E109" i="1"/>
  <c r="D109" i="1"/>
  <c r="C109" i="1"/>
  <c r="B109" i="1"/>
  <c r="A109" i="1"/>
  <c r="K108" i="1"/>
  <c r="J108" i="1"/>
  <c r="I108" i="1"/>
  <c r="H108" i="1"/>
  <c r="L108" i="1" s="1"/>
  <c r="G108" i="1"/>
  <c r="F108" i="1"/>
  <c r="P108" i="1" s="1"/>
  <c r="E108" i="1"/>
  <c r="D108" i="1"/>
  <c r="C108" i="1"/>
  <c r="B108" i="1"/>
  <c r="A108" i="1"/>
  <c r="L107" i="1"/>
  <c r="G107" i="1"/>
  <c r="F107" i="1"/>
  <c r="P107" i="1" s="1"/>
  <c r="Q107" i="1" s="1"/>
  <c r="E107" i="1"/>
  <c r="D107" i="1"/>
  <c r="C107" i="1"/>
  <c r="B107" i="1"/>
  <c r="A107" i="1"/>
  <c r="L106" i="1"/>
  <c r="G106" i="1"/>
  <c r="F106" i="1"/>
  <c r="P106" i="1" s="1"/>
  <c r="Q106" i="1" s="1"/>
  <c r="E106" i="1"/>
  <c r="D106" i="1"/>
  <c r="C106" i="1"/>
  <c r="B106" i="1"/>
  <c r="A106" i="1"/>
  <c r="L105" i="1"/>
  <c r="G105" i="1"/>
  <c r="F105" i="1"/>
  <c r="P105" i="1" s="1"/>
  <c r="Q105" i="1" s="1"/>
  <c r="E105" i="1"/>
  <c r="D105" i="1"/>
  <c r="C105" i="1"/>
  <c r="B105" i="1"/>
  <c r="A105" i="1"/>
  <c r="L104" i="1"/>
  <c r="G104" i="1"/>
  <c r="F104" i="1"/>
  <c r="P104" i="1" s="1"/>
  <c r="Q104" i="1" s="1"/>
  <c r="E104" i="1"/>
  <c r="D104" i="1"/>
  <c r="C104" i="1"/>
  <c r="B104" i="1"/>
  <c r="A104" i="1"/>
  <c r="L103" i="1"/>
  <c r="G103" i="1"/>
  <c r="F103" i="1"/>
  <c r="P103" i="1" s="1"/>
  <c r="E103" i="1"/>
  <c r="D103" i="1"/>
  <c r="C103" i="1"/>
  <c r="B103" i="1"/>
  <c r="A103" i="1"/>
  <c r="K102" i="1"/>
  <c r="J102" i="1"/>
  <c r="I102" i="1"/>
  <c r="H102" i="1"/>
  <c r="L102" i="1" s="1"/>
  <c r="G102" i="1"/>
  <c r="F102" i="1"/>
  <c r="P102" i="1" s="1"/>
  <c r="E102" i="1"/>
  <c r="D102" i="1"/>
  <c r="C102" i="1"/>
  <c r="B102" i="1"/>
  <c r="A102" i="1"/>
  <c r="L101" i="1"/>
  <c r="G101" i="1"/>
  <c r="F101" i="1"/>
  <c r="P101" i="1" s="1"/>
  <c r="Q101" i="1" s="1"/>
  <c r="E101" i="1"/>
  <c r="D101" i="1"/>
  <c r="C101" i="1"/>
  <c r="B101" i="1"/>
  <c r="A101" i="1"/>
  <c r="K100" i="1"/>
  <c r="J100" i="1"/>
  <c r="I100" i="1"/>
  <c r="H100" i="1"/>
  <c r="L100" i="1" s="1"/>
  <c r="G100" i="1"/>
  <c r="F100" i="1"/>
  <c r="P100" i="1" s="1"/>
  <c r="E100" i="1"/>
  <c r="D100" i="1"/>
  <c r="C100" i="1"/>
  <c r="B100" i="1"/>
  <c r="A100" i="1"/>
  <c r="K99" i="1"/>
  <c r="J99" i="1"/>
  <c r="I99" i="1"/>
  <c r="H99" i="1"/>
  <c r="L99" i="1" s="1"/>
  <c r="G99" i="1"/>
  <c r="F99" i="1"/>
  <c r="P99" i="1" s="1"/>
  <c r="E99" i="1"/>
  <c r="D99" i="1"/>
  <c r="C99" i="1"/>
  <c r="B99" i="1"/>
  <c r="A99" i="1"/>
  <c r="K98" i="1"/>
  <c r="J98" i="1"/>
  <c r="I98" i="1"/>
  <c r="H98" i="1"/>
  <c r="L98" i="1" s="1"/>
  <c r="G98" i="1"/>
  <c r="F98" i="1"/>
  <c r="P98" i="1" s="1"/>
  <c r="E98" i="1"/>
  <c r="D98" i="1"/>
  <c r="C98" i="1"/>
  <c r="B98" i="1"/>
  <c r="A98" i="1"/>
  <c r="K97" i="1"/>
  <c r="J97" i="1"/>
  <c r="I97" i="1"/>
  <c r="H97" i="1"/>
  <c r="L97" i="1" s="1"/>
  <c r="G97" i="1"/>
  <c r="F97" i="1"/>
  <c r="P97" i="1" s="1"/>
  <c r="E97" i="1"/>
  <c r="D97" i="1"/>
  <c r="C97" i="1"/>
  <c r="B97" i="1"/>
  <c r="A97" i="1"/>
  <c r="K96" i="1"/>
  <c r="J96" i="1"/>
  <c r="I96" i="1"/>
  <c r="H96" i="1"/>
  <c r="L96" i="1" s="1"/>
  <c r="G96" i="1"/>
  <c r="F96" i="1"/>
  <c r="P96" i="1" s="1"/>
  <c r="E96" i="1"/>
  <c r="D96" i="1"/>
  <c r="C96" i="1"/>
  <c r="B96" i="1"/>
  <c r="A96" i="1"/>
  <c r="L95" i="1"/>
  <c r="G95" i="1"/>
  <c r="F95" i="1"/>
  <c r="P95" i="1" s="1"/>
  <c r="Q95" i="1" s="1"/>
  <c r="E95" i="1"/>
  <c r="D95" i="1"/>
  <c r="C95" i="1"/>
  <c r="B95" i="1"/>
  <c r="A95" i="1"/>
  <c r="K94" i="1"/>
  <c r="J94" i="1"/>
  <c r="I94" i="1"/>
  <c r="H94" i="1"/>
  <c r="L94" i="1" s="1"/>
  <c r="G94" i="1"/>
  <c r="F94" i="1"/>
  <c r="P94" i="1" s="1"/>
  <c r="E94" i="1"/>
  <c r="D94" i="1"/>
  <c r="C94" i="1"/>
  <c r="B94" i="1"/>
  <c r="A94" i="1"/>
  <c r="L93" i="1"/>
  <c r="G93" i="1"/>
  <c r="F93" i="1"/>
  <c r="P93" i="1" s="1"/>
  <c r="Q93" i="1" s="1"/>
  <c r="E93" i="1"/>
  <c r="D93" i="1"/>
  <c r="C93" i="1"/>
  <c r="B93" i="1"/>
  <c r="A93" i="1"/>
  <c r="L92" i="1"/>
  <c r="G92" i="1"/>
  <c r="F92" i="1"/>
  <c r="P92" i="1" s="1"/>
  <c r="Q92" i="1" s="1"/>
  <c r="E92" i="1"/>
  <c r="D92" i="1"/>
  <c r="C92" i="1"/>
  <c r="B92" i="1"/>
  <c r="A92" i="1"/>
  <c r="L91" i="1"/>
  <c r="G91" i="1"/>
  <c r="F91" i="1"/>
  <c r="P91" i="1" s="1"/>
  <c r="Q91" i="1" s="1"/>
  <c r="E91" i="1"/>
  <c r="D91" i="1"/>
  <c r="C91" i="1"/>
  <c r="B91" i="1"/>
  <c r="A91" i="1"/>
  <c r="K90" i="1"/>
  <c r="J90" i="1"/>
  <c r="I90" i="1"/>
  <c r="H90" i="1"/>
  <c r="L90" i="1" s="1"/>
  <c r="G90" i="1"/>
  <c r="F90" i="1"/>
  <c r="P90" i="1" s="1"/>
  <c r="E90" i="1"/>
  <c r="D90" i="1"/>
  <c r="C90" i="1"/>
  <c r="B90" i="1"/>
  <c r="A90" i="1"/>
  <c r="K89" i="1"/>
  <c r="J89" i="1"/>
  <c r="I89" i="1"/>
  <c r="H89" i="1"/>
  <c r="L89" i="1" s="1"/>
  <c r="G89" i="1"/>
  <c r="F89" i="1"/>
  <c r="P89" i="1" s="1"/>
  <c r="E89" i="1"/>
  <c r="D89" i="1"/>
  <c r="C89" i="1"/>
  <c r="B89" i="1"/>
  <c r="A89" i="1"/>
  <c r="K88" i="1"/>
  <c r="J88" i="1"/>
  <c r="I88" i="1"/>
  <c r="H88" i="1"/>
  <c r="L88" i="1" s="1"/>
  <c r="G88" i="1"/>
  <c r="F88" i="1"/>
  <c r="P88" i="1" s="1"/>
  <c r="E88" i="1"/>
  <c r="D88" i="1"/>
  <c r="C88" i="1"/>
  <c r="B88" i="1"/>
  <c r="A88" i="1"/>
  <c r="K87" i="1"/>
  <c r="J87" i="1"/>
  <c r="I87" i="1"/>
  <c r="H87" i="1"/>
  <c r="L87" i="1" s="1"/>
  <c r="G87" i="1"/>
  <c r="F87" i="1"/>
  <c r="P87" i="1" s="1"/>
  <c r="E87" i="1"/>
  <c r="D87" i="1"/>
  <c r="C87" i="1"/>
  <c r="B87" i="1"/>
  <c r="A87" i="1"/>
  <c r="L86" i="1"/>
  <c r="G86" i="1"/>
  <c r="F86" i="1"/>
  <c r="P86" i="1" s="1"/>
  <c r="Q86" i="1" s="1"/>
  <c r="E86" i="1"/>
  <c r="D86" i="1"/>
  <c r="C86" i="1"/>
  <c r="B86" i="1"/>
  <c r="A86" i="1"/>
  <c r="K85" i="1"/>
  <c r="J85" i="1"/>
  <c r="I85" i="1"/>
  <c r="H85" i="1"/>
  <c r="L85" i="1" s="1"/>
  <c r="G85" i="1"/>
  <c r="F85" i="1"/>
  <c r="P85" i="1" s="1"/>
  <c r="E85" i="1"/>
  <c r="D85" i="1"/>
  <c r="C85" i="1"/>
  <c r="B85" i="1"/>
  <c r="A85" i="1"/>
  <c r="K84" i="1"/>
  <c r="J84" i="1"/>
  <c r="I84" i="1"/>
  <c r="H84" i="1"/>
  <c r="L84" i="1" s="1"/>
  <c r="G84" i="1"/>
  <c r="F84" i="1"/>
  <c r="P84" i="1" s="1"/>
  <c r="E84" i="1"/>
  <c r="D84" i="1"/>
  <c r="C84" i="1"/>
  <c r="B84" i="1"/>
  <c r="A84" i="1"/>
  <c r="L83" i="1"/>
  <c r="G83" i="1"/>
  <c r="F83" i="1"/>
  <c r="P83" i="1" s="1"/>
  <c r="Q83" i="1" s="1"/>
  <c r="E83" i="1"/>
  <c r="D83" i="1"/>
  <c r="C83" i="1"/>
  <c r="B83" i="1"/>
  <c r="A83" i="1"/>
  <c r="K82" i="1"/>
  <c r="J82" i="1"/>
  <c r="I82" i="1"/>
  <c r="H82" i="1"/>
  <c r="L82" i="1" s="1"/>
  <c r="G82" i="1"/>
  <c r="F82" i="1"/>
  <c r="P82" i="1" s="1"/>
  <c r="E82" i="1"/>
  <c r="D82" i="1"/>
  <c r="C82" i="1"/>
  <c r="B82" i="1"/>
  <c r="A82" i="1"/>
  <c r="K81" i="1"/>
  <c r="J81" i="1"/>
  <c r="I81" i="1"/>
  <c r="H81" i="1"/>
  <c r="L81" i="1" s="1"/>
  <c r="G81" i="1"/>
  <c r="F81" i="1"/>
  <c r="E81" i="1"/>
  <c r="D81" i="1"/>
  <c r="C81" i="1"/>
  <c r="B81" i="1"/>
  <c r="A81" i="1"/>
  <c r="L80" i="1"/>
  <c r="G80" i="1"/>
  <c r="F80" i="1"/>
  <c r="P80" i="1" s="1"/>
  <c r="Q80" i="1" s="1"/>
  <c r="E80" i="1"/>
  <c r="D80" i="1"/>
  <c r="C80" i="1"/>
  <c r="B80" i="1"/>
  <c r="A80" i="1"/>
  <c r="K79" i="1"/>
  <c r="J79" i="1"/>
  <c r="I79" i="1"/>
  <c r="H79" i="1"/>
  <c r="L79" i="1" s="1"/>
  <c r="G79" i="1"/>
  <c r="F79" i="1"/>
  <c r="P79" i="1" s="1"/>
  <c r="E79" i="1"/>
  <c r="D79" i="1"/>
  <c r="C79" i="1"/>
  <c r="B79" i="1"/>
  <c r="A79" i="1"/>
  <c r="K78" i="1"/>
  <c r="J78" i="1"/>
  <c r="I78" i="1"/>
  <c r="H78" i="1"/>
  <c r="L78" i="1" s="1"/>
  <c r="G78" i="1"/>
  <c r="F78" i="1"/>
  <c r="P78" i="1" s="1"/>
  <c r="E78" i="1"/>
  <c r="D78" i="1"/>
  <c r="C78" i="1"/>
  <c r="B78" i="1"/>
  <c r="A78" i="1"/>
  <c r="K77" i="1"/>
  <c r="J77" i="1"/>
  <c r="I77" i="1"/>
  <c r="H77" i="1"/>
  <c r="L77" i="1" s="1"/>
  <c r="G77" i="1"/>
  <c r="F77" i="1"/>
  <c r="P77" i="1" s="1"/>
  <c r="E77" i="1"/>
  <c r="D77" i="1"/>
  <c r="C77" i="1"/>
  <c r="B77" i="1"/>
  <c r="A77" i="1"/>
  <c r="L76" i="1"/>
  <c r="G76" i="1"/>
  <c r="F76" i="1"/>
  <c r="P76" i="1" s="1"/>
  <c r="Q76" i="1" s="1"/>
  <c r="E76" i="1"/>
  <c r="D76" i="1"/>
  <c r="C76" i="1"/>
  <c r="B76" i="1"/>
  <c r="A76" i="1"/>
  <c r="L75" i="1"/>
  <c r="G75" i="1"/>
  <c r="F75" i="1"/>
  <c r="P75" i="1" s="1"/>
  <c r="Q75" i="1" s="1"/>
  <c r="E75" i="1"/>
  <c r="D75" i="1"/>
  <c r="C75" i="1"/>
  <c r="B75" i="1"/>
  <c r="A75" i="1"/>
  <c r="K74" i="1"/>
  <c r="J74" i="1"/>
  <c r="I74" i="1"/>
  <c r="H74" i="1"/>
  <c r="L74" i="1" s="1"/>
  <c r="G74" i="1"/>
  <c r="F74" i="1"/>
  <c r="P74" i="1" s="1"/>
  <c r="E74" i="1"/>
  <c r="D74" i="1"/>
  <c r="C74" i="1"/>
  <c r="B74" i="1"/>
  <c r="A74" i="1"/>
  <c r="L73" i="1"/>
  <c r="G73" i="1"/>
  <c r="F73" i="1"/>
  <c r="P73" i="1" s="1"/>
  <c r="Q73" i="1" s="1"/>
  <c r="E73" i="1"/>
  <c r="D73" i="1"/>
  <c r="C73" i="1"/>
  <c r="B73" i="1"/>
  <c r="A73" i="1"/>
  <c r="K72" i="1"/>
  <c r="J72" i="1"/>
  <c r="I72" i="1"/>
  <c r="H72" i="1"/>
  <c r="L72" i="1" s="1"/>
  <c r="G72" i="1"/>
  <c r="F72" i="1"/>
  <c r="E72" i="1"/>
  <c r="D72" i="1"/>
  <c r="C72" i="1"/>
  <c r="B72" i="1"/>
  <c r="A72" i="1"/>
  <c r="K71" i="1"/>
  <c r="J71" i="1"/>
  <c r="I71" i="1"/>
  <c r="H71" i="1"/>
  <c r="L71" i="1" s="1"/>
  <c r="G71" i="1"/>
  <c r="F71" i="1"/>
  <c r="P71" i="1" s="1"/>
  <c r="E71" i="1"/>
  <c r="D71" i="1"/>
  <c r="C71" i="1"/>
  <c r="B71" i="1"/>
  <c r="A71" i="1"/>
  <c r="L70" i="1"/>
  <c r="G70" i="1"/>
  <c r="F70" i="1"/>
  <c r="P70" i="1" s="1"/>
  <c r="Q70" i="1" s="1"/>
  <c r="E70" i="1"/>
  <c r="D70" i="1"/>
  <c r="C70" i="1"/>
  <c r="B70" i="1"/>
  <c r="A70" i="1"/>
  <c r="K69" i="1"/>
  <c r="J69" i="1"/>
  <c r="I69" i="1"/>
  <c r="H69" i="1"/>
  <c r="L69" i="1" s="1"/>
  <c r="G69" i="1"/>
  <c r="F69" i="1"/>
  <c r="P69" i="1" s="1"/>
  <c r="E69" i="1"/>
  <c r="D69" i="1"/>
  <c r="C69" i="1"/>
  <c r="B69" i="1"/>
  <c r="A69" i="1"/>
  <c r="L68" i="1"/>
  <c r="G68" i="1"/>
  <c r="F68" i="1"/>
  <c r="P68" i="1" s="1"/>
  <c r="Q68" i="1" s="1"/>
  <c r="E68" i="1"/>
  <c r="D68" i="1"/>
  <c r="C68" i="1"/>
  <c r="B68" i="1"/>
  <c r="A68" i="1"/>
  <c r="K67" i="1"/>
  <c r="J67" i="1"/>
  <c r="I67" i="1"/>
  <c r="H67" i="1"/>
  <c r="L67" i="1" s="1"/>
  <c r="G67" i="1"/>
  <c r="F67" i="1"/>
  <c r="P67" i="1" s="1"/>
  <c r="E67" i="1"/>
  <c r="D67" i="1"/>
  <c r="C67" i="1"/>
  <c r="B67" i="1"/>
  <c r="A67" i="1"/>
  <c r="K66" i="1"/>
  <c r="J66" i="1"/>
  <c r="I66" i="1"/>
  <c r="H66" i="1"/>
  <c r="L66" i="1" s="1"/>
  <c r="G66" i="1"/>
  <c r="F66" i="1"/>
  <c r="P66" i="1" s="1"/>
  <c r="E66" i="1"/>
  <c r="D66" i="1"/>
  <c r="C66" i="1"/>
  <c r="B66" i="1"/>
  <c r="A66" i="1"/>
  <c r="K65" i="1"/>
  <c r="J65" i="1"/>
  <c r="I65" i="1"/>
  <c r="H65" i="1"/>
  <c r="L65" i="1" s="1"/>
  <c r="G65" i="1"/>
  <c r="F65" i="1"/>
  <c r="P65" i="1" s="1"/>
  <c r="E65" i="1"/>
  <c r="D65" i="1"/>
  <c r="C65" i="1"/>
  <c r="B65" i="1"/>
  <c r="A65" i="1"/>
  <c r="K64" i="1"/>
  <c r="J64" i="1"/>
  <c r="I64" i="1"/>
  <c r="H64" i="1"/>
  <c r="L64" i="1" s="1"/>
  <c r="G64" i="1"/>
  <c r="F64" i="1"/>
  <c r="P64" i="1" s="1"/>
  <c r="E64" i="1"/>
  <c r="D64" i="1"/>
  <c r="C64" i="1"/>
  <c r="B64" i="1"/>
  <c r="A64" i="1"/>
  <c r="L63" i="1"/>
  <c r="G63" i="1"/>
  <c r="F63" i="1"/>
  <c r="P63" i="1" s="1"/>
  <c r="Q63" i="1" s="1"/>
  <c r="E63" i="1"/>
  <c r="D63" i="1"/>
  <c r="C63" i="1"/>
  <c r="B63" i="1"/>
  <c r="A63" i="1"/>
  <c r="K62" i="1"/>
  <c r="J62" i="1"/>
  <c r="I62" i="1"/>
  <c r="H62" i="1"/>
  <c r="L62" i="1" s="1"/>
  <c r="G62" i="1"/>
  <c r="F62" i="1"/>
  <c r="P62" i="1" s="1"/>
  <c r="E62" i="1"/>
  <c r="D62" i="1"/>
  <c r="C62" i="1"/>
  <c r="B62" i="1"/>
  <c r="A62" i="1"/>
  <c r="L61" i="1"/>
  <c r="G61" i="1"/>
  <c r="F61" i="1"/>
  <c r="P61" i="1" s="1"/>
  <c r="Q61" i="1" s="1"/>
  <c r="E61" i="1"/>
  <c r="D61" i="1"/>
  <c r="C61" i="1"/>
  <c r="B61" i="1"/>
  <c r="A61" i="1"/>
  <c r="L60" i="1"/>
  <c r="G60" i="1"/>
  <c r="F60" i="1"/>
  <c r="P60" i="1" s="1"/>
  <c r="Q60" i="1" s="1"/>
  <c r="E60" i="1"/>
  <c r="D60" i="1"/>
  <c r="C60" i="1"/>
  <c r="B60" i="1"/>
  <c r="A60" i="1"/>
  <c r="K59" i="1"/>
  <c r="J59" i="1"/>
  <c r="I59" i="1"/>
  <c r="H59" i="1"/>
  <c r="L59" i="1" s="1"/>
  <c r="G59" i="1"/>
  <c r="F59" i="1"/>
  <c r="E59" i="1"/>
  <c r="D59" i="1"/>
  <c r="C59" i="1"/>
  <c r="B59" i="1"/>
  <c r="A59" i="1"/>
  <c r="L58" i="1"/>
  <c r="G58" i="1"/>
  <c r="F58" i="1"/>
  <c r="P58" i="1" s="1"/>
  <c r="Q58" i="1" s="1"/>
  <c r="E58" i="1"/>
  <c r="D58" i="1"/>
  <c r="C58" i="1"/>
  <c r="B58" i="1"/>
  <c r="A58" i="1"/>
  <c r="L57" i="1"/>
  <c r="G57" i="1"/>
  <c r="F57" i="1"/>
  <c r="P57" i="1" s="1"/>
  <c r="Q57" i="1" s="1"/>
  <c r="E57" i="1"/>
  <c r="D57" i="1"/>
  <c r="C57" i="1"/>
  <c r="B57" i="1"/>
  <c r="A57" i="1"/>
  <c r="K56" i="1"/>
  <c r="J56" i="1"/>
  <c r="I56" i="1"/>
  <c r="H56" i="1"/>
  <c r="L56" i="1" s="1"/>
  <c r="G56" i="1"/>
  <c r="F56" i="1"/>
  <c r="P56" i="1" s="1"/>
  <c r="E56" i="1"/>
  <c r="D56" i="1"/>
  <c r="C56" i="1"/>
  <c r="B56" i="1"/>
  <c r="A56" i="1"/>
  <c r="L55" i="1"/>
  <c r="G55" i="1"/>
  <c r="F55" i="1"/>
  <c r="P55" i="1" s="1"/>
  <c r="E55" i="1"/>
  <c r="D55" i="1"/>
  <c r="C55" i="1"/>
  <c r="B55" i="1"/>
  <c r="A55" i="1"/>
  <c r="L54" i="1"/>
  <c r="G54" i="1"/>
  <c r="F54" i="1"/>
  <c r="P54" i="1" s="1"/>
  <c r="Q54" i="1" s="1"/>
  <c r="E54" i="1"/>
  <c r="D54" i="1"/>
  <c r="C54" i="1"/>
  <c r="B54" i="1"/>
  <c r="A54" i="1"/>
  <c r="K53" i="1"/>
  <c r="J53" i="1"/>
  <c r="I53" i="1"/>
  <c r="H53" i="1"/>
  <c r="L53" i="1" s="1"/>
  <c r="G53" i="1"/>
  <c r="F53" i="1"/>
  <c r="P53" i="1" s="1"/>
  <c r="E53" i="1"/>
  <c r="D53" i="1"/>
  <c r="C53" i="1"/>
  <c r="B53" i="1"/>
  <c r="A53" i="1"/>
  <c r="K52" i="1"/>
  <c r="J52" i="1"/>
  <c r="I52" i="1"/>
  <c r="H52" i="1"/>
  <c r="L52" i="1" s="1"/>
  <c r="G52" i="1"/>
  <c r="F52" i="1"/>
  <c r="P52" i="1" s="1"/>
  <c r="E52" i="1"/>
  <c r="D52" i="1"/>
  <c r="C52" i="1"/>
  <c r="B52" i="1"/>
  <c r="A52" i="1"/>
  <c r="L51" i="1"/>
  <c r="G51" i="1"/>
  <c r="F51" i="1"/>
  <c r="P51" i="1" s="1"/>
  <c r="Q51" i="1" s="1"/>
  <c r="E51" i="1"/>
  <c r="D51" i="1"/>
  <c r="C51" i="1"/>
  <c r="B51" i="1"/>
  <c r="A51" i="1"/>
  <c r="L50" i="1"/>
  <c r="G50" i="1"/>
  <c r="F50" i="1"/>
  <c r="P50" i="1" s="1"/>
  <c r="Q50" i="1" s="1"/>
  <c r="E50" i="1"/>
  <c r="D50" i="1"/>
  <c r="C50" i="1"/>
  <c r="B50" i="1"/>
  <c r="A50" i="1"/>
  <c r="K49" i="1"/>
  <c r="J49" i="1"/>
  <c r="I49" i="1"/>
  <c r="H49" i="1"/>
  <c r="L49" i="1" s="1"/>
  <c r="G49" i="1"/>
  <c r="F49" i="1"/>
  <c r="P49" i="1" s="1"/>
  <c r="E49" i="1"/>
  <c r="D49" i="1"/>
  <c r="C49" i="1"/>
  <c r="B49" i="1"/>
  <c r="A49" i="1"/>
  <c r="K48" i="1"/>
  <c r="J48" i="1"/>
  <c r="I48" i="1"/>
  <c r="H48" i="1"/>
  <c r="L48" i="1" s="1"/>
  <c r="G48" i="1"/>
  <c r="F48" i="1"/>
  <c r="P48" i="1" s="1"/>
  <c r="E48" i="1"/>
  <c r="D48" i="1"/>
  <c r="C48" i="1"/>
  <c r="B48" i="1"/>
  <c r="A48" i="1"/>
  <c r="L47" i="1"/>
  <c r="G47" i="1"/>
  <c r="F47" i="1"/>
  <c r="P47" i="1" s="1"/>
  <c r="Q47" i="1" s="1"/>
  <c r="E47" i="1"/>
  <c r="D47" i="1"/>
  <c r="C47" i="1"/>
  <c r="B47" i="1"/>
  <c r="A47" i="1"/>
  <c r="K46" i="1"/>
  <c r="J46" i="1"/>
  <c r="I46" i="1"/>
  <c r="H46" i="1"/>
  <c r="L46" i="1" s="1"/>
  <c r="G46" i="1"/>
  <c r="F46" i="1"/>
  <c r="P46" i="1" s="1"/>
  <c r="E46" i="1"/>
  <c r="D46" i="1"/>
  <c r="C46" i="1"/>
  <c r="B46" i="1"/>
  <c r="A46" i="1"/>
  <c r="L45" i="1"/>
  <c r="G45" i="1"/>
  <c r="F45" i="1"/>
  <c r="P45" i="1" s="1"/>
  <c r="Q45" i="1" s="1"/>
  <c r="E45" i="1"/>
  <c r="D45" i="1"/>
  <c r="C45" i="1"/>
  <c r="B45" i="1"/>
  <c r="A45" i="1"/>
  <c r="K44" i="1"/>
  <c r="J44" i="1"/>
  <c r="I44" i="1"/>
  <c r="H44" i="1"/>
  <c r="L44" i="1" s="1"/>
  <c r="G44" i="1"/>
  <c r="F44" i="1"/>
  <c r="P44" i="1" s="1"/>
  <c r="E44" i="1"/>
  <c r="D44" i="1"/>
  <c r="C44" i="1"/>
  <c r="B44" i="1"/>
  <c r="A44" i="1"/>
  <c r="K43" i="1"/>
  <c r="J43" i="1"/>
  <c r="I43" i="1"/>
  <c r="H43" i="1"/>
  <c r="L43" i="1" s="1"/>
  <c r="G43" i="1"/>
  <c r="F43" i="1"/>
  <c r="P43" i="1" s="1"/>
  <c r="E43" i="1"/>
  <c r="D43" i="1"/>
  <c r="C43" i="1"/>
  <c r="B43" i="1"/>
  <c r="A43" i="1"/>
  <c r="K42" i="1"/>
  <c r="J42" i="1"/>
  <c r="I42" i="1"/>
  <c r="H42" i="1"/>
  <c r="L42" i="1" s="1"/>
  <c r="G42" i="1"/>
  <c r="F42" i="1"/>
  <c r="P42" i="1" s="1"/>
  <c r="E42" i="1"/>
  <c r="D42" i="1"/>
  <c r="C42" i="1"/>
  <c r="B42" i="1"/>
  <c r="A42" i="1"/>
  <c r="L41" i="1"/>
  <c r="G41" i="1"/>
  <c r="F41" i="1"/>
  <c r="P41" i="1" s="1"/>
  <c r="Q41" i="1" s="1"/>
  <c r="E41" i="1"/>
  <c r="D41" i="1"/>
  <c r="C41" i="1"/>
  <c r="B41" i="1"/>
  <c r="A41" i="1"/>
  <c r="L40" i="1"/>
  <c r="G40" i="1"/>
  <c r="F40" i="1"/>
  <c r="P40" i="1" s="1"/>
  <c r="Q40" i="1" s="1"/>
  <c r="E40" i="1"/>
  <c r="D40" i="1"/>
  <c r="C40" i="1"/>
  <c r="B40" i="1"/>
  <c r="A40" i="1"/>
  <c r="K39" i="1"/>
  <c r="J39" i="1"/>
  <c r="I39" i="1"/>
  <c r="H39" i="1"/>
  <c r="L39" i="1" s="1"/>
  <c r="G39" i="1"/>
  <c r="F39" i="1"/>
  <c r="P39" i="1" s="1"/>
  <c r="E39" i="1"/>
  <c r="D39" i="1"/>
  <c r="C39" i="1"/>
  <c r="B39" i="1"/>
  <c r="A39" i="1"/>
  <c r="L38" i="1"/>
  <c r="G38" i="1"/>
  <c r="F38" i="1"/>
  <c r="P38" i="1" s="1"/>
  <c r="Q38" i="1" s="1"/>
  <c r="E38" i="1"/>
  <c r="D38" i="1"/>
  <c r="C38" i="1"/>
  <c r="B38" i="1"/>
  <c r="A38" i="1"/>
  <c r="L37" i="1"/>
  <c r="G37" i="1"/>
  <c r="F37" i="1"/>
  <c r="P37" i="1" s="1"/>
  <c r="Q37" i="1" s="1"/>
  <c r="E37" i="1"/>
  <c r="D37" i="1"/>
  <c r="C37" i="1"/>
  <c r="B37" i="1"/>
  <c r="A37" i="1"/>
  <c r="K36" i="1"/>
  <c r="J36" i="1"/>
  <c r="I36" i="1"/>
  <c r="H36" i="1"/>
  <c r="L36" i="1" s="1"/>
  <c r="G36" i="1"/>
  <c r="F36" i="1"/>
  <c r="E36" i="1"/>
  <c r="D36" i="1"/>
  <c r="C36" i="1"/>
  <c r="B36" i="1"/>
  <c r="A36" i="1"/>
  <c r="K35" i="1"/>
  <c r="J35" i="1"/>
  <c r="I35" i="1"/>
  <c r="H35" i="1"/>
  <c r="L35" i="1" s="1"/>
  <c r="G35" i="1"/>
  <c r="F35" i="1"/>
  <c r="P35" i="1" s="1"/>
  <c r="E35" i="1"/>
  <c r="D35" i="1"/>
  <c r="C35" i="1"/>
  <c r="B35" i="1"/>
  <c r="A35" i="1"/>
  <c r="L34" i="1"/>
  <c r="G34" i="1"/>
  <c r="F34" i="1"/>
  <c r="P34" i="1" s="1"/>
  <c r="Q34" i="1" s="1"/>
  <c r="E34" i="1"/>
  <c r="D34" i="1"/>
  <c r="C34" i="1"/>
  <c r="B34" i="1"/>
  <c r="A34" i="1"/>
  <c r="L33" i="1"/>
  <c r="G33" i="1"/>
  <c r="F33" i="1"/>
  <c r="P33" i="1" s="1"/>
  <c r="Q33" i="1" s="1"/>
  <c r="E33" i="1"/>
  <c r="D33" i="1"/>
  <c r="C33" i="1"/>
  <c r="B33" i="1"/>
  <c r="A33" i="1"/>
  <c r="K32" i="1"/>
  <c r="J32" i="1"/>
  <c r="I32" i="1"/>
  <c r="H32" i="1"/>
  <c r="L32" i="1" s="1"/>
  <c r="G32" i="1"/>
  <c r="F32" i="1"/>
  <c r="P32" i="1" s="1"/>
  <c r="E32" i="1"/>
  <c r="D32" i="1"/>
  <c r="C32" i="1"/>
  <c r="B32" i="1"/>
  <c r="A32" i="1"/>
  <c r="W31" i="1"/>
  <c r="V31" i="1"/>
  <c r="X31" i="1" s="1"/>
  <c r="K31" i="1"/>
  <c r="J31" i="1"/>
  <c r="I31" i="1"/>
  <c r="H31" i="1"/>
  <c r="L31" i="1" s="1"/>
  <c r="G31" i="1"/>
  <c r="F31" i="1"/>
  <c r="P31" i="1" s="1"/>
  <c r="E31" i="1"/>
  <c r="D31" i="1"/>
  <c r="C31" i="1"/>
  <c r="B31" i="1"/>
  <c r="A31" i="1"/>
  <c r="W30" i="1"/>
  <c r="K30" i="1"/>
  <c r="J30" i="1"/>
  <c r="I30" i="1"/>
  <c r="H30" i="1"/>
  <c r="L30" i="1" s="1"/>
  <c r="G30" i="1"/>
  <c r="F30" i="1"/>
  <c r="P30" i="1" s="1"/>
  <c r="E30" i="1"/>
  <c r="D30" i="1"/>
  <c r="C30" i="1"/>
  <c r="B30" i="1"/>
  <c r="A30" i="1"/>
  <c r="W29" i="1"/>
  <c r="L29" i="1"/>
  <c r="G29" i="1"/>
  <c r="F29" i="1"/>
  <c r="P29" i="1" s="1"/>
  <c r="Q29" i="1" s="1"/>
  <c r="E29" i="1"/>
  <c r="D29" i="1"/>
  <c r="C29" i="1"/>
  <c r="B29" i="1"/>
  <c r="A29" i="1"/>
  <c r="W28" i="1"/>
  <c r="L28" i="1"/>
  <c r="G28" i="1"/>
  <c r="F28" i="1"/>
  <c r="P28" i="1" s="1"/>
  <c r="Q28" i="1" s="1"/>
  <c r="E28" i="1"/>
  <c r="D28" i="1"/>
  <c r="C28" i="1"/>
  <c r="B28" i="1"/>
  <c r="A28" i="1"/>
  <c r="W27" i="1"/>
  <c r="K27" i="1"/>
  <c r="J27" i="1"/>
  <c r="I27" i="1"/>
  <c r="H27" i="1"/>
  <c r="L27" i="1" s="1"/>
  <c r="G27" i="1"/>
  <c r="F27" i="1"/>
  <c r="P27" i="1" s="1"/>
  <c r="E27" i="1"/>
  <c r="D27" i="1"/>
  <c r="C27" i="1"/>
  <c r="B27" i="1"/>
  <c r="A27" i="1"/>
  <c r="L26" i="1"/>
  <c r="G26" i="1"/>
  <c r="F26" i="1"/>
  <c r="P26" i="1" s="1"/>
  <c r="Q26" i="1" s="1"/>
  <c r="E26" i="1"/>
  <c r="D26" i="1"/>
  <c r="C26" i="1"/>
  <c r="B26" i="1"/>
  <c r="A26" i="1"/>
  <c r="L25" i="1"/>
  <c r="G25" i="1"/>
  <c r="F25" i="1"/>
  <c r="P25" i="1" s="1"/>
  <c r="Q25" i="1" s="1"/>
  <c r="E25" i="1"/>
  <c r="D25" i="1"/>
  <c r="C25" i="1"/>
  <c r="B25" i="1"/>
  <c r="A25" i="1"/>
  <c r="K24" i="1"/>
  <c r="J24" i="1"/>
  <c r="I24" i="1"/>
  <c r="H24" i="1"/>
  <c r="L24" i="1" s="1"/>
  <c r="G24" i="1"/>
  <c r="F24" i="1"/>
  <c r="P24" i="1" s="1"/>
  <c r="E24" i="1"/>
  <c r="D24" i="1"/>
  <c r="C24" i="1"/>
  <c r="B24" i="1"/>
  <c r="A24" i="1"/>
  <c r="X23" i="1"/>
  <c r="K23" i="1"/>
  <c r="J23" i="1"/>
  <c r="I23" i="1"/>
  <c r="H23" i="1"/>
  <c r="L23" i="1" s="1"/>
  <c r="G23" i="1"/>
  <c r="F23" i="1"/>
  <c r="P23" i="1" s="1"/>
  <c r="E23" i="1"/>
  <c r="D23" i="1"/>
  <c r="C23" i="1"/>
  <c r="B23" i="1"/>
  <c r="A23" i="1"/>
  <c r="X22" i="1"/>
  <c r="L22" i="1"/>
  <c r="G22" i="1"/>
  <c r="F22" i="1"/>
  <c r="P22" i="1" s="1"/>
  <c r="Q22" i="1" s="1"/>
  <c r="E22" i="1"/>
  <c r="D22" i="1"/>
  <c r="C22" i="1"/>
  <c r="B22" i="1"/>
  <c r="A22" i="1"/>
  <c r="X21" i="1"/>
  <c r="L21" i="1"/>
  <c r="G21" i="1"/>
  <c r="F21" i="1"/>
  <c r="P21" i="1" s="1"/>
  <c r="Q21" i="1" s="1"/>
  <c r="E21" i="1"/>
  <c r="D21" i="1"/>
  <c r="C21" i="1"/>
  <c r="B21" i="1"/>
  <c r="A21" i="1"/>
  <c r="X20" i="1"/>
  <c r="K20" i="1"/>
  <c r="J20" i="1"/>
  <c r="I20" i="1"/>
  <c r="H20" i="1"/>
  <c r="L20" i="1" s="1"/>
  <c r="G20" i="1"/>
  <c r="F20" i="1"/>
  <c r="P20" i="1" s="1"/>
  <c r="E20" i="1"/>
  <c r="D20" i="1"/>
  <c r="C20" i="1"/>
  <c r="B20" i="1"/>
  <c r="A20" i="1"/>
  <c r="X19" i="1"/>
  <c r="N19" i="1"/>
  <c r="O19" i="1" s="1"/>
  <c r="L19" i="1"/>
  <c r="M19" i="1" s="1"/>
  <c r="G19" i="1"/>
  <c r="F19" i="1"/>
  <c r="P19" i="1" s="1"/>
  <c r="Q19" i="1" s="1"/>
  <c r="E19" i="1"/>
  <c r="D19" i="1"/>
  <c r="C19" i="1"/>
  <c r="B19" i="1"/>
  <c r="A19" i="1"/>
  <c r="X18" i="1"/>
  <c r="L18" i="1"/>
  <c r="G18" i="1"/>
  <c r="F18" i="1"/>
  <c r="P18" i="1" s="1"/>
  <c r="Q18" i="1" s="1"/>
  <c r="E18" i="1"/>
  <c r="D18" i="1"/>
  <c r="C18" i="1"/>
  <c r="B18" i="1"/>
  <c r="A18" i="1"/>
  <c r="K17" i="1"/>
  <c r="J17" i="1"/>
  <c r="I17" i="1"/>
  <c r="H17" i="1"/>
  <c r="L17" i="1" s="1"/>
  <c r="G17" i="1"/>
  <c r="F17" i="1"/>
  <c r="P17" i="1" s="1"/>
  <c r="E17" i="1"/>
  <c r="D17" i="1"/>
  <c r="C17" i="1"/>
  <c r="B17" i="1"/>
  <c r="A17" i="1"/>
  <c r="X16" i="1"/>
  <c r="L16" i="1"/>
  <c r="G16" i="1"/>
  <c r="F16" i="1"/>
  <c r="P16" i="1" s="1"/>
  <c r="Q16" i="1" s="1"/>
  <c r="E16" i="1"/>
  <c r="D16" i="1"/>
  <c r="C16" i="1"/>
  <c r="B16" i="1"/>
  <c r="A16" i="1"/>
  <c r="X15" i="1"/>
  <c r="L15" i="1"/>
  <c r="G15" i="1"/>
  <c r="F15" i="1"/>
  <c r="P15" i="1" s="1"/>
  <c r="Q15" i="1" s="1"/>
  <c r="E15" i="1"/>
  <c r="D15" i="1"/>
  <c r="C15" i="1"/>
  <c r="B15" i="1"/>
  <c r="A15" i="1"/>
  <c r="X14" i="1"/>
  <c r="L14" i="1"/>
  <c r="G14" i="1"/>
  <c r="F14" i="1"/>
  <c r="P14" i="1" s="1"/>
  <c r="Q14" i="1" s="1"/>
  <c r="E14" i="1"/>
  <c r="D14" i="1"/>
  <c r="C14" i="1"/>
  <c r="B14" i="1"/>
  <c r="A14" i="1"/>
  <c r="X13" i="1"/>
  <c r="L13" i="1"/>
  <c r="G13" i="1"/>
  <c r="F13" i="1"/>
  <c r="P13" i="1" s="1"/>
  <c r="Q13" i="1" s="1"/>
  <c r="E13" i="1"/>
  <c r="D13" i="1"/>
  <c r="C13" i="1"/>
  <c r="B13" i="1"/>
  <c r="A13" i="1"/>
  <c r="X12" i="1"/>
  <c r="K12" i="1"/>
  <c r="J12" i="1"/>
  <c r="I12" i="1"/>
  <c r="H12" i="1"/>
  <c r="L12" i="1" s="1"/>
  <c r="G12" i="1"/>
  <c r="F12" i="1"/>
  <c r="P12" i="1" s="1"/>
  <c r="E12" i="1"/>
  <c r="D12" i="1"/>
  <c r="C12" i="1"/>
  <c r="B12" i="1"/>
  <c r="A12" i="1"/>
  <c r="X11" i="1"/>
  <c r="K11" i="1"/>
  <c r="J11" i="1"/>
  <c r="I11" i="1"/>
  <c r="H11" i="1"/>
  <c r="L11" i="1" s="1"/>
  <c r="G11" i="1"/>
  <c r="F11" i="1"/>
  <c r="P11" i="1" s="1"/>
  <c r="E11" i="1"/>
  <c r="D11" i="1"/>
  <c r="C11" i="1"/>
  <c r="B11" i="1"/>
  <c r="A11" i="1"/>
  <c r="X10" i="1"/>
  <c r="L10" i="1"/>
  <c r="G10" i="1"/>
  <c r="F10" i="1"/>
  <c r="P10" i="1" s="1"/>
  <c r="Q10" i="1" s="1"/>
  <c r="E10" i="1"/>
  <c r="D10" i="1"/>
  <c r="C10" i="1"/>
  <c r="B10" i="1"/>
  <c r="A10" i="1"/>
  <c r="X9" i="1"/>
  <c r="K9" i="1"/>
  <c r="J9" i="1"/>
  <c r="I9" i="1"/>
  <c r="H9" i="1"/>
  <c r="L9" i="1" s="1"/>
  <c r="G9" i="1"/>
  <c r="F9" i="1"/>
  <c r="P9" i="1" s="1"/>
  <c r="E9" i="1"/>
  <c r="D9" i="1"/>
  <c r="C9" i="1"/>
  <c r="B9" i="1"/>
  <c r="A9" i="1"/>
  <c r="X8" i="1"/>
  <c r="L8" i="1"/>
  <c r="G8" i="1"/>
  <c r="F8" i="1"/>
  <c r="P8" i="1" s="1"/>
  <c r="Q8" i="1" s="1"/>
  <c r="E8" i="1"/>
  <c r="D8" i="1"/>
  <c r="C8" i="1"/>
  <c r="B8" i="1"/>
  <c r="A8" i="1"/>
  <c r="X7" i="1"/>
  <c r="K7" i="1"/>
  <c r="J7" i="1"/>
  <c r="I7" i="1"/>
  <c r="H7" i="1"/>
  <c r="L7" i="1" s="1"/>
  <c r="G7" i="1"/>
  <c r="F7" i="1"/>
  <c r="P7" i="1" s="1"/>
  <c r="E7" i="1"/>
  <c r="D7" i="1"/>
  <c r="C7" i="1"/>
  <c r="B7" i="1"/>
  <c r="A7" i="1"/>
  <c r="X6" i="1"/>
  <c r="K6" i="1"/>
  <c r="J6" i="1"/>
  <c r="I6" i="1"/>
  <c r="H6" i="1"/>
  <c r="G6" i="1"/>
  <c r="F6" i="1"/>
  <c r="E6" i="1"/>
  <c r="D6" i="1"/>
  <c r="C6" i="1"/>
  <c r="B6" i="1"/>
  <c r="A6" i="1"/>
  <c r="X5" i="1"/>
  <c r="L5" i="1"/>
  <c r="G5" i="1"/>
  <c r="F5" i="1"/>
  <c r="E5" i="1"/>
  <c r="D5" i="1"/>
  <c r="C5" i="1"/>
  <c r="B5" i="1"/>
  <c r="A5" i="1"/>
  <c r="N294" i="1" l="1"/>
  <c r="O294" i="1" s="1"/>
  <c r="M294" i="1"/>
  <c r="N293" i="1"/>
  <c r="O293" i="1" s="1"/>
  <c r="M293" i="1"/>
  <c r="M292" i="1"/>
  <c r="N292" i="1"/>
  <c r="O292" i="1" s="1"/>
  <c r="Q292" i="1"/>
  <c r="R292" i="1"/>
  <c r="N291" i="1"/>
  <c r="O291" i="1" s="1"/>
  <c r="M291" i="1"/>
  <c r="R291" i="1"/>
  <c r="Q291" i="1"/>
  <c r="N290" i="1"/>
  <c r="O290" i="1" s="1"/>
  <c r="M290" i="1"/>
  <c r="N289" i="1"/>
  <c r="O289" i="1" s="1"/>
  <c r="M289" i="1"/>
  <c r="R289" i="1"/>
  <c r="Q289" i="1"/>
  <c r="M288" i="1"/>
  <c r="N288" i="1"/>
  <c r="O288" i="1" s="1"/>
  <c r="M287" i="1"/>
  <c r="Q287" i="1" s="1"/>
  <c r="N287" i="1"/>
  <c r="O287" i="1" s="1"/>
  <c r="R287" i="1"/>
  <c r="N286" i="1"/>
  <c r="O286" i="1" s="1"/>
  <c r="M286" i="1"/>
  <c r="N285" i="1"/>
  <c r="O285" i="1" s="1"/>
  <c r="M285" i="1"/>
  <c r="N284" i="1"/>
  <c r="O284" i="1" s="1"/>
  <c r="M284" i="1"/>
  <c r="Q284" i="1"/>
  <c r="R284" i="1"/>
  <c r="N283" i="1"/>
  <c r="O283" i="1" s="1"/>
  <c r="M283" i="1"/>
  <c r="N282" i="1"/>
  <c r="O282" i="1" s="1"/>
  <c r="M282" i="1"/>
  <c r="M281" i="1"/>
  <c r="N281" i="1"/>
  <c r="O281" i="1" s="1"/>
  <c r="N280" i="1"/>
  <c r="O280" i="1" s="1"/>
  <c r="M280" i="1"/>
  <c r="N279" i="1"/>
  <c r="O279" i="1" s="1"/>
  <c r="M279" i="1"/>
  <c r="Q279" i="1" s="1"/>
  <c r="R279" i="1"/>
  <c r="N278" i="1"/>
  <c r="O278" i="1" s="1"/>
  <c r="M278" i="1"/>
  <c r="M277" i="1"/>
  <c r="N277" i="1"/>
  <c r="O277" i="1" s="1"/>
  <c r="N276" i="1"/>
  <c r="O276" i="1" s="1"/>
  <c r="M276" i="1"/>
  <c r="Q276" i="1"/>
  <c r="R276" i="1"/>
  <c r="M275" i="1"/>
  <c r="N275" i="1"/>
  <c r="O275" i="1" s="1"/>
  <c r="M274" i="1"/>
  <c r="N274" i="1"/>
  <c r="O274" i="1" s="1"/>
  <c r="M273" i="1"/>
  <c r="N273" i="1"/>
  <c r="O273" i="1" s="1"/>
  <c r="R273" i="1"/>
  <c r="Q273" i="1"/>
  <c r="N272" i="1"/>
  <c r="O272" i="1" s="1"/>
  <c r="M272" i="1"/>
  <c r="M271" i="1"/>
  <c r="N271" i="1"/>
  <c r="O271" i="1" s="1"/>
  <c r="Q271" i="1"/>
  <c r="R271" i="1"/>
  <c r="N270" i="1"/>
  <c r="O270" i="1" s="1"/>
  <c r="M270" i="1"/>
  <c r="M269" i="1"/>
  <c r="N269" i="1"/>
  <c r="O269" i="1" s="1"/>
  <c r="M268" i="1"/>
  <c r="N268" i="1"/>
  <c r="O268" i="1" s="1"/>
  <c r="M267" i="1"/>
  <c r="N267" i="1"/>
  <c r="O267" i="1" s="1"/>
  <c r="M266" i="1"/>
  <c r="N266" i="1"/>
  <c r="O266" i="1" s="1"/>
  <c r="M265" i="1"/>
  <c r="N265" i="1"/>
  <c r="O265" i="1" s="1"/>
  <c r="Q265" i="1"/>
  <c r="R265" i="1"/>
  <c r="M264" i="1"/>
  <c r="N264" i="1"/>
  <c r="O264" i="1" s="1"/>
  <c r="M263" i="1"/>
  <c r="N263" i="1"/>
  <c r="O263" i="1" s="1"/>
  <c r="N262" i="1"/>
  <c r="O262" i="1" s="1"/>
  <c r="M262" i="1"/>
  <c r="M261" i="1"/>
  <c r="N261" i="1"/>
  <c r="O261" i="1" s="1"/>
  <c r="N260" i="1"/>
  <c r="O260" i="1" s="1"/>
  <c r="M260" i="1"/>
  <c r="Q260" i="1"/>
  <c r="R260" i="1"/>
  <c r="N259" i="1"/>
  <c r="O259" i="1" s="1"/>
  <c r="M259" i="1"/>
  <c r="R259" i="1"/>
  <c r="Q259" i="1"/>
  <c r="N258" i="1"/>
  <c r="O258" i="1" s="1"/>
  <c r="M258" i="1"/>
  <c r="N257" i="1"/>
  <c r="O257" i="1" s="1"/>
  <c r="M257" i="1"/>
  <c r="N256" i="1"/>
  <c r="O256" i="1" s="1"/>
  <c r="M256" i="1"/>
  <c r="Q256" i="1"/>
  <c r="R256" i="1"/>
  <c r="N255" i="1"/>
  <c r="O255" i="1" s="1"/>
  <c r="M255" i="1"/>
  <c r="R255" i="1"/>
  <c r="Q255" i="1"/>
  <c r="M254" i="1"/>
  <c r="N254" i="1"/>
  <c r="O254" i="1" s="1"/>
  <c r="Q254" i="1"/>
  <c r="R254" i="1"/>
  <c r="N253" i="1"/>
  <c r="O253" i="1" s="1"/>
  <c r="M253" i="1"/>
  <c r="R253" i="1"/>
  <c r="Q253" i="1"/>
  <c r="N252" i="1"/>
  <c r="O252" i="1" s="1"/>
  <c r="M252" i="1"/>
  <c r="Q252" i="1"/>
  <c r="R252" i="1"/>
  <c r="N251" i="1"/>
  <c r="O251" i="1" s="1"/>
  <c r="M251" i="1"/>
  <c r="N250" i="1"/>
  <c r="O250" i="1" s="1"/>
  <c r="M250" i="1"/>
  <c r="M249" i="1"/>
  <c r="N249" i="1"/>
  <c r="O249" i="1" s="1"/>
  <c r="N248" i="1"/>
  <c r="O248" i="1" s="1"/>
  <c r="M248" i="1"/>
  <c r="N247" i="1"/>
  <c r="O247" i="1" s="1"/>
  <c r="M247" i="1"/>
  <c r="N246" i="1"/>
  <c r="O246" i="1" s="1"/>
  <c r="M246" i="1"/>
  <c r="Q246" i="1"/>
  <c r="R246" i="1"/>
  <c r="N245" i="1"/>
  <c r="O245" i="1" s="1"/>
  <c r="M245" i="1"/>
  <c r="M244" i="1"/>
  <c r="N244" i="1"/>
  <c r="O244" i="1" s="1"/>
  <c r="N243" i="1"/>
  <c r="O243" i="1" s="1"/>
  <c r="M243" i="1"/>
  <c r="N242" i="1"/>
  <c r="O242" i="1" s="1"/>
  <c r="M242" i="1"/>
  <c r="M241" i="1"/>
  <c r="N241" i="1"/>
  <c r="O241" i="1" s="1"/>
  <c r="Q241" i="1"/>
  <c r="R241" i="1"/>
  <c r="N240" i="1"/>
  <c r="O240" i="1" s="1"/>
  <c r="M240" i="1"/>
  <c r="N239" i="1"/>
  <c r="O239" i="1" s="1"/>
  <c r="M239" i="1"/>
  <c r="Q239" i="1"/>
  <c r="R239" i="1"/>
  <c r="N238" i="1"/>
  <c r="O238" i="1" s="1"/>
  <c r="M238" i="1"/>
  <c r="N237" i="1"/>
  <c r="O237" i="1" s="1"/>
  <c r="M237" i="1"/>
  <c r="R237" i="1"/>
  <c r="Q237" i="1"/>
  <c r="N236" i="1"/>
  <c r="O236" i="1" s="1"/>
  <c r="M236" i="1"/>
  <c r="R236" i="1"/>
  <c r="Q236" i="1"/>
  <c r="N235" i="1"/>
  <c r="O235" i="1" s="1"/>
  <c r="M235" i="1"/>
  <c r="Q235" i="1"/>
  <c r="R235" i="1"/>
  <c r="N234" i="1"/>
  <c r="O234" i="1" s="1"/>
  <c r="M234" i="1"/>
  <c r="N233" i="1"/>
  <c r="O233" i="1" s="1"/>
  <c r="M233" i="1"/>
  <c r="N232" i="1"/>
  <c r="O232" i="1" s="1"/>
  <c r="M232" i="1"/>
  <c r="M231" i="1"/>
  <c r="N231" i="1"/>
  <c r="O231" i="1" s="1"/>
  <c r="N230" i="1"/>
  <c r="O230" i="1" s="1"/>
  <c r="M230" i="1"/>
  <c r="Q230" i="1"/>
  <c r="R230" i="1"/>
  <c r="N229" i="1"/>
  <c r="O229" i="1" s="1"/>
  <c r="M229" i="1"/>
  <c r="M228" i="1"/>
  <c r="N228" i="1"/>
  <c r="O228" i="1" s="1"/>
  <c r="M227" i="1"/>
  <c r="N227" i="1"/>
  <c r="O227" i="1" s="1"/>
  <c r="R227" i="1"/>
  <c r="Q227" i="1"/>
  <c r="M226" i="1"/>
  <c r="N226" i="1"/>
  <c r="O226" i="1" s="1"/>
  <c r="M225" i="1"/>
  <c r="Q225" i="1" s="1"/>
  <c r="N225" i="1"/>
  <c r="O225" i="1" s="1"/>
  <c r="M224" i="1"/>
  <c r="N224" i="1"/>
  <c r="O224" i="1" s="1"/>
  <c r="Q224" i="1"/>
  <c r="R224" i="1"/>
  <c r="M223" i="1"/>
  <c r="N223" i="1"/>
  <c r="O223" i="1" s="1"/>
  <c r="N222" i="1"/>
  <c r="O222" i="1" s="1"/>
  <c r="M222" i="1"/>
  <c r="N221" i="1"/>
  <c r="O221" i="1" s="1"/>
  <c r="M221" i="1"/>
  <c r="N220" i="1"/>
  <c r="O220" i="1" s="1"/>
  <c r="M220" i="1"/>
  <c r="N219" i="1"/>
  <c r="O219" i="1" s="1"/>
  <c r="M219" i="1"/>
  <c r="M218" i="1"/>
  <c r="N218" i="1"/>
  <c r="O218" i="1" s="1"/>
  <c r="N217" i="1"/>
  <c r="O217" i="1" s="1"/>
  <c r="M217" i="1"/>
  <c r="Q217" i="1"/>
  <c r="R217" i="1"/>
  <c r="N216" i="1"/>
  <c r="O216" i="1" s="1"/>
  <c r="M216" i="1"/>
  <c r="N215" i="1"/>
  <c r="O215" i="1" s="1"/>
  <c r="M215" i="1"/>
  <c r="M214" i="1"/>
  <c r="N214" i="1"/>
  <c r="O214" i="1" s="1"/>
  <c r="N213" i="1"/>
  <c r="O213" i="1" s="1"/>
  <c r="M213" i="1"/>
  <c r="R213" i="1"/>
  <c r="Q213" i="1"/>
  <c r="N212" i="1"/>
  <c r="O212" i="1" s="1"/>
  <c r="M212" i="1"/>
  <c r="M211" i="1"/>
  <c r="N211" i="1"/>
  <c r="O211" i="1" s="1"/>
  <c r="N210" i="1"/>
  <c r="O210" i="1" s="1"/>
  <c r="M210" i="1"/>
  <c r="M209" i="1"/>
  <c r="N209" i="1"/>
  <c r="O209" i="1" s="1"/>
  <c r="M208" i="1"/>
  <c r="N208" i="1"/>
  <c r="O208" i="1" s="1"/>
  <c r="N207" i="1"/>
  <c r="O207" i="1" s="1"/>
  <c r="M207" i="1"/>
  <c r="Q207" i="1"/>
  <c r="R207" i="1"/>
  <c r="N206" i="1"/>
  <c r="O206" i="1" s="1"/>
  <c r="M206" i="1"/>
  <c r="Q206" i="1"/>
  <c r="R206" i="1"/>
  <c r="N205" i="1"/>
  <c r="O205" i="1" s="1"/>
  <c r="M205" i="1"/>
  <c r="M204" i="1"/>
  <c r="N204" i="1"/>
  <c r="O204" i="1" s="1"/>
  <c r="M203" i="1"/>
  <c r="N203" i="1"/>
  <c r="O203" i="1" s="1"/>
  <c r="N202" i="1"/>
  <c r="O202" i="1" s="1"/>
  <c r="M202" i="1"/>
  <c r="R202" i="1"/>
  <c r="Q202" i="1"/>
  <c r="N201" i="1"/>
  <c r="O201" i="1" s="1"/>
  <c r="M201" i="1"/>
  <c r="M200" i="1"/>
  <c r="N200" i="1"/>
  <c r="O200" i="1" s="1"/>
  <c r="N199" i="1"/>
  <c r="O199" i="1" s="1"/>
  <c r="M199" i="1"/>
  <c r="R199" i="1"/>
  <c r="Q199" i="1"/>
  <c r="M198" i="1"/>
  <c r="N198" i="1"/>
  <c r="O198" i="1" s="1"/>
  <c r="N197" i="1"/>
  <c r="O197" i="1" s="1"/>
  <c r="M197" i="1"/>
  <c r="N196" i="1"/>
  <c r="O196" i="1" s="1"/>
  <c r="M196" i="1"/>
  <c r="M195" i="1"/>
  <c r="N195" i="1"/>
  <c r="O195" i="1" s="1"/>
  <c r="N194" i="1"/>
  <c r="O194" i="1" s="1"/>
  <c r="M194" i="1"/>
  <c r="N193" i="1"/>
  <c r="O193" i="1" s="1"/>
  <c r="M193" i="1"/>
  <c r="R193" i="1"/>
  <c r="Q193" i="1"/>
  <c r="M192" i="1"/>
  <c r="N192" i="1"/>
  <c r="O192" i="1" s="1"/>
  <c r="Q192" i="1"/>
  <c r="R192" i="1"/>
  <c r="M191" i="1"/>
  <c r="N191" i="1"/>
  <c r="O191" i="1" s="1"/>
  <c r="R191" i="1"/>
  <c r="Q191" i="1"/>
  <c r="M190" i="1"/>
  <c r="N190" i="1"/>
  <c r="O190" i="1" s="1"/>
  <c r="N189" i="1"/>
  <c r="O189" i="1" s="1"/>
  <c r="M189" i="1"/>
  <c r="Q189" i="1"/>
  <c r="R189" i="1"/>
  <c r="N188" i="1"/>
  <c r="O188" i="1" s="1"/>
  <c r="M188" i="1"/>
  <c r="N187" i="1"/>
  <c r="O187" i="1" s="1"/>
  <c r="M187" i="1"/>
  <c r="Q187" i="1" s="1"/>
  <c r="R187" i="1"/>
  <c r="N186" i="1"/>
  <c r="O186" i="1" s="1"/>
  <c r="M186" i="1"/>
  <c r="R186" i="1"/>
  <c r="Q186" i="1"/>
  <c r="M185" i="1"/>
  <c r="Q185" i="1" s="1"/>
  <c r="N185" i="1"/>
  <c r="O185" i="1" s="1"/>
  <c r="R185" i="1"/>
  <c r="M184" i="1"/>
  <c r="N184" i="1"/>
  <c r="O184" i="1" s="1"/>
  <c r="R184" i="1"/>
  <c r="Q184" i="1"/>
  <c r="M183" i="1"/>
  <c r="N183" i="1"/>
  <c r="O183" i="1" s="1"/>
  <c r="N182" i="1"/>
  <c r="O182" i="1" s="1"/>
  <c r="M182" i="1"/>
  <c r="Q182" i="1"/>
  <c r="R182" i="1"/>
  <c r="N181" i="1"/>
  <c r="O181" i="1" s="1"/>
  <c r="M181" i="1"/>
  <c r="Q181" i="1"/>
  <c r="R181" i="1"/>
  <c r="M180" i="1"/>
  <c r="N180" i="1"/>
  <c r="O180" i="1" s="1"/>
  <c r="N179" i="1"/>
  <c r="O179" i="1" s="1"/>
  <c r="M179" i="1"/>
  <c r="Q179" i="1" s="1"/>
  <c r="R179" i="1"/>
  <c r="N178" i="1"/>
  <c r="O178" i="1" s="1"/>
  <c r="M178" i="1"/>
  <c r="Q178" i="1"/>
  <c r="R178" i="1"/>
  <c r="N177" i="1"/>
  <c r="O177" i="1" s="1"/>
  <c r="M177" i="1"/>
  <c r="R177" i="1"/>
  <c r="Q177" i="1"/>
  <c r="N176" i="1"/>
  <c r="O176" i="1" s="1"/>
  <c r="M176" i="1"/>
  <c r="Q176" i="1"/>
  <c r="R176" i="1"/>
  <c r="M175" i="1"/>
  <c r="N175" i="1"/>
  <c r="O175" i="1" s="1"/>
  <c r="R175" i="1"/>
  <c r="Q175" i="1"/>
  <c r="M174" i="1"/>
  <c r="N174" i="1"/>
  <c r="O174" i="1" s="1"/>
  <c r="M173" i="1"/>
  <c r="N173" i="1"/>
  <c r="O173" i="1" s="1"/>
  <c r="N172" i="1"/>
  <c r="O172" i="1" s="1"/>
  <c r="M172" i="1"/>
  <c r="N171" i="1"/>
  <c r="O171" i="1" s="1"/>
  <c r="M171" i="1"/>
  <c r="N170" i="1"/>
  <c r="O170" i="1" s="1"/>
  <c r="M170" i="1"/>
  <c r="N169" i="1"/>
  <c r="O169" i="1" s="1"/>
  <c r="M169" i="1"/>
  <c r="M168" i="1"/>
  <c r="N168" i="1"/>
  <c r="O168" i="1" s="1"/>
  <c r="N167" i="1"/>
  <c r="O167" i="1" s="1"/>
  <c r="M167" i="1"/>
  <c r="N166" i="1"/>
  <c r="O166" i="1" s="1"/>
  <c r="M166" i="1"/>
  <c r="M165" i="1"/>
  <c r="Q165" i="1" s="1"/>
  <c r="N165" i="1"/>
  <c r="O165" i="1" s="1"/>
  <c r="R165" i="1"/>
  <c r="N164" i="1"/>
  <c r="O164" i="1" s="1"/>
  <c r="M164" i="1"/>
  <c r="N163" i="1"/>
  <c r="O163" i="1" s="1"/>
  <c r="M163" i="1"/>
  <c r="M162" i="1"/>
  <c r="N162" i="1"/>
  <c r="O162" i="1" s="1"/>
  <c r="M161" i="1"/>
  <c r="N161" i="1"/>
  <c r="O161" i="1" s="1"/>
  <c r="M160" i="1"/>
  <c r="N160" i="1"/>
  <c r="O160" i="1" s="1"/>
  <c r="M159" i="1"/>
  <c r="N159" i="1"/>
  <c r="O159" i="1" s="1"/>
  <c r="R159" i="1"/>
  <c r="Q159" i="1"/>
  <c r="N158" i="1"/>
  <c r="O158" i="1" s="1"/>
  <c r="M158" i="1"/>
  <c r="M157" i="1"/>
  <c r="N157" i="1"/>
  <c r="O157" i="1" s="1"/>
  <c r="M156" i="1"/>
  <c r="N156" i="1"/>
  <c r="O156" i="1" s="1"/>
  <c r="N155" i="1"/>
  <c r="O155" i="1" s="1"/>
  <c r="M155" i="1"/>
  <c r="M154" i="1"/>
  <c r="N154" i="1"/>
  <c r="O154" i="1" s="1"/>
  <c r="M153" i="1"/>
  <c r="N153" i="1"/>
  <c r="O153" i="1" s="1"/>
  <c r="Q153" i="1"/>
  <c r="R153" i="1"/>
  <c r="N152" i="1"/>
  <c r="O152" i="1" s="1"/>
  <c r="M152" i="1"/>
  <c r="R152" i="1"/>
  <c r="Q152" i="1"/>
  <c r="M151" i="1"/>
  <c r="N151" i="1"/>
  <c r="O151" i="1" s="1"/>
  <c r="M150" i="1"/>
  <c r="N150" i="1"/>
  <c r="O150" i="1" s="1"/>
  <c r="N149" i="1"/>
  <c r="O149" i="1" s="1"/>
  <c r="M149" i="1"/>
  <c r="Q149" i="1"/>
  <c r="R149" i="1"/>
  <c r="N148" i="1"/>
  <c r="O148" i="1" s="1"/>
  <c r="M148" i="1"/>
  <c r="N147" i="1"/>
  <c r="O147" i="1" s="1"/>
  <c r="M147" i="1"/>
  <c r="N146" i="1"/>
  <c r="O146" i="1" s="1"/>
  <c r="M146" i="1"/>
  <c r="Q146" i="1" s="1"/>
  <c r="M145" i="1"/>
  <c r="N145" i="1"/>
  <c r="O145" i="1" s="1"/>
  <c r="M144" i="1"/>
  <c r="N144" i="1"/>
  <c r="O144" i="1" s="1"/>
  <c r="N143" i="1"/>
  <c r="O143" i="1" s="1"/>
  <c r="M143" i="1"/>
  <c r="M142" i="1"/>
  <c r="N142" i="1"/>
  <c r="O142" i="1" s="1"/>
  <c r="M141" i="1"/>
  <c r="N141" i="1"/>
  <c r="O141" i="1" s="1"/>
  <c r="R141" i="1"/>
  <c r="Q141" i="1"/>
  <c r="M140" i="1"/>
  <c r="N140" i="1"/>
  <c r="O140" i="1" s="1"/>
  <c r="M139" i="1"/>
  <c r="N139" i="1"/>
  <c r="O139" i="1" s="1"/>
  <c r="M138" i="1"/>
  <c r="N138" i="1"/>
  <c r="O138" i="1" s="1"/>
  <c r="R138" i="1"/>
  <c r="Q138" i="1"/>
  <c r="N137" i="1"/>
  <c r="O137" i="1" s="1"/>
  <c r="M137" i="1"/>
  <c r="N136" i="1"/>
  <c r="O136" i="1" s="1"/>
  <c r="M136" i="1"/>
  <c r="M135" i="1"/>
  <c r="N135" i="1"/>
  <c r="O135" i="1" s="1"/>
  <c r="M134" i="1"/>
  <c r="N134" i="1"/>
  <c r="O134" i="1" s="1"/>
  <c r="N133" i="1"/>
  <c r="O133" i="1" s="1"/>
  <c r="M133" i="1"/>
  <c r="R133" i="1"/>
  <c r="Q133" i="1"/>
  <c r="M132" i="1"/>
  <c r="N132" i="1"/>
  <c r="O132" i="1" s="1"/>
  <c r="Q132" i="1"/>
  <c r="R132" i="1"/>
  <c r="M131" i="1"/>
  <c r="N131" i="1"/>
  <c r="O131" i="1" s="1"/>
  <c r="N130" i="1"/>
  <c r="O130" i="1" s="1"/>
  <c r="M130" i="1"/>
  <c r="R130" i="1"/>
  <c r="Q130" i="1"/>
  <c r="M129" i="1"/>
  <c r="N129" i="1"/>
  <c r="O129" i="1" s="1"/>
  <c r="M128" i="1"/>
  <c r="N128" i="1"/>
  <c r="O128" i="1" s="1"/>
  <c r="M127" i="1"/>
  <c r="N127" i="1"/>
  <c r="O127" i="1" s="1"/>
  <c r="M126" i="1"/>
  <c r="N126" i="1"/>
  <c r="O126" i="1" s="1"/>
  <c r="N125" i="1"/>
  <c r="O125" i="1" s="1"/>
  <c r="M125" i="1"/>
  <c r="M124" i="1"/>
  <c r="N124" i="1"/>
  <c r="O124" i="1" s="1"/>
  <c r="N123" i="1"/>
  <c r="O123" i="1" s="1"/>
  <c r="M123" i="1"/>
  <c r="M122" i="1"/>
  <c r="N122" i="1"/>
  <c r="O122" i="1" s="1"/>
  <c r="N121" i="1"/>
  <c r="O121" i="1" s="1"/>
  <c r="M121" i="1"/>
  <c r="R121" i="1"/>
  <c r="Q121" i="1"/>
  <c r="N120" i="1"/>
  <c r="O120" i="1" s="1"/>
  <c r="M120" i="1"/>
  <c r="N119" i="1"/>
  <c r="O119" i="1" s="1"/>
  <c r="M119" i="1"/>
  <c r="M118" i="1"/>
  <c r="N118" i="1"/>
  <c r="O118" i="1" s="1"/>
  <c r="N117" i="1"/>
  <c r="O117" i="1" s="1"/>
  <c r="M117" i="1"/>
  <c r="M116" i="1"/>
  <c r="N116" i="1"/>
  <c r="O116" i="1" s="1"/>
  <c r="R116" i="1"/>
  <c r="Q116" i="1"/>
  <c r="N115" i="1"/>
  <c r="O115" i="1" s="1"/>
  <c r="M115" i="1"/>
  <c r="R115" i="1"/>
  <c r="Q115" i="1"/>
  <c r="N114" i="1"/>
  <c r="O114" i="1" s="1"/>
  <c r="M114" i="1"/>
  <c r="M113" i="1"/>
  <c r="N113" i="1"/>
  <c r="O113" i="1" s="1"/>
  <c r="Q113" i="1"/>
  <c r="R113" i="1"/>
  <c r="M112" i="1"/>
  <c r="N112" i="1"/>
  <c r="O112" i="1" s="1"/>
  <c r="R112" i="1"/>
  <c r="Q112" i="1"/>
  <c r="N111" i="1"/>
  <c r="O111" i="1" s="1"/>
  <c r="M111" i="1"/>
  <c r="Q111" i="1" s="1"/>
  <c r="R111" i="1"/>
  <c r="N110" i="1"/>
  <c r="O110" i="1" s="1"/>
  <c r="M110" i="1"/>
  <c r="R110" i="1"/>
  <c r="Q110" i="1"/>
  <c r="N109" i="1"/>
  <c r="O109" i="1" s="1"/>
  <c r="M109" i="1"/>
  <c r="R109" i="1"/>
  <c r="Q109" i="1"/>
  <c r="N108" i="1"/>
  <c r="O108" i="1" s="1"/>
  <c r="M108" i="1"/>
  <c r="R108" i="1"/>
  <c r="Q108" i="1"/>
  <c r="M107" i="1"/>
  <c r="N107" i="1"/>
  <c r="O107" i="1" s="1"/>
  <c r="M106" i="1"/>
  <c r="N106" i="1"/>
  <c r="O106" i="1" s="1"/>
  <c r="N105" i="1"/>
  <c r="O105" i="1" s="1"/>
  <c r="M105" i="1"/>
  <c r="M104" i="1"/>
  <c r="N104" i="1"/>
  <c r="O104" i="1" s="1"/>
  <c r="N103" i="1"/>
  <c r="O103" i="1" s="1"/>
  <c r="M103" i="1"/>
  <c r="Q103" i="1" s="1"/>
  <c r="N102" i="1"/>
  <c r="O102" i="1" s="1"/>
  <c r="M102" i="1"/>
  <c r="Q102" i="1" s="1"/>
  <c r="R102" i="1"/>
  <c r="N101" i="1"/>
  <c r="O101" i="1" s="1"/>
  <c r="M101" i="1"/>
  <c r="N100" i="1"/>
  <c r="O100" i="1" s="1"/>
  <c r="M100" i="1"/>
  <c r="R100" i="1"/>
  <c r="Q100" i="1"/>
  <c r="N99" i="1"/>
  <c r="O99" i="1" s="1"/>
  <c r="M99" i="1"/>
  <c r="R99" i="1"/>
  <c r="Q99" i="1"/>
  <c r="N98" i="1"/>
  <c r="O98" i="1" s="1"/>
  <c r="M98" i="1"/>
  <c r="Q98" i="1"/>
  <c r="R98" i="1"/>
  <c r="M97" i="1"/>
  <c r="N97" i="1"/>
  <c r="O97" i="1" s="1"/>
  <c r="Q97" i="1"/>
  <c r="R97" i="1"/>
  <c r="N96" i="1"/>
  <c r="O96" i="1" s="1"/>
  <c r="M96" i="1"/>
  <c r="Q96" i="1"/>
  <c r="R96" i="1"/>
  <c r="M95" i="1"/>
  <c r="N95" i="1"/>
  <c r="O95" i="1" s="1"/>
  <c r="M94" i="1"/>
  <c r="N94" i="1"/>
  <c r="O94" i="1" s="1"/>
  <c r="Q94" i="1"/>
  <c r="R94" i="1"/>
  <c r="N93" i="1"/>
  <c r="O93" i="1" s="1"/>
  <c r="M93" i="1"/>
  <c r="M92" i="1"/>
  <c r="N92" i="1"/>
  <c r="O92" i="1" s="1"/>
  <c r="M91" i="1"/>
  <c r="N91" i="1"/>
  <c r="O91" i="1" s="1"/>
  <c r="M90" i="1"/>
  <c r="N90" i="1"/>
  <c r="O90" i="1" s="1"/>
  <c r="R90" i="1"/>
  <c r="Q90" i="1"/>
  <c r="N89" i="1"/>
  <c r="O89" i="1" s="1"/>
  <c r="M89" i="1"/>
  <c r="Q89" i="1" s="1"/>
  <c r="R89" i="1"/>
  <c r="M88" i="1"/>
  <c r="Q88" i="1" s="1"/>
  <c r="N88" i="1"/>
  <c r="O88" i="1" s="1"/>
  <c r="R88" i="1"/>
  <c r="N87" i="1"/>
  <c r="O87" i="1" s="1"/>
  <c r="M87" i="1"/>
  <c r="R87" i="1"/>
  <c r="Q87" i="1"/>
  <c r="M86" i="1"/>
  <c r="N86" i="1"/>
  <c r="O86" i="1" s="1"/>
  <c r="N85" i="1"/>
  <c r="O85" i="1" s="1"/>
  <c r="M85" i="1"/>
  <c r="Q85" i="1"/>
  <c r="R85" i="1"/>
  <c r="M84" i="1"/>
  <c r="N84" i="1"/>
  <c r="O84" i="1" s="1"/>
  <c r="R84" i="1"/>
  <c r="Q84" i="1"/>
  <c r="M83" i="1"/>
  <c r="N83" i="1"/>
  <c r="O83" i="1" s="1"/>
  <c r="N82" i="1"/>
  <c r="O82" i="1" s="1"/>
  <c r="M82" i="1"/>
  <c r="R82" i="1"/>
  <c r="Q82" i="1"/>
  <c r="N81" i="1"/>
  <c r="O81" i="1" s="1"/>
  <c r="M81" i="1"/>
  <c r="N80" i="1"/>
  <c r="O80" i="1" s="1"/>
  <c r="M80" i="1"/>
  <c r="M79" i="1"/>
  <c r="N79" i="1"/>
  <c r="O79" i="1" s="1"/>
  <c r="R79" i="1"/>
  <c r="Q79" i="1"/>
  <c r="M78" i="1"/>
  <c r="N78" i="1"/>
  <c r="O78" i="1" s="1"/>
  <c r="Q78" i="1"/>
  <c r="R78" i="1"/>
  <c r="N77" i="1"/>
  <c r="O77" i="1" s="1"/>
  <c r="M77" i="1"/>
  <c r="Q77" i="1"/>
  <c r="R77" i="1"/>
  <c r="N76" i="1"/>
  <c r="O76" i="1" s="1"/>
  <c r="M76" i="1"/>
  <c r="N75" i="1"/>
  <c r="O75" i="1" s="1"/>
  <c r="M75" i="1"/>
  <c r="N74" i="1"/>
  <c r="O74" i="1" s="1"/>
  <c r="M74" i="1"/>
  <c r="Q74" i="1"/>
  <c r="R74" i="1"/>
  <c r="M73" i="1"/>
  <c r="N73" i="1"/>
  <c r="O73" i="1" s="1"/>
  <c r="M72" i="1"/>
  <c r="N72" i="1"/>
  <c r="O72" i="1" s="1"/>
  <c r="N71" i="1"/>
  <c r="O71" i="1" s="1"/>
  <c r="M71" i="1"/>
  <c r="R71" i="1"/>
  <c r="Q71" i="1"/>
  <c r="M70" i="1"/>
  <c r="N70" i="1"/>
  <c r="O70" i="1" s="1"/>
  <c r="N69" i="1"/>
  <c r="O69" i="1" s="1"/>
  <c r="M69" i="1"/>
  <c r="R69" i="1"/>
  <c r="Q69" i="1"/>
  <c r="N68" i="1"/>
  <c r="O68" i="1" s="1"/>
  <c r="M68" i="1"/>
  <c r="M67" i="1"/>
  <c r="N67" i="1"/>
  <c r="O67" i="1" s="1"/>
  <c r="R67" i="1"/>
  <c r="Q67" i="1"/>
  <c r="N66" i="1"/>
  <c r="O66" i="1" s="1"/>
  <c r="M66" i="1"/>
  <c r="R66" i="1"/>
  <c r="Q66" i="1"/>
  <c r="M65" i="1"/>
  <c r="N65" i="1"/>
  <c r="O65" i="1" s="1"/>
  <c r="R65" i="1"/>
  <c r="Q65" i="1"/>
  <c r="M64" i="1"/>
  <c r="Q64" i="1" s="1"/>
  <c r="N64" i="1"/>
  <c r="O64" i="1" s="1"/>
  <c r="R64" i="1"/>
  <c r="M63" i="1"/>
  <c r="N63" i="1"/>
  <c r="O63" i="1" s="1"/>
  <c r="N62" i="1"/>
  <c r="O62" i="1" s="1"/>
  <c r="M62" i="1"/>
  <c r="Q62" i="1" s="1"/>
  <c r="R62" i="1"/>
  <c r="N61" i="1"/>
  <c r="O61" i="1" s="1"/>
  <c r="M61" i="1"/>
  <c r="M60" i="1"/>
  <c r="N60" i="1"/>
  <c r="O60" i="1" s="1"/>
  <c r="M59" i="1"/>
  <c r="N59" i="1"/>
  <c r="O59" i="1" s="1"/>
  <c r="M58" i="1"/>
  <c r="N58" i="1"/>
  <c r="O58" i="1" s="1"/>
  <c r="N57" i="1"/>
  <c r="O57" i="1" s="1"/>
  <c r="M57" i="1"/>
  <c r="M56" i="1"/>
  <c r="N56" i="1"/>
  <c r="O56" i="1" s="1"/>
  <c r="R56" i="1"/>
  <c r="Q56" i="1"/>
  <c r="M55" i="1"/>
  <c r="Q55" i="1" s="1"/>
  <c r="N55" i="1"/>
  <c r="O55" i="1" s="1"/>
  <c r="N54" i="1"/>
  <c r="O54" i="1" s="1"/>
  <c r="M54" i="1"/>
  <c r="M53" i="1"/>
  <c r="N53" i="1"/>
  <c r="O53" i="1" s="1"/>
  <c r="Q53" i="1"/>
  <c r="R53" i="1"/>
  <c r="N52" i="1"/>
  <c r="O52" i="1" s="1"/>
  <c r="M52" i="1"/>
  <c r="Q52" i="1" s="1"/>
  <c r="R52" i="1"/>
  <c r="M51" i="1"/>
  <c r="N51" i="1"/>
  <c r="O51" i="1" s="1"/>
  <c r="M50" i="1"/>
  <c r="N50" i="1"/>
  <c r="O50" i="1" s="1"/>
  <c r="N49" i="1"/>
  <c r="O49" i="1" s="1"/>
  <c r="M49" i="1"/>
  <c r="R49" i="1"/>
  <c r="Q49" i="1"/>
  <c r="M48" i="1"/>
  <c r="N48" i="1"/>
  <c r="O48" i="1" s="1"/>
  <c r="R48" i="1"/>
  <c r="Q48" i="1"/>
  <c r="M47" i="1"/>
  <c r="N47" i="1"/>
  <c r="O47" i="1" s="1"/>
  <c r="M46" i="1"/>
  <c r="N46" i="1"/>
  <c r="O46" i="1" s="1"/>
  <c r="Q46" i="1"/>
  <c r="R46" i="1"/>
  <c r="N45" i="1"/>
  <c r="O45" i="1" s="1"/>
  <c r="M45" i="1"/>
  <c r="M44" i="1"/>
  <c r="N44" i="1"/>
  <c r="O44" i="1" s="1"/>
  <c r="Q44" i="1"/>
  <c r="R44" i="1"/>
  <c r="M43" i="1"/>
  <c r="N43" i="1"/>
  <c r="O43" i="1" s="1"/>
  <c r="R43" i="1"/>
  <c r="Q43" i="1"/>
  <c r="N42" i="1"/>
  <c r="O42" i="1" s="1"/>
  <c r="M42" i="1"/>
  <c r="R42" i="1"/>
  <c r="Q42" i="1"/>
  <c r="N41" i="1"/>
  <c r="O41" i="1" s="1"/>
  <c r="M41" i="1"/>
  <c r="N40" i="1"/>
  <c r="O40" i="1" s="1"/>
  <c r="M40" i="1"/>
  <c r="M39" i="1"/>
  <c r="N39" i="1"/>
  <c r="O39" i="1" s="1"/>
  <c r="Q39" i="1"/>
  <c r="R39" i="1"/>
  <c r="M38" i="1"/>
  <c r="N38" i="1"/>
  <c r="O38" i="1" s="1"/>
  <c r="M37" i="1"/>
  <c r="N37" i="1"/>
  <c r="O37" i="1" s="1"/>
  <c r="M36" i="1"/>
  <c r="N36" i="1"/>
  <c r="O36" i="1" s="1"/>
  <c r="N35" i="1"/>
  <c r="O35" i="1" s="1"/>
  <c r="M35" i="1"/>
  <c r="Q35" i="1" s="1"/>
  <c r="R35" i="1"/>
  <c r="N34" i="1"/>
  <c r="O34" i="1" s="1"/>
  <c r="M34" i="1"/>
  <c r="N33" i="1"/>
  <c r="O33" i="1" s="1"/>
  <c r="M33" i="1"/>
  <c r="M32" i="1"/>
  <c r="N32" i="1"/>
  <c r="O32" i="1" s="1"/>
  <c r="R32" i="1"/>
  <c r="Q32" i="1"/>
  <c r="M31" i="1"/>
  <c r="N31" i="1"/>
  <c r="O31" i="1" s="1"/>
  <c r="Q31" i="1"/>
  <c r="R31" i="1"/>
  <c r="N30" i="1"/>
  <c r="O30" i="1" s="1"/>
  <c r="M30" i="1"/>
  <c r="Q30" i="1"/>
  <c r="R30" i="1"/>
  <c r="M29" i="1"/>
  <c r="N29" i="1"/>
  <c r="O29" i="1" s="1"/>
  <c r="N28" i="1"/>
  <c r="O28" i="1" s="1"/>
  <c r="M28" i="1"/>
  <c r="M27" i="1"/>
  <c r="Q27" i="1" s="1"/>
  <c r="N27" i="1"/>
  <c r="O27" i="1" s="1"/>
  <c r="R27" i="1"/>
  <c r="N26" i="1"/>
  <c r="O26" i="1" s="1"/>
  <c r="M26" i="1"/>
  <c r="N25" i="1"/>
  <c r="O25" i="1" s="1"/>
  <c r="M25" i="1"/>
  <c r="N24" i="1"/>
  <c r="O24" i="1" s="1"/>
  <c r="M24" i="1"/>
  <c r="Q24" i="1" s="1"/>
  <c r="R24" i="1"/>
  <c r="M23" i="1"/>
  <c r="Q23" i="1" s="1"/>
  <c r="N23" i="1"/>
  <c r="O23" i="1" s="1"/>
  <c r="R23" i="1"/>
  <c r="M22" i="1"/>
  <c r="N22" i="1"/>
  <c r="O22" i="1" s="1"/>
  <c r="M21" i="1"/>
  <c r="N21" i="1"/>
  <c r="O21" i="1" s="1"/>
  <c r="M20" i="1"/>
  <c r="N20" i="1"/>
  <c r="O20" i="1" s="1"/>
  <c r="Q20" i="1"/>
  <c r="R20" i="1"/>
  <c r="N18" i="1"/>
  <c r="O18" i="1" s="1"/>
  <c r="M18" i="1"/>
  <c r="N17" i="1"/>
  <c r="O17" i="1" s="1"/>
  <c r="M17" i="1"/>
  <c r="Q17" i="1"/>
  <c r="R17" i="1"/>
  <c r="N16" i="1"/>
  <c r="O16" i="1" s="1"/>
  <c r="M16" i="1"/>
  <c r="N15" i="1"/>
  <c r="O15" i="1" s="1"/>
  <c r="M15" i="1"/>
  <c r="N14" i="1"/>
  <c r="O14" i="1" s="1"/>
  <c r="M14" i="1"/>
  <c r="M13" i="1"/>
  <c r="N13" i="1"/>
  <c r="O13" i="1" s="1"/>
  <c r="M12" i="1"/>
  <c r="N12" i="1"/>
  <c r="O12" i="1" s="1"/>
  <c r="R12" i="1"/>
  <c r="Q12" i="1"/>
  <c r="N11" i="1"/>
  <c r="O11" i="1" s="1"/>
  <c r="M11" i="1"/>
  <c r="Q11" i="1"/>
  <c r="R11" i="1"/>
  <c r="M10" i="1"/>
  <c r="N10" i="1"/>
  <c r="O10" i="1" s="1"/>
  <c r="M9" i="1"/>
  <c r="N9" i="1"/>
  <c r="O9" i="1" s="1"/>
  <c r="Q9" i="1"/>
  <c r="R9" i="1"/>
  <c r="N8" i="1"/>
  <c r="O8" i="1" s="1"/>
  <c r="M8" i="1"/>
  <c r="M7" i="1"/>
  <c r="N7" i="1"/>
  <c r="O7" i="1" s="1"/>
  <c r="R7" i="1"/>
  <c r="Q7" i="1"/>
  <c r="L6" i="1"/>
  <c r="V28" i="1"/>
  <c r="X28" i="1" s="1"/>
  <c r="M5" i="1"/>
  <c r="N5" i="1"/>
  <c r="O5" i="1" s="1"/>
  <c r="Y7" i="1"/>
  <c r="Y10" i="1"/>
  <c r="Y16" i="1"/>
  <c r="Y8" i="1"/>
  <c r="Y6" i="1"/>
  <c r="Y14" i="1"/>
  <c r="Y13" i="1"/>
  <c r="Y11" i="1"/>
  <c r="Y15" i="1"/>
  <c r="Y12" i="1"/>
  <c r="Y9" i="1"/>
  <c r="Y5" i="1"/>
  <c r="P5" i="1"/>
  <c r="Y17" i="1"/>
  <c r="P267" i="1"/>
  <c r="P247" i="1"/>
  <c r="P221" i="1"/>
  <c r="P169" i="1"/>
  <c r="P114" i="1"/>
  <c r="P234" i="1"/>
  <c r="P168" i="1"/>
  <c r="P137" i="1"/>
  <c r="P81" i="1"/>
  <c r="P59" i="1"/>
  <c r="P36" i="1"/>
  <c r="P72" i="1"/>
  <c r="P6" i="1" l="1"/>
  <c r="N6" i="1"/>
  <c r="O6" i="1" s="1"/>
  <c r="M6" i="1"/>
  <c r="Y20" i="1"/>
  <c r="Y18" i="1"/>
  <c r="Y19" i="1"/>
  <c r="Y21" i="1"/>
  <c r="Y22" i="1"/>
  <c r="Q5" i="1"/>
  <c r="V30" i="1"/>
  <c r="X30" i="1" s="1"/>
  <c r="V27" i="1"/>
  <c r="X27" i="1" s="1"/>
  <c r="V29" i="1"/>
  <c r="X29" i="1" s="1"/>
  <c r="Y23" i="1"/>
  <c r="R267" i="1"/>
  <c r="Q267" i="1"/>
  <c r="Q247" i="1"/>
  <c r="R247" i="1"/>
  <c r="Q221" i="1"/>
  <c r="R221" i="1"/>
  <c r="R169" i="1"/>
  <c r="Q169" i="1"/>
  <c r="Q114" i="1"/>
  <c r="R114" i="1"/>
  <c r="R234" i="1"/>
  <c r="Q234" i="1"/>
  <c r="R168" i="1"/>
  <c r="Q168" i="1"/>
  <c r="Q137" i="1"/>
  <c r="R137" i="1"/>
  <c r="Q81" i="1"/>
  <c r="R81" i="1"/>
  <c r="Q59" i="1"/>
  <c r="R59" i="1"/>
  <c r="R36" i="1"/>
  <c r="Q36" i="1"/>
  <c r="Q72" i="1"/>
  <c r="R72" i="1"/>
  <c r="R6" i="1" l="1"/>
  <c r="Q6" i="1"/>
</calcChain>
</file>

<file path=xl/sharedStrings.xml><?xml version="1.0" encoding="utf-8"?>
<sst xmlns="http://schemas.openxmlformats.org/spreadsheetml/2006/main" count="113" uniqueCount="71">
  <si>
    <t>Study decisions log — why each record was excluded at title/abstract, excluded at full text, or included</t>
  </si>
  <si>
    <t>Every cell links to the source screening sheets ('Abstract review', 'Full-text screening-extraction', 'Data extraction', 'PICOS'). Decisions update automatically if the source sheets change. Reason → protocol criterion key in columns U:Y.</t>
  </si>
  <si>
    <t>T/A record #</t>
  </si>
  <si>
    <t>First author</t>
  </si>
  <si>
    <t>Year</t>
  </si>
  <si>
    <t>Title</t>
  </si>
  <si>
    <t>DOI</t>
  </si>
  <si>
    <t>Title/abstract decision</t>
  </si>
  <si>
    <t>T/A exclusion reason</t>
  </si>
  <si>
    <t>Full-text record #</t>
  </si>
  <si>
    <t>Adjusted multivariable model fitted?</t>
  </si>
  <si>
    <t>Biomarker independent?</t>
  </si>
  <si>
    <t>Eligibility override</t>
  </si>
  <si>
    <t>Full-text decision</t>
  </si>
  <si>
    <t>Full-text exclusion reason</t>
  </si>
  <si>
    <t>Study ID</t>
  </si>
  <si>
    <t>Evidence category (A / A− / B+ / B)</t>
  </si>
  <si>
    <t>Final status</t>
  </si>
  <si>
    <t>Protocol criterion applied (PICOS domain)</t>
  </si>
  <si>
    <t>Why included — biomarker, outcome, adjustment</t>
  </si>
  <si>
    <t>Stage</t>
  </si>
  <si>
    <t>Reason (as recorded)</t>
  </si>
  <si>
    <t>PICOS domain</t>
  </si>
  <si>
    <t>Protocol exclusion criterion (linked to PICOS sheet)</t>
  </si>
  <si>
    <t>n</t>
  </si>
  <si>
    <t>Title/abstract</t>
  </si>
  <si>
    <t>no pdac</t>
  </si>
  <si>
    <t>Population</t>
  </si>
  <si>
    <t>Review</t>
  </si>
  <si>
    <t>Study design</t>
  </si>
  <si>
    <t>Author Correction</t>
  </si>
  <si>
    <t>Preclinical studies</t>
  </si>
  <si>
    <t>No survival outcome</t>
  </si>
  <si>
    <t>Outcomes</t>
  </si>
  <si>
    <t>Diagnostic value</t>
  </si>
  <si>
    <t>No prognostic value</t>
  </si>
  <si>
    <t>Exploratory analysis</t>
  </si>
  <si>
    <t>Not transcriptomic/proteomic biomarker expression</t>
  </si>
  <si>
    <t>Biomarker modality &amp; sample type</t>
  </si>
  <si>
    <t>Liquid biopsy / circulating biomarker only</t>
  </si>
  <si>
    <t>AI-based prognosis</t>
  </si>
  <si>
    <t>Preprint (not peer-reviewed)</t>
  </si>
  <si>
    <t>Duplicate</t>
  </si>
  <si>
    <t>—</t>
  </si>
  <si>
    <t>Duplicate of a record already screened (incl. preprint / published pairs)</t>
  </si>
  <si>
    <t>Full text</t>
  </si>
  <si>
    <t>No adjusted multivariable model fitted</t>
  </si>
  <si>
    <t>Analysis &amp; synthesis eligibility</t>
  </si>
  <si>
    <t>Unclear whether an adjusted model was fitted</t>
  </si>
  <si>
    <t>Biomarker not independent after adjustment</t>
  </si>
  <si>
    <t>Independent prognostic value</t>
  </si>
  <si>
    <t>Biomarker modality not transcriptomic/proteomic</t>
  </si>
  <si>
    <t>Primary question not prognostic; adjustment unclear</t>
  </si>
  <si>
    <t>Included</t>
  </si>
  <si>
    <t>Independent prognostic biomarker demonstrated</t>
  </si>
  <si>
    <t>All PICOS rows + Independent prognostic value</t>
  </si>
  <si>
    <t>Check against PRISMA sheet</t>
  </si>
  <si>
    <t>Log</t>
  </si>
  <si>
    <t>PRISMA</t>
  </si>
  <si>
    <t>Status</t>
  </si>
  <si>
    <t>Excluded at title/abstract</t>
  </si>
  <si>
    <t>Assessed at full text</t>
  </si>
  <si>
    <t>Excluded at full text</t>
  </si>
  <si>
    <t>Included (database)</t>
  </si>
  <si>
    <t>Included (registry)</t>
  </si>
  <si>
    <t>Registry stream (ClinicalTrials.gov) — 413 records identified; 399 removed by the registry search filters (condition, intervention, study-type limits; no per-record decision); 14 trials included as context</t>
  </si>
  <si>
    <t>NCT number</t>
  </si>
  <si>
    <t>N</t>
  </si>
  <si>
    <t>Intervention</t>
  </si>
  <si>
    <t>Why included</t>
  </si>
  <si>
    <t>INCLUDED (registry, context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</si>
</sst>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4"/>
      <color theme="1"/>
      <name val="Calibri"/>
      <family val="2"/>
      <scheme val="minor"/>
    </font>
    <font>
      <i/>
      <sz val="11"/>
      <color rgb="FF595959"/>
      <name val="Calibri"/>
      <family val="2"/>
      <scheme val="minor"/>
    </font>
    <font>
      <b/>
      <sz val="11"/>
      <color rgb="FFFFFFFF"/>
      <name val="Calibri"/>
      <family val="2"/>
      <scheme val="minor"/>
    </font>
    <font>
      <sz val="11"/>
      <color rgb="FF008000"/>
      <name val="Calibri"/>
      <family val="2"/>
      <scheme val="minor"/>
    </font>
    <font>
      <sz val="11"/>
      <color rgb="FF000000"/>
      <name val="Calibri"/>
      <family val="2"/>
      <scheme val="minor"/>
    </font>
    <font>
      <b/>
      <sz val="11"/>
      <color rgb="FF000000"/>
      <name val="Calibri"/>
      <family val="2"/>
      <scheme val="minor"/>
    </font>
    <font>
      <b/>
      <sz val="11"/>
      <color rgb="FF008000"/>
      <name val="Calibri"/>
      <family val="2"/>
      <scheme val="minor"/>
    </font>
  </fonts>
  <fills count="3">
    <fill>
      <patternFill patternType="none"/>
    </fill>
    <fill>
      <patternFill patternType="gray125"/>
    </fill>
    <fill>
      <patternFill patternType="solid">
        <fgColor rgb="FF191819"/>
        <bgColor indexed="64"/>
      </patternFill>
    </fill>
  </fills>
  <borders count="2">
    <border>
      <left/>
      <right/>
      <top/>
      <bottom/>
      <diagonal/>
    </border>
    <border>
      <left/>
      <right/>
      <top/>
      <bottom style="medium">
        <color rgb="FFFF9AFF"/>
      </bottom>
      <diagonal/>
    </border>
  </borders>
  <cellStyleXfs count="1">
    <xf numFmtId="0" fontId="0" fillId="0" borderId="0"/>
  </cellStyleXfs>
  <cellXfs count="14">
    <xf numFmtId="0" fontId="0" fillId="0" borderId="0" xfId="0"/>
    <xf numFmtId="0" fontId="1" fillId="0" borderId="0" xfId="0" applyFont="1"/>
    <xf numFmtId="0" fontId="2" fillId="0" borderId="0" xfId="0" applyFont="1"/>
    <xf numFmtId="0" fontId="3" fillId="2" borderId="1" xfId="0" applyFont="1" applyFill="1" applyBorder="1" applyAlignment="1">
      <alignment vertical="center" wrapText="1"/>
    </xf>
    <xf numFmtId="0" fontId="4" fillId="0" borderId="0" xfId="0" applyFont="1" applyAlignment="1">
      <alignment vertical="top"/>
    </xf>
    <xf numFmtId="0" fontId="4" fillId="0" borderId="0" xfId="0" applyFont="1" applyAlignment="1">
      <alignment horizontal="center" vertical="top"/>
    </xf>
    <xf numFmtId="0" fontId="5" fillId="0" borderId="0" xfId="0" applyFont="1" applyAlignment="1">
      <alignment vertical="top"/>
    </xf>
    <xf numFmtId="0" fontId="6" fillId="0" borderId="0" xfId="0" applyFont="1" applyAlignment="1">
      <alignment vertical="top"/>
    </xf>
    <xf numFmtId="0" fontId="0" fillId="0" borderId="0" xfId="0" applyAlignment="1">
      <alignment vertical="top"/>
    </xf>
    <xf numFmtId="0" fontId="0" fillId="0" borderId="0" xfId="0" applyAlignment="1">
      <alignment vertical="top" wrapText="1"/>
    </xf>
    <xf numFmtId="3" fontId="0" fillId="0" borderId="0" xfId="0" applyNumberFormat="1"/>
    <xf numFmtId="0" fontId="7" fillId="0" borderId="0" xfId="0" applyFont="1" applyAlignment="1">
      <alignment vertical="top"/>
    </xf>
    <xf numFmtId="0" fontId="7" fillId="2" borderId="1" xfId="0" applyFont="1" applyFill="1" applyBorder="1" applyAlignment="1">
      <alignment vertical="top" wrapText="1"/>
    </xf>
    <xf numFmtId="0" fontId="7" fillId="2" borderId="1" xfId="0" applyFont="1" applyFill="1" applyBorder="1" applyAlignment="1">
      <alignment horizontal="center" vertical="top" wrapText="1"/>
    </xf>
  </cellXfs>
  <cellStyles count="1">
    <cellStyle name="Normal" xfId="0" builtinId="0"/>
  </cellStyles>
  <dxfs count="2">
    <dxf>
      <fill>
        <patternFill patternType="solid">
          <fgColor indexed="64"/>
          <bgColor rgb="FFE6E6E6"/>
        </patternFill>
      </fill>
    </dxf>
    <dxf>
      <fill>
        <patternFill patternType="solid">
          <fgColor indexed="64"/>
          <bgColor rgb="FFFF9AF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126295-Supplementary%20Material.xlsm" TargetMode="External"/><Relationship Id="rId2" Type="http://schemas.openxmlformats.org/officeDocument/2006/relationships/externalLinkPath" Target="https://d.docs.live.net/ea5c81a0d8d8691c/Desktop/PhD_Med_Auth/publications%202026%20v2.0%20resubmissions/126295_v2.0_07092026/126295-Supplementary%20Material.xlsm" TargetMode="External"/><Relationship Id="rId1" Type="http://schemas.openxmlformats.org/officeDocument/2006/relationships/externalLinkPath" Target="/ea5c81a0d8d8691c/Desktop/PhD_Med_Auth/publications%202026%20v2.0%20resubmissions/126295_v2.0_07092026/126295-Supplementary%20Materi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tro"/>
      <sheetName val="Search strategy"/>
      <sheetName val="PICOS"/>
      <sheetName val="Abstract review"/>
      <sheetName val="ctg-studies"/>
      <sheetName val="pubmed"/>
      <sheetName val="europepmc"/>
      <sheetName val="PRISMA"/>
      <sheetName val="Full-text screening-extraction"/>
      <sheetName val="Study decisions log"/>
      <sheetName val="RoB &amp; GRADE"/>
      <sheetName val="LAB data"/>
      <sheetName val="QUIPS appraisal frame"/>
      <sheetName val="PROBAST appraisal frame"/>
      <sheetName val="Data extraction"/>
      <sheetName val="Data extraction clinical.gov"/>
      <sheetName val="Model development"/>
      <sheetName val="tumor"/>
      <sheetName val="normal"/>
      <sheetName val="CPTAC_DE_all"/>
      <sheetName val="CPTAC_DE_significant"/>
      <sheetName val="Top_upregulated"/>
      <sheetName val="Top_downregulated"/>
      <sheetName val="GO_results"/>
      <sheetName val="GO_results_downregulated"/>
      <sheetName val="KEGG_results_all"/>
      <sheetName val="KEGG_results_downregulated"/>
      <sheetName val="TCGA_univariable_Cox"/>
      <sheetName val="TCGA_multivariable_Cox"/>
      <sheetName val="LASSO_selected_genes"/>
      <sheetName val="LASSO_patient_scores"/>
      <sheetName val="Initial_signature_scores"/>
      <sheetName val="Model_performance"/>
      <sheetName val="Model validation"/>
      <sheetName val="EXTERNAL VALIDATION "/>
      <sheetName val="cohort_summary"/>
      <sheetName val="GSE71729_validation_dataset"/>
      <sheetName val="signature_coefficients"/>
      <sheetName val="survival_results"/>
      <sheetName val="cox_univariable"/>
      <sheetName val="cox_median_split"/>
      <sheetName val="cox_multivariable"/>
      <sheetName val="km_medians"/>
      <sheetName val="logrank_test"/>
      <sheetName val="model_performance (2)"/>
      <sheetName val="signature_expression"/>
      <sheetName val="expression_wide"/>
      <sheetName val="expression_long"/>
      <sheetName val="DATA-3 review list"/>
    </sheetNames>
    <sheetDataSet>
      <sheetData sheetId="0"/>
      <sheetData sheetId="1"/>
      <sheetData sheetId="2">
        <row r="7">
          <cell r="E7" t="str">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ell>
        </row>
        <row r="8">
          <cell r="E8" t="str">
            <v>Studies focused exclusively on non-PDAC malignancies, including pancreatic neuroendocrine neoplasms, periampullary cancers, ampullary cancers, cholangiocarcinoma, acinar cell carcinoma, or mixed pancreatic tumour populations where PDAC-specific results cannot be disaggregated</v>
          </cell>
        </row>
        <row r="11">
          <cell r="E11" t="str">
            <v>Studies not reporting survival, recurrence, or other prognostic time-to-event outcomes; studies reporting only treatment response without survival correlation</v>
          </cell>
        </row>
        <row r="12">
          <cell r="E12" t="str">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ell>
        </row>
        <row r="13">
          <cell r="E13" t="str">
            <v>Excluded at full-text screening: (i) no adjusted multivariable survival model fitted for the nominated biomarker (recorded as "not fitted"); (ii) presence of such a model cannot be established from the available text (recorded as "unclear"); (iii) adjusted model fitted but the biomarker was not statistically significant / not retained as an independent predictor after adjustment (recorded as "not independent"). Studies excluded under (iii) are listed with their adjusted estimates in the screening log so that the effect of this criterion can be reported transparently.</v>
          </cell>
        </row>
        <row r="14">
          <cell r="D14" t="str">
            <v>Eligible only if the study demonstrated an independent prognostic biomarker, i.e. the tumour transcriptomic/proteomic biomarker remained significantly associated with the survival outcome in an adjusted multivariable time-to-event model including clinicopathological covariates</v>
          </cell>
          <cell r="E14" t="str">
            <v>At full-text screening, studies that did not demonstrate an independent prognostic biomarker (no adjusted multivariable analysis, or biomarker not retained as an independent predictor after adjustment) were excluded</v>
          </cell>
        </row>
      </sheetData>
      <sheetData sheetId="3">
        <row r="5">
          <cell r="C5">
            <v>1</v>
          </cell>
          <cell r="D5" t="str">
            <v>Y. Zhang; Y. Du; J. Wang; D. Wang; J. Li; J. Zhang; Y. Zhao; S. Sun; H. Sun; J. Qi; R. Bao; C. Shao; M. Zhang; X. He; L. Zhang; C. Zhou; D. Wang; B. Su; D. Zou; Y. Ye</v>
          </cell>
          <cell r="E5">
            <v>2026</v>
          </cell>
          <cell r="F5" t="str">
            <v>Single-Cell Analysis of Chemotherapy-induced Remodeling Reveals CD276-driven Basal-like Chemoresistance in Pancreatic Cancer</v>
          </cell>
          <cell r="G5" t="str">
            <v>10.1053/j.gastro.2025.09.043</v>
          </cell>
          <cell r="I5" t="str">
            <v>E</v>
          </cell>
          <cell r="J5" t="str">
            <v>No survival outcome</v>
          </cell>
        </row>
        <row r="6">
          <cell r="C6">
            <v>2</v>
          </cell>
          <cell r="D6" t="str">
            <v>Hao Yang; Yukun Li; Jing Su; Haiyan Zhang; Wenxin Zhu; Kanger Shen; Wei Xu</v>
          </cell>
          <cell r="E6">
            <v>2026</v>
          </cell>
          <cell r="F6" t="str">
            <v>UNC93B1 promotes pancreatic cancer progression through modulation of cGAS-STING signaling</v>
          </cell>
          <cell r="G6" t="str">
            <v>10.3389/fimmu.2026.1718849</v>
          </cell>
          <cell r="I6" t="str">
            <v>I</v>
          </cell>
        </row>
        <row r="7">
          <cell r="C7">
            <v>3</v>
          </cell>
          <cell r="D7" t="str">
            <v>K. Yamazaki; H. Mizukami; T. Yamada; Y. Hara; H. Tamba; Y. Tatara; Z. Wang; A. Itaya; H. Kushibiki; M. Ryuzaki; T. Sasaki; H. Ruike; S. Ogasawara; Y. Tu; K. Ishido; K. Itoh; K. Hakamada</v>
          </cell>
          <cell r="E7">
            <v>2026</v>
          </cell>
          <cell r="F7" t="str">
            <v>MEG3 Promoter Methylation and F11 Receptor (F11R) Overexpression Define a High-Risk Subtype of Diabetic Pancreatic Cancer</v>
          </cell>
          <cell r="G7" t="str">
            <v>10.1016/j.modpat.2025.100953</v>
          </cell>
          <cell r="I7" t="str">
            <v>I</v>
          </cell>
        </row>
        <row r="8">
          <cell r="C8">
            <v>4</v>
          </cell>
          <cell r="D8" t="str">
            <v>Z. Xie; Y. Fang; J. Huang; J. Shen; J. Li; H. Li; M. Zeng; Q. Tang; Q. Zhu; J. Zhou; M. Hong; Y. Xu; H. Sun</v>
          </cell>
          <cell r="E8">
            <v>2026</v>
          </cell>
          <cell r="F8" t="str">
            <v>Integrative multi-omics and radiogenomic profiling decodes NNK-related tumor remodeling and prognostic stratification in pancreatic cancer</v>
          </cell>
          <cell r="G8" t="str">
            <v>10.1097/js9.0000000000004732</v>
          </cell>
          <cell r="I8" t="str">
            <v>E</v>
          </cell>
          <cell r="J8" t="str">
            <v>Diagnostic value</v>
          </cell>
        </row>
        <row r="9">
          <cell r="C9">
            <v>5</v>
          </cell>
          <cell r="D9" t="str">
            <v>F. Wu; X. Cai; Z. Qian; G. Song; X. Zhang; T. Ding; W. Xu; W. Wang</v>
          </cell>
          <cell r="E9">
            <v>2026</v>
          </cell>
          <cell r="F9" t="str">
            <v>Integrative immunogenomic profiling identifies CALU as a brown adipocyte-linked modulator of progression and treatment response in pancreatic cancer</v>
          </cell>
          <cell r="G9" t="str">
            <v>10.1007/s12672-025-04309-x</v>
          </cell>
          <cell r="I9" t="str">
            <v>I</v>
          </cell>
        </row>
        <row r="10">
          <cell r="C10">
            <v>6</v>
          </cell>
          <cell r="D10" t="str">
            <v>X. Wang; K. Shinjo; K. Kumegawa; R. Maruyama; S. Mii; Y. Shiraki; T. Nishimura; Y. Murofushi; M. Suzuki; T. Kabasawa; M. Futakuchi; A. Kanai; Y. Suzuki; A. Enomoto; Y. Kondo</v>
          </cell>
          <cell r="E10">
            <v>2026</v>
          </cell>
          <cell r="F10" t="str">
            <v>Transgelin defines pro-tumorigenic cancer-associated fibroblasts in pancreatic cancer</v>
          </cell>
          <cell r="G10" t="str">
            <v>10.1038/s41416-025-03299-5</v>
          </cell>
          <cell r="I10" t="str">
            <v>E</v>
          </cell>
          <cell r="J10" t="str">
            <v>Preclinical studies</v>
          </cell>
        </row>
        <row r="11">
          <cell r="C11">
            <v>7</v>
          </cell>
          <cell r="D11" t="str">
            <v>J. Wang; K. Xu; L. Xu; J. Geng; C. Liu; X. Gu; X. Li</v>
          </cell>
          <cell r="E11">
            <v>2026</v>
          </cell>
          <cell r="F11" t="str">
            <v>Identifying of Ubiquitin-Fold Modifier 1 as a Potential Prognostic Biomarker for Unresectable Pancreatic Cancer by Proteomics Analysis</v>
          </cell>
          <cell r="G11" t="str">
            <v>10.2147/cmar.S573143</v>
          </cell>
          <cell r="I11" t="str">
            <v>I</v>
          </cell>
        </row>
        <row r="12">
          <cell r="C12">
            <v>8</v>
          </cell>
          <cell r="D12" t="str">
            <v>J. Wang; H. Gao; B. Chen; Q. Liu; S. Wang; J. Wang; Y. Hao; R. Duan; L. Zhao; Z. Liang; Y. Wei; D. Huang</v>
          </cell>
          <cell r="E12">
            <v>2026</v>
          </cell>
          <cell r="F12" t="str">
            <v>Integrated bioinformatics and pharmacology reveal esculin's mechanism against pancreatic adenocarcinoma drug resistance</v>
          </cell>
          <cell r="G12" t="str">
            <v>10.1016/j.phymed.2025.157583</v>
          </cell>
          <cell r="I12" t="str">
            <v>I</v>
          </cell>
        </row>
        <row r="13">
          <cell r="C13">
            <v>9</v>
          </cell>
          <cell r="D13" t="str">
            <v>C. J. Vellan; K. Peng Soon; A. Abdul Aziz; J. Jacqueline Jayapalan</v>
          </cell>
          <cell r="E13">
            <v>2026</v>
          </cell>
          <cell r="F13" t="str">
            <v>Circadian-rhythm-based dynamics of the secretome in molecular subtypes of pancreatic ductal adenocarcinoma</v>
          </cell>
          <cell r="G13" t="str">
            <v>10.1080/14789450.2026.2634792</v>
          </cell>
          <cell r="I13" t="str">
            <v>E</v>
          </cell>
          <cell r="J13" t="str">
            <v>Preclinical studies</v>
          </cell>
        </row>
        <row r="14">
          <cell r="C14">
            <v>10</v>
          </cell>
          <cell r="D14" t="str">
            <v>V. Thiel; W. M. Nadler; A. Kerner; L. Kuhlmann; M. Reitberger; T. Vorberg; P. Schwerd-Kleine; E. Noll; N. A. Giese; H. Y. Yen; K. Steiger; V. Vogel; C. Klein; T. Hackert; R. Koschny; C. A. Opitz; A. Trumpp; M. R. Sprick; C. Rösli</v>
          </cell>
          <cell r="E14">
            <v>2026</v>
          </cell>
          <cell r="F14" t="str">
            <v>Proteomic Characterization Reveals CYP2S1 as a Mediator of Drug Resistance in PDAC</v>
          </cell>
          <cell r="G14" t="str">
            <v>10.1097/mpa.0000000000002553</v>
          </cell>
          <cell r="I14" t="str">
            <v>E</v>
          </cell>
          <cell r="J14" t="str">
            <v>Preclinical studies</v>
          </cell>
        </row>
        <row r="15">
          <cell r="C15">
            <v>11</v>
          </cell>
          <cell r="D15" t="str">
            <v>M. Takamatsu; M. Tanaka; Y. Masugi; Y. Inoue; H. Nagano; T. N. Le; K. Nishida; Y. Sawa; K. Sugiura; Y. Kawaguchi; Y. Kazami; Y. Nakai; T. Hamada; T. Suzuki; K. Hara; Y. Kurebayashi; T. Takeda; N. Sasahira; Y. Uematsu; S. Uemura; M. Fujishiro; K. Hasegawa; M. Kitago; Y. Takahashi; S. Sekine; T. Ushiku; K. Takeuchi</v>
          </cell>
          <cell r="E15">
            <v>2026</v>
          </cell>
          <cell r="F15" t="str">
            <v>Prognostic model for pancreatic cancer based on machine learning of routine slides and transcriptomic tumor analysis</v>
          </cell>
          <cell r="G15" t="str">
            <v>10.1038/s41416-025-03308-7</v>
          </cell>
          <cell r="I15" t="str">
            <v>E</v>
          </cell>
          <cell r="J15" t="str">
            <v>AI-based prognosis</v>
          </cell>
        </row>
        <row r="16">
          <cell r="C16">
            <v>12</v>
          </cell>
          <cell r="D16" t="str">
            <v>R. Stubbins; B. Li; M. Vasquez; B. K. Gorman; J. Zambelas; K. Allenson; A. Dhala; W. Dong; H. Zhao; S. Wong</v>
          </cell>
          <cell r="E16">
            <v>2026</v>
          </cell>
          <cell r="F16" t="str">
            <v>Prehabilitation as a Biologically Active Intervention Is Associated with the Remodeling of the Pancreatic Tumor-Immune Microenvironment</v>
          </cell>
          <cell r="G16" t="str">
            <v>10.3390/ijms27020943</v>
          </cell>
          <cell r="I16" t="str">
            <v>E</v>
          </cell>
          <cell r="J16" t="str">
            <v>No survival outcome</v>
          </cell>
        </row>
        <row r="17">
          <cell r="C17">
            <v>13</v>
          </cell>
          <cell r="D17" t="str">
            <v>J. Shi; X. Wang; Y. Tang; S. Meng; Z. Zhang; P. Lu; J. Xu; F. Yu; X. Wang; Z. Wang; Y. Sun; J. Xue</v>
          </cell>
          <cell r="E17">
            <v>2026</v>
          </cell>
          <cell r="F17" t="str">
            <v>LY6D identifies persistent stem-like cells driving pancreatic tumourigenesis</v>
          </cell>
          <cell r="G17" t="str">
            <v>10.1136/gutjnl-2025-336460</v>
          </cell>
          <cell r="I17" t="str">
            <v>I</v>
          </cell>
        </row>
        <row r="18">
          <cell r="C18">
            <v>14</v>
          </cell>
          <cell r="D18" t="str">
            <v>T. Sandhya; S. Kumari; A. Meghapriya; V. K. C. Manam; G. P. Nagaraju; M. Srilatha</v>
          </cell>
          <cell r="E18">
            <v>2026</v>
          </cell>
          <cell r="F18" t="str">
            <v>Mapping cellular heterogeneity and dynamic interactions in pancreatic cancer</v>
          </cell>
          <cell r="G18" t="str">
            <v>10.1016/j.jconrel.2026.114757</v>
          </cell>
          <cell r="I18" t="str">
            <v>E</v>
          </cell>
          <cell r="J18" t="str">
            <v>Review</v>
          </cell>
        </row>
        <row r="19">
          <cell r="C19">
            <v>15</v>
          </cell>
          <cell r="D19" t="str">
            <v>G. S. Roth; J. Cros; C. Neuzillet; E. Barbier; M. Guarssifi; A. Bennacer; M. Ducreux; M. Muller; J. Edeline; S. Manfredi; N. Williet; N. Dusetti; P. Laurent-Puig; V. Ruffino; B. Chanez; R. Nicolle; J. Taieb; D. Malka</v>
          </cell>
          <cell r="E19">
            <v>2026</v>
          </cell>
          <cell r="F19" t="str">
            <v>Randomized, multicenter Phase III trial of adjuvant chemotherapy with modified FOLFIRINOX versus capecitabine or gemcitabine in patients with resected ampullary adenocarcinoma</v>
          </cell>
          <cell r="G19" t="str">
            <v>10.1016/j.dld.2026.01.211</v>
          </cell>
          <cell r="I19" t="str">
            <v>E</v>
          </cell>
          <cell r="J19" t="str">
            <v>no pdac</v>
          </cell>
        </row>
        <row r="20">
          <cell r="C20">
            <v>16</v>
          </cell>
          <cell r="D20" t="str">
            <v>Y. Pei; M. Cheng; T. Yu; W. Ma; X. Sun; J. Zhang; J. Li; W. Li; Y. Zhou; H. Hu; Y. Qi; Y. Liu; Y. Wang</v>
          </cell>
          <cell r="E20">
            <v>2026</v>
          </cell>
          <cell r="F20" t="str">
            <v>Machine learning identifies disulfidptosis-related gene signature for pancreatic cancer prognosis and immune infiltration</v>
          </cell>
          <cell r="G20" t="str">
            <v>10.1007/s12672-026-04463-w</v>
          </cell>
          <cell r="I20" t="str">
            <v>I</v>
          </cell>
        </row>
        <row r="21">
          <cell r="C21">
            <v>17</v>
          </cell>
          <cell r="D21" t="str">
            <v>Z. Pan; L. Kong; F. Shi; K. Ying; H. Xie; X. Wu; G. Lin; J. Yao; Z. Chen; Y. Wang; G. Chen; Q. Zhu</v>
          </cell>
          <cell r="E21">
            <v>2026</v>
          </cell>
          <cell r="F21" t="str">
            <v>OCIAD2-IQGAP1 interaction promotes pancreatic cancer progression by suppressing oxidative stress and mitochondria-mediated apoptosis</v>
          </cell>
          <cell r="G21" t="str">
            <v>10.1016/j.cellsig.2025.112217</v>
          </cell>
          <cell r="I21" t="str">
            <v>E</v>
          </cell>
          <cell r="J21" t="str">
            <v>Preclinical studies</v>
          </cell>
        </row>
        <row r="22">
          <cell r="C22">
            <v>18</v>
          </cell>
          <cell r="D22" t="str">
            <v>Y. Ohara; H. Liu; P. Moreno; S. Suzuki; S. P. Hussain</v>
          </cell>
          <cell r="E22">
            <v>2026</v>
          </cell>
          <cell r="F22" t="str">
            <v>Molecular, metabolic, and histological subtypes of pancreatic ductal adenocarcinoma and its tumor microenvironment: Insights into tumor heterogeneity and clinical implications</v>
          </cell>
          <cell r="G22" t="str">
            <v>10.1016/j.pharmthera.2025.108946</v>
          </cell>
          <cell r="I22" t="str">
            <v>E</v>
          </cell>
          <cell r="J22" t="str">
            <v>Review</v>
          </cell>
        </row>
        <row r="23">
          <cell r="C23">
            <v>19</v>
          </cell>
          <cell r="D23" t="str">
            <v>M. Nii; T. Hayata</v>
          </cell>
          <cell r="E23">
            <v>2026</v>
          </cell>
          <cell r="F23" t="str">
            <v>Low CTDNEP1 Expression Predicts Poor Prognosis and Is Associated With Immune Modulation in Pancreatic Cancer</v>
          </cell>
          <cell r="G23" t="str">
            <v>10.21873/cgp.20567</v>
          </cell>
          <cell r="I23" t="str">
            <v>I</v>
          </cell>
        </row>
        <row r="24">
          <cell r="C24">
            <v>20</v>
          </cell>
          <cell r="D24" t="str">
            <v>B. Nelson; L. Delgado-Coka; N. Marchenko; L. F. Escobar-Hoyos; K. R. Shroyer; A. Yurovsky; T. Ideker; G. Balázsi; T. MacCarthy; S. Powers</v>
          </cell>
          <cell r="E24">
            <v>2026</v>
          </cell>
          <cell r="F24" t="str">
            <v>Network divergence analysis identifies adaptive gene modules and two orthogonal vulnerability axes in pancreatic cancer</v>
          </cell>
          <cell r="G24" t="str">
            <v>10.1002/1878-0261.70218</v>
          </cell>
          <cell r="I24" t="str">
            <v>I</v>
          </cell>
        </row>
        <row r="25">
          <cell r="C25">
            <v>21</v>
          </cell>
          <cell r="D25" t="str">
            <v>Kentaro Miyake; Masanori Oshi; Akira Takenouchi; Kota Sahara; Jun Yamamoto; Yutaro Kikuchi; Yu Sawada; Yuki Homma; Ryusei Matsuyama; Itaru Endo</v>
          </cell>
          <cell r="E25">
            <v>2026</v>
          </cell>
          <cell r="F25" t="str">
            <v>High CDCP1 Expression Reflects Immune and Stromal Remodeling and Oncogenic Signaling in Pancreatic Ductal Adenocarcinoma</v>
          </cell>
          <cell r="G25" t="str">
            <v>10.14740/wjon2682</v>
          </cell>
          <cell r="I25" t="str">
            <v>E</v>
          </cell>
          <cell r="J25" t="str">
            <v>No prognostic value</v>
          </cell>
        </row>
        <row r="26">
          <cell r="C26">
            <v>22</v>
          </cell>
          <cell r="D26" t="str">
            <v>Y. Miura; S. Ohnami; K. Ohshima; T. Nagashima; Y. Okamura; K. Hatakeyama; K. Urakami; Y. Akiyama; R. Ashida; K. Ohgi; Y. Kato; S. Otsuka; H. Dei; K. Uesaka; K. Yamaguchi; T. Sugiura</v>
          </cell>
          <cell r="E26">
            <v>2026</v>
          </cell>
          <cell r="F26" t="str">
            <v>Comparison of Familial and Sporadic Pancreatic Cancer: Clinicopathological and Genomic Features</v>
          </cell>
          <cell r="G26" t="str">
            <v>10.1245/s10434-025-18556-3</v>
          </cell>
          <cell r="I26" t="str">
            <v>E</v>
          </cell>
          <cell r="J26" t="str">
            <v>Not transcriptomic/proteomic biomarker expression</v>
          </cell>
        </row>
        <row r="27">
          <cell r="C27">
            <v>23</v>
          </cell>
          <cell r="D27" t="str">
            <v>B. Miao; T. M. Lih; Y. Hu; H. Zhang</v>
          </cell>
          <cell r="E27">
            <v>2026</v>
          </cell>
          <cell r="F27" t="str">
            <v>Signatures of Pancreatic Ductal Adenocarcinoma Uncovered by Integrative Multi-Omics Analysis</v>
          </cell>
          <cell r="G27" t="str">
            <v>10.3390/cancers18040687</v>
          </cell>
          <cell r="I27" t="str">
            <v>I</v>
          </cell>
        </row>
        <row r="28">
          <cell r="C28">
            <v>24</v>
          </cell>
          <cell r="D28" t="str">
            <v>Muhammad Shahid Mehmood; Inbsaat Iqbal; Fatima Hajj</v>
          </cell>
          <cell r="E28">
            <v>2026</v>
          </cell>
          <cell r="F28" t="str">
            <v>CRISPR-Cas13a diagnostics for circulating microbial transcripts in pancreatic cancer</v>
          </cell>
          <cell r="G28" t="str">
            <v>10.1097/ms9.0000000000004392</v>
          </cell>
          <cell r="I28" t="str">
            <v>E</v>
          </cell>
          <cell r="J28" t="str">
            <v>Diagnostic value</v>
          </cell>
        </row>
        <row r="29">
          <cell r="C29">
            <v>25</v>
          </cell>
          <cell r="D29" t="str">
            <v>Hannah Mearns; Jaclyn S. Long; Sergio Lilla; Kelly Hodge; Marcus J. G. W. Ladds; Colin Nixon; Paula Fernández-Palanca; Sara Zanivan; Pilar Acedo; Stephen P. Pereira; Kevin M. Ryan</v>
          </cell>
          <cell r="E29">
            <v>2026</v>
          </cell>
          <cell r="F29" t="str">
            <v>Identification of serum protein biomarkers for pre-cancerous lesions associated with pancreatic ductal adenocarcinoma</v>
          </cell>
          <cell r="G29" t="str">
            <v>10.1002/1878-0261.70213</v>
          </cell>
          <cell r="I29" t="str">
            <v>E</v>
          </cell>
          <cell r="J29" t="str">
            <v>Diagnostic value</v>
          </cell>
        </row>
        <row r="30">
          <cell r="C30">
            <v>26</v>
          </cell>
          <cell r="D30" t="str">
            <v>Paul Manoukian; Deni M. van Schie; Anne-Sophie van Schelt; Nienke P. M. Wassenaar; Mark P. G. Dings; Marjolein F. Lansbergen; Cynthia Waasdorp; Rodrigo Leite de Oliveira; Wjera V. Wickenhagen; Annemieke C. Heijboer; Jan Koster; Danny A. Zwijnenburg; Arantza Farina-Sarasqueta; Geert Kazemier; Johanna W. Wilmink; Jan Paul Medema; Hanneke W. M. van Laarhoven; Maarten F. Bijlsma</v>
          </cell>
          <cell r="E30">
            <v>2026</v>
          </cell>
          <cell r="F30" t="str">
            <v>Estrogen Production in Pancreatic Cancer Shapes a Tumor-Suppressive Stromal Microenvironment</v>
          </cell>
          <cell r="G30" t="str">
            <v>10.1158/0008-5472.can-24-4707</v>
          </cell>
          <cell r="I30" t="str">
            <v>I</v>
          </cell>
        </row>
        <row r="31">
          <cell r="C31">
            <v>27</v>
          </cell>
          <cell r="D31" t="str">
            <v>C. Lu; Y. He; L. Q. Zhang; J. Y. Miao; W. Wang</v>
          </cell>
          <cell r="E31">
            <v>2026</v>
          </cell>
          <cell r="F31" t="str">
            <v>zDHHC-mediated palmitoylation modification patterns and tumor immune microenvironment infiltration characterization in pancreatic cancer</v>
          </cell>
          <cell r="G31" t="str">
            <v>10.1016/j.intimp.2025.115863</v>
          </cell>
          <cell r="I31" t="str">
            <v>I</v>
          </cell>
        </row>
        <row r="32">
          <cell r="C32">
            <v>28</v>
          </cell>
          <cell r="D32" t="str">
            <v>Z. Liu; Q. Jiang; Y. Sun; Y. Song; B. Yu</v>
          </cell>
          <cell r="E32">
            <v>2026</v>
          </cell>
          <cell r="F32" t="str">
            <v>PRSS23 promotes pancreatic cancer progression through regulating Hippo-YAP activity</v>
          </cell>
          <cell r="G32" t="str">
            <v>10.1016/j.bbrc.2025.153157</v>
          </cell>
          <cell r="I32" t="str">
            <v>I</v>
          </cell>
        </row>
        <row r="33">
          <cell r="C33">
            <v>29</v>
          </cell>
          <cell r="D33" t="str">
            <v>W. Liu; T. Kuang; K. Dong; M. Li; W. Deng; J. Yu</v>
          </cell>
          <cell r="E33">
            <v>2026</v>
          </cell>
          <cell r="F33" t="str">
            <v>SLC25A39 binds and modulates PRDX1 to suppress ROS-induced necroptosis in hepatocellular carcinoma</v>
          </cell>
          <cell r="G33" t="str">
            <v>10.1016/j.intimp.2026.116246</v>
          </cell>
          <cell r="I33" t="str">
            <v>E</v>
          </cell>
          <cell r="J33" t="str">
            <v>no pdac</v>
          </cell>
        </row>
        <row r="34">
          <cell r="C34">
            <v>30</v>
          </cell>
          <cell r="D34" t="str">
            <v>F. Liu; Y. Zhou; Y. Xie; Z. Dong; C. Dao; J. Wang; Y. Li; Y. Guo; Z. Pan; F. Liang</v>
          </cell>
          <cell r="E34">
            <v>2026</v>
          </cell>
          <cell r="F34" t="str">
            <v>Comprehensive machine learning identifies anoikis signatures predicting therapeutic resistance and survival in gastric cancer</v>
          </cell>
          <cell r="G34" t="str">
            <v>10.1038/s41598-026-38996-5</v>
          </cell>
          <cell r="I34" t="str">
            <v>E</v>
          </cell>
          <cell r="J34" t="str">
            <v>no pdac</v>
          </cell>
        </row>
        <row r="35">
          <cell r="C35">
            <v>31</v>
          </cell>
          <cell r="D35" t="str">
            <v>S. Lin; X. Yao; P. Guo; H. Shi; H. Luo; K. Ke; T. Teng; S. Weng</v>
          </cell>
          <cell r="E35">
            <v>2026</v>
          </cell>
          <cell r="F35" t="str">
            <v>Integrative Transcriptomic and Proteomic Profiling Defines Secretory and Immune Related Subtypes in Pancreatic Ductal Adenocarcinoma</v>
          </cell>
          <cell r="G35" t="str">
            <v>10.1021/acs.jproteome.5c01146</v>
          </cell>
          <cell r="I35" t="str">
            <v>I</v>
          </cell>
        </row>
        <row r="36">
          <cell r="C36">
            <v>32</v>
          </cell>
          <cell r="D36" t="str">
            <v>Y. Liang; S. Ma; X. Chen; Y. Su; D. Zhong; H. Yan; Y. Chen; M. Wang; Z. Leng; X. Huang</v>
          </cell>
          <cell r="E36">
            <v>2026</v>
          </cell>
          <cell r="F36" t="str">
            <v>Integrative multi-omics reveal a CD4⁺ T cell-derived six-gene signature linking the immune-stromal ecosystem to prognosis and immunotherapy selection in pancreatic cancer</v>
          </cell>
          <cell r="G36" t="str">
            <v>10.1186/s12885-026-15613-2</v>
          </cell>
          <cell r="I36" t="str">
            <v>I</v>
          </cell>
        </row>
        <row r="37">
          <cell r="C37">
            <v>33</v>
          </cell>
          <cell r="D37" t="str">
            <v>Luo Liang; Weidong Wang</v>
          </cell>
          <cell r="E37">
            <v>2026</v>
          </cell>
          <cell r="F37" t="str">
            <v>The impact of p53 mutation on tumor immune evasion: mechanistic insights and clinical implications</v>
          </cell>
          <cell r="G37" t="str">
            <v>10.3389/fimmu.2026.1753215</v>
          </cell>
          <cell r="I37" t="str">
            <v>E</v>
          </cell>
          <cell r="J37" t="str">
            <v>Not transcriptomic/proteomic biomarker expression</v>
          </cell>
        </row>
        <row r="38">
          <cell r="C38">
            <v>34</v>
          </cell>
          <cell r="D38" t="str">
            <v>J. Li; R. Wu; X. Jin; Y. Yang; K. Jiang; Y. Wang; S. Huang; S. Tondi; C. H. Lai; S. Dong; B. Sabanovic; M. Roberto; C. Wen; Y. Jiang; D. Fu; A. Aicher; B. Shen; C. Heeschen</v>
          </cell>
          <cell r="E38">
            <v>2026</v>
          </cell>
          <cell r="F38" t="str">
            <v>FNDC4 Drives Metastasis and Immune Evasion in Pancreatic Cancer</v>
          </cell>
          <cell r="G38" t="str">
            <v>10.1158/0008-5472.Can-25-1001</v>
          </cell>
          <cell r="I38" t="str">
            <v>E</v>
          </cell>
          <cell r="J38" t="str">
            <v>Preclinical studies</v>
          </cell>
        </row>
        <row r="39">
          <cell r="C39">
            <v>35</v>
          </cell>
          <cell r="D39" t="str">
            <v>C. Li; C. Lu; Z. Ma; T. Zhao; M. Xiao; Z. Xu; Z. Sun; Q. Wu; L. Wang; L. Zhao</v>
          </cell>
          <cell r="E39">
            <v>2026</v>
          </cell>
          <cell r="F39" t="str">
            <v>Comprehensive analysis of mitochondrial unfolded protein response related genes for prognosis and therapeutic response in pancreatic cancer</v>
          </cell>
          <cell r="G39" t="str">
            <v>10.3389/fimmu.2026.1717925</v>
          </cell>
          <cell r="I39" t="str">
            <v>I</v>
          </cell>
        </row>
        <row r="40">
          <cell r="C40">
            <v>36</v>
          </cell>
          <cell r="D40" t="str">
            <v>S. Lehrer; P. H. Rheinstein</v>
          </cell>
          <cell r="E40">
            <v>2026</v>
          </cell>
          <cell r="F40" t="str">
            <v>A Sequential Proteomic Relay Defines a Decade-long Pre-diagnostic Window for Pancreatic Cancer</v>
          </cell>
          <cell r="G40" t="str">
            <v>10.21873/cdp.10520</v>
          </cell>
          <cell r="I40" t="str">
            <v>E</v>
          </cell>
          <cell r="J40" t="str">
            <v>Diagnostic value</v>
          </cell>
        </row>
        <row r="41">
          <cell r="C41">
            <v>37</v>
          </cell>
          <cell r="D41" t="str">
            <v>H. Lee; A. Kim; K. Son; A. Choi; S. Cha; H. Shin; N. S. Kim; H. Lee</v>
          </cell>
          <cell r="E41">
            <v>2026</v>
          </cell>
          <cell r="F41" t="str">
            <v>Comprehensive transcriptomic analysis identifies Lrg1 as a potential therapeutic target for preventing muscle atrophy in cancer cachexia</v>
          </cell>
          <cell r="G41" t="str">
            <v>10.1152/ajpcell.00319.2025</v>
          </cell>
          <cell r="I41" t="str">
            <v>E</v>
          </cell>
          <cell r="J41" t="str">
            <v>no pdac</v>
          </cell>
        </row>
        <row r="42">
          <cell r="C42">
            <v>38</v>
          </cell>
          <cell r="D42" t="str">
            <v>Y. Kuang; M. Jia; Y. Zhu; Z. Xiang</v>
          </cell>
          <cell r="E42">
            <v>2026</v>
          </cell>
          <cell r="F42" t="str">
            <v>Analysis of molecular subtypes and prognostic signature of senescence-associated secretory phenotype in pancreatic cancer</v>
          </cell>
          <cell r="G42" t="str">
            <v>10.7717/peerj.20476</v>
          </cell>
          <cell r="I42" t="str">
            <v>I</v>
          </cell>
        </row>
        <row r="43">
          <cell r="C43">
            <v>39</v>
          </cell>
          <cell r="D43" t="str">
            <v>Yanqi Ke; Ling Wang; Qicai Liu; Feng Gao</v>
          </cell>
          <cell r="E43">
            <v>2026</v>
          </cell>
          <cell r="F43" t="str">
            <v>Alternative Splicing of Secretin Receptor (SCTR) and Its Low Expression Drive the Occurrence of Pancreatic Ductal Adenocarcinoma</v>
          </cell>
          <cell r="G43" t="str">
            <v>10.1097/mpa.0000000000002569</v>
          </cell>
          <cell r="I43" t="str">
            <v>I</v>
          </cell>
        </row>
        <row r="44">
          <cell r="C44">
            <v>40</v>
          </cell>
          <cell r="D44" t="str">
            <v>X. Jin; X. Guan; Y. Mu; M. Wang; C. Wang</v>
          </cell>
          <cell r="E44">
            <v>2026</v>
          </cell>
          <cell r="F44" t="str">
            <v>Construction of a SEMA3 family-based model to predict prognosis and molecular subtypes in pancreatic ductal adenocarcinoma</v>
          </cell>
          <cell r="G44" t="str">
            <v>10.1007/s12672-026-04808-5</v>
          </cell>
          <cell r="I44" t="str">
            <v>I</v>
          </cell>
        </row>
        <row r="45">
          <cell r="C45">
            <v>41</v>
          </cell>
          <cell r="D45" t="str">
            <v>P. Gupta; R. Murad; L. Ling; Y. Zhang; K. Duong-Polk; W. Huang; M. Scortegagna; S. Maganti; C. M. Galapate; C. Commisso</v>
          </cell>
          <cell r="E45">
            <v>2026</v>
          </cell>
          <cell r="F45" t="str">
            <v>The Aging Microenvironment Is a Determinant of Immune Exclusion and Metastatic Fate in Pancreatic Cancer</v>
          </cell>
          <cell r="G45" t="str">
            <v>10.1158/0008-5472.Can-25-1904</v>
          </cell>
          <cell r="I45" t="str">
            <v>E</v>
          </cell>
          <cell r="J45" t="str">
            <v>Preclinical studies</v>
          </cell>
        </row>
        <row r="46">
          <cell r="C46">
            <v>42</v>
          </cell>
          <cell r="D46" t="str">
            <v>O. Gulbey; T. Duran</v>
          </cell>
          <cell r="E46">
            <v>2026</v>
          </cell>
          <cell r="F46" t="str">
            <v>Integrated Bioinformatics and Experimental Analysis of Argonaute Family Members in Pancreatic Adenocarcinoma</v>
          </cell>
          <cell r="G46" t="str">
            <v>10.21873/invivo.14178</v>
          </cell>
          <cell r="I46" t="str">
            <v>I</v>
          </cell>
        </row>
        <row r="47">
          <cell r="C47">
            <v>43</v>
          </cell>
          <cell r="D47" t="str">
            <v>G. S. Gulati; D. Vasseur; R. Nawfal; S. Sotudian; K. Semaan; M. Eid; J. H. Seo; N. Phillips; J. J. Canniff; H. Savignano; S. B. Chhetri; Z. Jin; Y. Ou; M. A. Bani; G. M. Lee; R. Trowbridge; I. B. Epstein; G. Rickards; Prds Cordeiro; Z. Zhang; R. E. H. Chehade; B. James; C. Massard; A. Italiano; A. Hollebecque; J. C. Soria; F. André; C. Badoual; J. Bellmunt; H. Singh; A. J. Aguirre; B. M. Wolpin; T. K. Choueiri; S. C. Baca; M. L. Freedman</v>
          </cell>
          <cell r="E47">
            <v>2026</v>
          </cell>
          <cell r="F47" t="str">
            <v>Integrated inference of cancer gene expression from cell-free plasma chromatin</v>
          </cell>
          <cell r="G47" t="str">
            <v>10.64898/2026.02.18.706026</v>
          </cell>
          <cell r="I47" t="str">
            <v>E</v>
          </cell>
          <cell r="J47" t="str">
            <v>Not transcriptomic/proteomic biomarker expression</v>
          </cell>
        </row>
        <row r="48">
          <cell r="C48">
            <v>44</v>
          </cell>
          <cell r="D48" t="str">
            <v>W. L. Ge; C. Q. Hou; Q. Q. Zong; D. R. Li; Y. P. Peng; Q. Li</v>
          </cell>
          <cell r="E48">
            <v>2026</v>
          </cell>
          <cell r="F48" t="str">
            <v>Machine learning-based integration develops a lactate metabolism related gene signature for improving outcomes in pancreatic ductal adenocarcinoma</v>
          </cell>
          <cell r="G48" t="str">
            <v>10.1016/j.seminoncol.2025.152428</v>
          </cell>
          <cell r="I48" t="str">
            <v>I</v>
          </cell>
        </row>
        <row r="49">
          <cell r="C49">
            <v>45</v>
          </cell>
          <cell r="D49" t="str">
            <v>Fan Gao; Zhe Tang; Jie Lian; Luting Zhang</v>
          </cell>
          <cell r="E49">
            <v>2026</v>
          </cell>
          <cell r="F49" t="str">
            <v>Spatial transcriptomics reveals the mechanistic role of lactate metabolism in the pancreatic ductal adenocarcinoma microenvironment</v>
          </cell>
          <cell r="G49" t="str">
            <v>10.3389/fimmu.2026.1743187</v>
          </cell>
          <cell r="I49" t="str">
            <v>I</v>
          </cell>
        </row>
        <row r="50">
          <cell r="C50">
            <v>46</v>
          </cell>
          <cell r="D50" t="str">
            <v>S. Dey; D. Pandya; T. Lo; R. Narbutas; B. Khandpur; P. Krumholtz; M. Shervinrad; K. Sullivan; D. August; S. Evans; S. Nair; N. Okby; G. Niland; R. C. Frank</v>
          </cell>
          <cell r="E50">
            <v>2026</v>
          </cell>
          <cell r="F50" t="str">
            <v>Serial proteomic analysis identifies small extracellular vesicle-MASP2 as an early biomarker of chemotherapy response in advanced pancreatic cancer</v>
          </cell>
          <cell r="G50" t="str">
            <v>10.1016/j.tranon.2025.102636</v>
          </cell>
          <cell r="I50" t="str">
            <v>E</v>
          </cell>
          <cell r="J50" t="str">
            <v>No prognostic value</v>
          </cell>
        </row>
        <row r="51">
          <cell r="C51">
            <v>47</v>
          </cell>
          <cell r="D51" t="str">
            <v>X. T. Cui; C. L. Li; X. Zhong; Y. K. Liu; S. G. Liu; Z. S. Wang</v>
          </cell>
          <cell r="E51">
            <v>2026</v>
          </cell>
          <cell r="F51" t="str">
            <v>Emerging roles of non-coding RNAs in the tumor microenvironment of pancreatic cancer: Focusing on current challenges and future directions</v>
          </cell>
          <cell r="G51" t="str">
            <v>10.1016/j.gene.2026.150063</v>
          </cell>
          <cell r="I51" t="str">
            <v>E</v>
          </cell>
          <cell r="J51" t="str">
            <v>Not transcriptomic/proteomic biomarker expression</v>
          </cell>
        </row>
        <row r="52">
          <cell r="C52">
            <v>48</v>
          </cell>
          <cell r="D52" t="str">
            <v>U. Chianese; C. Papulino; G. Saggese; A. Ali; M. Ciotola; E. Lonardo; M. Cortese; G. Favale; A. Di Mauro; D. La Gioia; V. Golino; E. Sommella; P. Campiglia; R. Franco; F. Ciardiello; F. De Vita; V. Carafa; L. Altucci; R. Benedetti</v>
          </cell>
          <cell r="E52">
            <v>2026</v>
          </cell>
          <cell r="F52" t="str">
            <v>Glycolytic heterogeneity drives metabolic-targeted therapy in pancreatic ductal adenocarcinoma</v>
          </cell>
          <cell r="G52" t="str">
            <v>10.1038/s41392-025-02546-8</v>
          </cell>
          <cell r="I52" t="str">
            <v>I</v>
          </cell>
        </row>
        <row r="53">
          <cell r="C53">
            <v>49</v>
          </cell>
          <cell r="D53" t="str">
            <v>Z. S. Chen; T. S. Chang; W. J. Shen; S. J. Liu; C. Y. Wang; Y. K. Lee; W. H. Hsu; W. J. Wang</v>
          </cell>
          <cell r="E53">
            <v>2026</v>
          </cell>
          <cell r="F53" t="str">
            <v>AMIGO2 as a Novel Biomarker Predicting Poor Prognosis and Associated with Adhesion-Driven Metastasis in Pancreatic Adenocarcinoma</v>
          </cell>
          <cell r="G53" t="str">
            <v>10.7150/ijms.121794</v>
          </cell>
          <cell r="I53" t="str">
            <v>I</v>
          </cell>
        </row>
        <row r="54">
          <cell r="C54">
            <v>50</v>
          </cell>
          <cell r="D54" t="str">
            <v>Jihao Chen; Huaxin Pang; Jundan Wang; Junhua Guo; Ting Huang; Heran Zhou</v>
          </cell>
          <cell r="E54">
            <v>2026</v>
          </cell>
          <cell r="F54" t="str">
            <v>Multi-scale systems toxicology defines a KLF5-centered adverse outcome pathway linking DEHP exposure to pancreatic cancer progression and signaling programs relevant to therapy tolerance</v>
          </cell>
          <cell r="G54" t="str">
            <v>10.3389/fcell.2026.1769023</v>
          </cell>
          <cell r="I54" t="str">
            <v>E</v>
          </cell>
          <cell r="J54" t="str">
            <v>No survival outcome</v>
          </cell>
        </row>
        <row r="55">
          <cell r="C55">
            <v>51</v>
          </cell>
          <cell r="D55" t="str">
            <v>J. Chen; H. Pang; J. Wang; J. Guo; T. Huang; H. Zhou</v>
          </cell>
          <cell r="E55">
            <v>2026</v>
          </cell>
          <cell r="F55" t="str">
            <v>Multi-scale systems toxicology defines a KLF5-centered adverse outcome pathway linking DEHP exposure to pancreatic cancer progression and signaling programs relevant to therapy tolerance</v>
          </cell>
          <cell r="G55" t="str">
            <v>10.3389/fcell.2026.1769023</v>
          </cell>
          <cell r="I55" t="str">
            <v>DUP</v>
          </cell>
          <cell r="J55" t="str">
            <v>Duplicate record removed before screening</v>
          </cell>
        </row>
        <row r="56">
          <cell r="C56">
            <v>52</v>
          </cell>
          <cell r="D56" t="str">
            <v>Y. Cai; T. Yue; Y. Ma; G. Liu; J. Zhang; L. Rong</v>
          </cell>
          <cell r="E56">
            <v>2026</v>
          </cell>
          <cell r="F56" t="str">
            <v>Molecular Subtyping and Prognostic Prediction in Pancreatic Cancer Based on Mitophagy-Related Genes</v>
          </cell>
          <cell r="G56" t="str">
            <v>10.7150/ijms.121350</v>
          </cell>
          <cell r="I56" t="str">
            <v>I</v>
          </cell>
        </row>
        <row r="57">
          <cell r="C57">
            <v>53</v>
          </cell>
          <cell r="D57" t="str">
            <v>M. L. Blanke; P. V. Salachan; J. B. Georgsen; J. Fredsøe; B. Ulhøi; M. Borre; K. D. Sørensen</v>
          </cell>
          <cell r="E57">
            <v>2026</v>
          </cell>
          <cell r="F57" t="str">
            <v>Cancer-associated fibroblast subtypes in the tumor microenvironment of prostate cancer and associations to patient outcomes</v>
          </cell>
          <cell r="G57" t="str">
            <v>10.1002/path.70023</v>
          </cell>
          <cell r="I57" t="str">
            <v>E</v>
          </cell>
          <cell r="J57" t="str">
            <v>no pdac</v>
          </cell>
        </row>
        <row r="58">
          <cell r="C58">
            <v>54</v>
          </cell>
          <cell r="D58" t="str">
            <v>Jhommara Bautista; Ricardo Bedón-Galarza; Francisco Martínez-Hidalgo; Martina Masache-Cruz; Melanie Benítez-Núñez; Camila Valencia-Arroyo; Andrés López-Cortés</v>
          </cell>
          <cell r="E58">
            <v>2026</v>
          </cell>
          <cell r="F58" t="str">
            <v>Decoding the microbial blueprint of pancreatic cancer</v>
          </cell>
          <cell r="G58" t="str">
            <v>10.3389/fmed.2026.1737582</v>
          </cell>
          <cell r="I58" t="str">
            <v>E</v>
          </cell>
          <cell r="J58" t="str">
            <v>Review</v>
          </cell>
        </row>
        <row r="59">
          <cell r="C59">
            <v>55</v>
          </cell>
          <cell r="D59" t="str">
            <v>M. C. Baker; S. Paul; G. V. Lewis; N. Goel; T. I. Huda; T. Singh; J. J. Song; G. Blanck</v>
          </cell>
          <cell r="E59">
            <v>2026</v>
          </cell>
          <cell r="F59" t="str">
            <v>Better pancreatic adenocarcinoma outcomes linked to anti-EBV TCR CDR3 detection via tumor RNAseq files</v>
          </cell>
          <cell r="G59" t="str">
            <v>10.1016/j.humimm.2025.111633</v>
          </cell>
          <cell r="I59" t="str">
            <v>I</v>
          </cell>
        </row>
        <row r="60">
          <cell r="C60">
            <v>56</v>
          </cell>
          <cell r="D60" t="str">
            <v>C. Allgöwer; M. A. Mulaw; J. Nagai; S. Wiedenmann; E. A. Ringel; B. Ferrara; L. Piemonti; T. I. Maulana; L. T. Ferreira; A. Flinders; C. Teufel; L. Reichardt; P. B. Lopatta; D. Srinivasan; A. Lahusen; T. Seufferlein; N. T. Gaisa; A. Beck; J. Lindenmayer; M. K. Melzer; E. Zimmer; E. Roger; S. Heller; J. M. Löhr; S. Liebau; P. Loskill; Y. N. Lin; P. R. Camisa; C. Jorgensen; S. Crippa; M. Meier; M. Hohwieler; I. G. Costa; M. Breunig; A. Kleger</v>
          </cell>
          <cell r="E60">
            <v>2026</v>
          </cell>
          <cell r="F60" t="str">
            <v>An oncogenic KRAS-driven secretome involving TNFα promotes niche preparation prior to pancreatic cancer onset</v>
          </cell>
          <cell r="G60" t="str">
            <v>10.1186/s12943-025-02541-1</v>
          </cell>
          <cell r="I60" t="str">
            <v>E</v>
          </cell>
          <cell r="J60" t="str">
            <v>Preclinical studies</v>
          </cell>
        </row>
        <row r="61">
          <cell r="C61">
            <v>57</v>
          </cell>
          <cell r="D61" t="str">
            <v>A. R. Akbar; A. Levya; A. Esnakula; E. Hasanov; A. Noonan; U. Manne; V. Sahai; L. Meng; S. Tsai; A. Parwani; W. Chen; A. Manne; M. K. K. Niazi</v>
          </cell>
          <cell r="E61">
            <v>2026</v>
          </cell>
          <cell r="F61" t="str">
            <v>Inferring Clinically Relevant Molecular Subtypes of Pancreatic Cancer from Routine Histopathology Using Deep Learning</v>
          </cell>
          <cell r="G61" t="str">
            <v>10.64898/2026.01.06.26343539</v>
          </cell>
          <cell r="I61" t="str">
            <v>E</v>
          </cell>
          <cell r="J61" t="str">
            <v>AI-based prognosis</v>
          </cell>
        </row>
        <row r="62">
          <cell r="C62">
            <v>58</v>
          </cell>
          <cell r="D62" t="str">
            <v>Qi Zou; Hailin Jiang; Qihui Sun; Qian Peng; Jie He; Keping Xie; Fang Wei</v>
          </cell>
          <cell r="E62">
            <v>2025</v>
          </cell>
          <cell r="F62" t="str">
            <v>Machine learning-driven prognostic model based on sphingolipid-related gene signature in pancreatic cancer: development and validation</v>
          </cell>
          <cell r="G62" t="str">
            <v>10.21037/tcr-24-1893</v>
          </cell>
          <cell r="I62" t="str">
            <v>I</v>
          </cell>
        </row>
        <row r="63">
          <cell r="C63">
            <v>59</v>
          </cell>
          <cell r="D63" t="str">
            <v>Nitzan Zohar; Ryan Maguire; Saed Khalilieh; Aditi Jain; Dmitriy Bosykh; Wilbur B. Bowne; Harish Lavu; Charles J. Yeo; Avinoam Nevler</v>
          </cell>
          <cell r="E63">
            <v>2025</v>
          </cell>
          <cell r="F63" t="str">
            <v>Gene Expression Profiling of Pancreatic Ductal Adenocarcinoma Cells in Hypercapnia Identifies SIAH3 as a Novel Prognostic Biomarker</v>
          </cell>
          <cell r="G63" t="str">
            <v>10.3390/ijms26072848</v>
          </cell>
          <cell r="I63" t="str">
            <v>E</v>
          </cell>
          <cell r="J63" t="str">
            <v>Preclinical studies</v>
          </cell>
        </row>
        <row r="64">
          <cell r="C64">
            <v>60</v>
          </cell>
          <cell r="D64" t="str">
            <v>X. Zhu; Y. Li; H. Liu; Z. Xiao</v>
          </cell>
          <cell r="E64">
            <v>2025</v>
          </cell>
          <cell r="F64" t="str">
            <v>FN1 from cancer-associated fibroblasts orchestrates pancreatic cancer metastasis via integrin-PI3K/AKT signaling</v>
          </cell>
          <cell r="G64" t="str">
            <v>10.3389/fonc.2025.1595523</v>
          </cell>
          <cell r="I64" t="str">
            <v>I</v>
          </cell>
        </row>
        <row r="65">
          <cell r="C65">
            <v>61</v>
          </cell>
          <cell r="D65" t="str">
            <v>H. Zhu; X. Gan; D. Shen; D. Sun</v>
          </cell>
          <cell r="E65">
            <v>2025</v>
          </cell>
          <cell r="F65" t="str">
            <v>Deciphering immune landscapes: an ICD-lncRNA-derived prognostic signature for pancreatic adenocarcinoma</v>
          </cell>
          <cell r="G65" t="str">
            <v>10.21037/tcr-2025-582</v>
          </cell>
          <cell r="I65" t="str">
            <v>I</v>
          </cell>
        </row>
        <row r="66">
          <cell r="C66">
            <v>62</v>
          </cell>
          <cell r="D66" t="str">
            <v>Y. Zhou; Y. Lu; F. Czubayko; J. Chen; S. Zheng; H. Mo; R. Liu; G. F. Weber; R. Grützmann; C. Pilarsky; P. David</v>
          </cell>
          <cell r="E66">
            <v>2025</v>
          </cell>
          <cell r="F66" t="str">
            <v>Identification of Cancer Associated Fibroblasts Related Genes Signature to Facilitate Improved Prediction of Prognosis and Responses to Therapy in Patients with Pancreatic Cancer</v>
          </cell>
          <cell r="G66" t="str">
            <v>10.3390/ijms26104876</v>
          </cell>
          <cell r="I66" t="str">
            <v>I</v>
          </cell>
        </row>
        <row r="67">
          <cell r="C67">
            <v>63</v>
          </cell>
          <cell r="D67" t="str">
            <v>D. Zhou; C. Zhong; Q. Yang; B. Cui; Y. Wang</v>
          </cell>
          <cell r="E67">
            <v>2025</v>
          </cell>
          <cell r="F67" t="str">
            <v>Integration of bulk and single-cell transcriptomic data reveals a novel signature related to liver metastasis and basement membrane in pancreatic cancer</v>
          </cell>
          <cell r="G67" t="str">
            <v>10.3389/fimmu.2025.1671956</v>
          </cell>
          <cell r="I67" t="str">
            <v>I</v>
          </cell>
        </row>
        <row r="68">
          <cell r="C68">
            <v>64</v>
          </cell>
          <cell r="D68" t="str">
            <v>X. Zhao; Y. Huang; J. Wu; A. Wang; G. Yang; C. Hao; W. Ying</v>
          </cell>
          <cell r="E68">
            <v>2025</v>
          </cell>
          <cell r="F68" t="str">
            <v>Core-fucosylated glycoproteins as biomarkers for diagnosing pancreatic ductal adenocarcinoma</v>
          </cell>
          <cell r="G68" t="str">
            <v>10.1016/j.ijbiomac.2025.146774</v>
          </cell>
          <cell r="I68" t="str">
            <v>E</v>
          </cell>
          <cell r="J68" t="str">
            <v>No prognostic value</v>
          </cell>
        </row>
        <row r="69">
          <cell r="C69">
            <v>65</v>
          </cell>
          <cell r="D69" t="str">
            <v>L. Zhao; Y. Huang; J. Li; R. Xie; K. Li</v>
          </cell>
          <cell r="E69">
            <v>2025</v>
          </cell>
          <cell r="F69" t="str">
            <v>Integrating bulk and single-cell RNA sequencing reveals intratumor heterogeneity phenotypes and immune infiltration in pancreatic cancer</v>
          </cell>
          <cell r="G69" t="str">
            <v>10.1007/s12672-025-03080-3</v>
          </cell>
          <cell r="I69" t="str">
            <v>I</v>
          </cell>
        </row>
        <row r="70">
          <cell r="C70">
            <v>66</v>
          </cell>
          <cell r="D70" t="str">
            <v>Y. Zhang; A. Khanniche; Y. Li; Z. Wu; H. Wang; H. Zhang; X. Li; L. Hu; X. Kong</v>
          </cell>
          <cell r="E70">
            <v>2025</v>
          </cell>
          <cell r="F70" t="str">
            <v>A myeloid IFN gamma response gene signature correlates with cancer prognosis</v>
          </cell>
          <cell r="G70" t="str">
            <v>10.1002/ctm2.70139</v>
          </cell>
          <cell r="I70" t="str">
            <v>E</v>
          </cell>
          <cell r="J70" t="str">
            <v>no pdac</v>
          </cell>
        </row>
        <row r="71">
          <cell r="C71">
            <v>67</v>
          </cell>
          <cell r="D71" t="str">
            <v>Xinghai Zhang; Jiaqi Ma; Hao Yuan; Yuzhuo Li; Yixin Wang; Yujia Chen; Lei Zhang; Fangxuan Li; Xi Ma; Bixuan Li; Wen Xu; Yang Wang</v>
          </cell>
          <cell r="E71">
            <v>2025</v>
          </cell>
          <cell r="F71" t="str">
            <v>Multiomics profiling Identifies MCMBP as a prognostic biomarker and a potential immune-related target in pancreatic ductal adenocarcinoma via the JAK-STAT3 pathway</v>
          </cell>
          <cell r="G71" t="str">
            <v>10.3389/fimmu.2025.1621927</v>
          </cell>
          <cell r="I71" t="str">
            <v>I</v>
          </cell>
        </row>
        <row r="72">
          <cell r="C72">
            <v>68</v>
          </cell>
          <cell r="D72" t="str">
            <v>Xiaofei Zhang; Ruoxin Lan; Yongjun Liu; Venu G. Pillarisetty; Danting Li; Chaohui L. Zhao; Suparna A. Sarkar; Weiguo Liu; Iman Hanna; Mala Gupta; Cristina Hajdu; Jonathan Melamed; Michael Shusterman; Jessica Widmer; John Allendorf; Yao-Zhong Liu</v>
          </cell>
          <cell r="E72">
            <v>2025</v>
          </cell>
          <cell r="F72" t="str">
            <v>Complement activation in tumor microenvironment after neoadjuvant therapy and its impact on pancreatic cancer outcomes</v>
          </cell>
          <cell r="G72" t="str">
            <v>10.1038/s41698-025-00848-2</v>
          </cell>
          <cell r="I72" t="str">
            <v>I</v>
          </cell>
        </row>
        <row r="73">
          <cell r="C73">
            <v>69</v>
          </cell>
          <cell r="D73" t="str">
            <v>W. Zhang; J. Xu; D. Huang; Y. Qin; X. Lou; H. Gao; Z. Ye; F. Wang; Y. Wang; D. Jing; G. Fan; Q. Zhuo; C. Xin; J. Chen; X. Xu; X. Yu; S. Ji</v>
          </cell>
          <cell r="E73">
            <v>2025</v>
          </cell>
          <cell r="F73" t="str">
            <v>Small extracellular vesicle-miR-183-5p mediated crosstalk between tumor cells and macrophages in high-risk pancreatic neuroendocrine tumors</v>
          </cell>
          <cell r="G73" t="str">
            <v>10.1038/s41388-025-03462-5</v>
          </cell>
          <cell r="I73" t="str">
            <v>E</v>
          </cell>
          <cell r="J73" t="str">
            <v>no pdac</v>
          </cell>
        </row>
        <row r="74">
          <cell r="C74">
            <v>70</v>
          </cell>
          <cell r="D74" t="str">
            <v>S. Zhang; X. Li; X. Li; Z. Zhang; K. Zhu; J. Guo</v>
          </cell>
          <cell r="E74">
            <v>2025</v>
          </cell>
          <cell r="F74" t="str">
            <v>Development of a ferroptosis-related signature and identification of NOTCH2 as a novel prognostic biomarker in pancreatic cancer</v>
          </cell>
          <cell r="G74" t="str">
            <v>10.3389/fimmu.2025.1659652</v>
          </cell>
          <cell r="I74" t="str">
            <v>I</v>
          </cell>
        </row>
        <row r="75">
          <cell r="C75">
            <v>71</v>
          </cell>
          <cell r="D75" t="str">
            <v>K. Zhang</v>
          </cell>
          <cell r="E75">
            <v>2025</v>
          </cell>
          <cell r="F75" t="str">
            <v>Molecular Classification and Characterization of Noninsulinoma: Ready for Prime Time in Clinical Practice?</v>
          </cell>
          <cell r="G75" t="str">
            <v>10.1177/10668969251327748</v>
          </cell>
          <cell r="I75" t="str">
            <v>E</v>
          </cell>
          <cell r="J75" t="str">
            <v>Review</v>
          </cell>
        </row>
        <row r="76">
          <cell r="C76">
            <v>72</v>
          </cell>
          <cell r="D76" t="str">
            <v>J. Zhang; Z. Liu; X. Ma; Z. Shi; J. Zhao; Y. Xie; X. Shang; X. Zhang</v>
          </cell>
          <cell r="E76">
            <v>2025</v>
          </cell>
          <cell r="F76" t="str">
            <v>Deciphering the interaction between the expression of LRP2 served as a mitochondrial metabolism-related gene and prognosis in colon cancer integrating multi-omics analysis</v>
          </cell>
          <cell r="G76" t="str">
            <v>10.1007/s12672-025-02568-2</v>
          </cell>
          <cell r="I76" t="str">
            <v>E</v>
          </cell>
          <cell r="J76" t="str">
            <v>no pdac</v>
          </cell>
        </row>
        <row r="77">
          <cell r="C77">
            <v>73</v>
          </cell>
          <cell r="D77" t="str">
            <v>E. Zhang; Y. Ma; Z. Liu; J. Zhang; W. Liu; Y. Chen; G. Liu; X. Liu; F. Zhang; Y. Zhu; Y. Yang; X. Tian</v>
          </cell>
          <cell r="E77">
            <v>2025</v>
          </cell>
          <cell r="F77" t="str">
            <v>Prognostic implications and characterization of tumor-associated tertiary lymphoid structures genes in pancreatic cancer</v>
          </cell>
          <cell r="G77" t="str">
            <v>10.1186/s12967-025-06152-8</v>
          </cell>
          <cell r="I77" t="str">
            <v>I</v>
          </cell>
        </row>
        <row r="78">
          <cell r="C78">
            <v>74</v>
          </cell>
          <cell r="D78" t="str">
            <v>E. Zhang; X. Ding; J. Zhang; W. Liu; G. Liu; M. Li; X. Liu; Y. Wang; F. Zhang; B. Li; Y. Zhu; Y. Yan; J. Liu; Y. Wang; X. Tian; Y. Ma; Y. Yang</v>
          </cell>
          <cell r="E78">
            <v>2025</v>
          </cell>
          <cell r="F78" t="str">
            <v>Multi-omics analysis of polyamine metabolism implicates NT5E/CD73 in the progression of pancreatic cancer</v>
          </cell>
          <cell r="G78" t="str">
            <v>10.1016/j.canlet.2025.217887</v>
          </cell>
          <cell r="I78" t="str">
            <v>I</v>
          </cell>
        </row>
        <row r="79">
          <cell r="C79">
            <v>75</v>
          </cell>
          <cell r="D79" t="str">
            <v>C. Zhang; R. Tang; J. Yang; Y. Chen; Y. Li; C. Zhou; W. Wang; X. J. Yu; J. Xu</v>
          </cell>
          <cell r="E79">
            <v>2025</v>
          </cell>
          <cell r="F79" t="str">
            <v>Identification of DNA damage and repair gene-related markers in pancreatic ductal adenocarcinoma by single-cell and bulk RNA sequencing</v>
          </cell>
          <cell r="G79" t="str">
            <v>10.1007/s12672-025-02293-w</v>
          </cell>
          <cell r="I79" t="str">
            <v>I</v>
          </cell>
        </row>
        <row r="80">
          <cell r="C80">
            <v>76</v>
          </cell>
          <cell r="D80" t="str">
            <v>Sun Yuan; Hu Tao; Li Yan; Li Ming</v>
          </cell>
          <cell r="E80">
            <v>2025</v>
          </cell>
          <cell r="F80" t="str">
            <v>Development and Validation of a Centrosome Amplification-Related Prognostic Model in Pancreatic Cancer: Multi-Omics Guided Risk Stratification and Tumor Microenvironment</v>
          </cell>
          <cell r="G80" t="str">
            <v>10.20944/preprints202508.0803.v1</v>
          </cell>
          <cell r="I80" t="str">
            <v>E</v>
          </cell>
          <cell r="J80" t="str">
            <v>Preprint (not peer-reviewed)</v>
          </cell>
        </row>
        <row r="81">
          <cell r="C81">
            <v>77</v>
          </cell>
          <cell r="D81" t="str">
            <v>X. Yu; G. Shen; Z. Liu; P. Kaysar; X. Shang; B. Ni; W. Zhang; Y. Zhou; Y. Xie; W. Liu</v>
          </cell>
          <cell r="E81">
            <v>2025</v>
          </cell>
          <cell r="F81" t="str">
            <v>The role of APOBEC mutagenesis in the progression and therapeutic guidance of pancreatic cancer</v>
          </cell>
          <cell r="G81" t="str">
            <v>10.1016/j.ygeno.2025.111098</v>
          </cell>
          <cell r="I81" t="str">
            <v>I</v>
          </cell>
        </row>
        <row r="82">
          <cell r="C82">
            <v>78</v>
          </cell>
          <cell r="D82" t="str">
            <v>Wenjing Yu; Junqun Liao; Jiayan Li; Yongquan Wu</v>
          </cell>
          <cell r="E82">
            <v>2025</v>
          </cell>
          <cell r="F82" t="str">
            <v>Stimulator of interferon genes signaling network-driven prognostic signature for pancreatic cancer: Hub gene discovery with multimodal validation</v>
          </cell>
          <cell r="G82" t="str">
            <v>10.3892/ol.2025.15348</v>
          </cell>
          <cell r="I82" t="str">
            <v>I</v>
          </cell>
        </row>
        <row r="83">
          <cell r="C83">
            <v>79</v>
          </cell>
          <cell r="D83" t="str">
            <v>Z. Yousefli; N. Rafiee; T. Nourollahian; A. Alipour; Z. Haghshenas; M. Islampanah; M. Khazaei; H. Fiuji; S. M. Hassanian; G. A. Ferns; E. Nazari; A. Avan</v>
          </cell>
          <cell r="E83">
            <v>2025</v>
          </cell>
          <cell r="F83" t="str">
            <v>Recent advances of circulating biomarkers with potential diagnostic, prognostic, and therapeutic value in pancreatic cancer: Limitations of clinical application</v>
          </cell>
          <cell r="G83" t="str">
            <v>10.1016/j.prp.2025.156045</v>
          </cell>
          <cell r="I83" t="str">
            <v>E</v>
          </cell>
          <cell r="J83" t="str">
            <v>Review</v>
          </cell>
        </row>
        <row r="84">
          <cell r="C84">
            <v>80</v>
          </cell>
          <cell r="D84" t="str">
            <v>N. Yao; Y. Fu; T. Wang; J. Qin; Y. Cao; M. Shi; F. Ma; B. Shen; L. Jiang</v>
          </cell>
          <cell r="E84">
            <v>2025</v>
          </cell>
          <cell r="F84" t="str">
            <v>CEMIP2 sensitizes PDAC to chemotherapy through extracellular matrix remodeling by hyaluronan degradation</v>
          </cell>
          <cell r="G84" t="str">
            <v>10.1016/j.canlet.2025.217898</v>
          </cell>
          <cell r="I84" t="str">
            <v>I</v>
          </cell>
        </row>
        <row r="85">
          <cell r="C85">
            <v>81</v>
          </cell>
          <cell r="D85" t="str">
            <v>Zhiqiang Yang; Zhipeng Zhang; Ye Song; Chuang Dai; Weihui Zhang; Dali Zhao</v>
          </cell>
          <cell r="E85">
            <v>2025</v>
          </cell>
          <cell r="F85" t="str">
            <v>PCDH1 facilitates migration, proliferation, and stemness of pancreatic cancer cells through PI3K-Akt signaling</v>
          </cell>
          <cell r="G85" t="str">
            <v>10.3389/fonc.2025.1696695</v>
          </cell>
          <cell r="I85" t="str">
            <v>I</v>
          </cell>
        </row>
        <row r="86">
          <cell r="C86">
            <v>82</v>
          </cell>
          <cell r="D86" t="str">
            <v>Qiuxia Yang; Yize Mao; Yulong Han; Kailai Li; Wanming Hu; Jianyao Zhou; Xuejun Gong; Shuxiang Huang; Rong Zhang; Lizhi Liu; Ningning Niu; Yixiong Li; Liandong Ji; Xiaoping Yi; Wufeng Xue; Dong Ni; Wenjun Mao; Peng Luo; Dong Luo; Jun Cheng</v>
          </cell>
          <cell r="E86">
            <v>2025</v>
          </cell>
          <cell r="F86" t="str">
            <v>Noninvasive Computed Tomography-Based Quantification of Tumor Fibrosis Predicts Pancreatic Cancer Response to Gemcitabine/Nab-Paclitaxel</v>
          </cell>
          <cell r="G86" t="str">
            <v>10.34133/research.0937</v>
          </cell>
          <cell r="I86" t="str">
            <v>E</v>
          </cell>
          <cell r="J86" t="str">
            <v>AI-based prognosis</v>
          </cell>
        </row>
        <row r="87">
          <cell r="C87">
            <v>83</v>
          </cell>
          <cell r="D87" t="str">
            <v>Kailing Yang; Zhihong He; Tingting Jiang; Tian Cai; Xiaojia Li; Keping Xie</v>
          </cell>
          <cell r="E87">
            <v>2025</v>
          </cell>
          <cell r="F87" t="str">
            <v>Transcriptional deregulation by FOXM1-JUP signaling confers dual oncogenic drivers for pancreatic tumorigenesis and therapeutic resistance</v>
          </cell>
          <cell r="G87" t="str">
            <v>10.1186/s12964-025-02512-5</v>
          </cell>
          <cell r="I87" t="str">
            <v>I</v>
          </cell>
        </row>
        <row r="88">
          <cell r="C88">
            <v>84</v>
          </cell>
          <cell r="D88" t="str">
            <v>A. Yang; C. Gu; Y. Liu; B. Luo; Y. Zeng; M. Zhou; C. Li; C. Pan; L. Wu; Z. Hu; X. Zhang; F. Gao; Y. Shi</v>
          </cell>
          <cell r="E88">
            <v>2025</v>
          </cell>
          <cell r="F88" t="str">
            <v>ITGB5-mediated biomechanical regulation in pancreatic ductal adenocarcinoma stroma impacts tumor progression and prognosis</v>
          </cell>
          <cell r="G88" t="str">
            <v>10.1186/s12967-025-07119-5</v>
          </cell>
          <cell r="I88" t="str">
            <v>I</v>
          </cell>
        </row>
        <row r="89">
          <cell r="C89">
            <v>85</v>
          </cell>
          <cell r="D89" t="str">
            <v>S. N. Yamashita; Y. Tanaka; S. Islam; T. Kitagawa; K. Tokuda; D. Paudel; S. Giri; T. Ohta; F. Harada; H. Nagayasu; Y. Kuramitsu</v>
          </cell>
          <cell r="E89">
            <v>2025</v>
          </cell>
          <cell r="F89" t="str">
            <v>Strong Association Between Higher Expression of Anillin Actin-binding Protein in Pancreatic Adenocarcinoma Tissues and Patient Survival Analyzed With the UALCAN and GEPIA Platforms Using the TCGA Database</v>
          </cell>
          <cell r="G89" t="str">
            <v>10.21873/cgp.20555</v>
          </cell>
          <cell r="I89" t="str">
            <v>I</v>
          </cell>
        </row>
        <row r="90">
          <cell r="C90">
            <v>86</v>
          </cell>
          <cell r="D90" t="str">
            <v>S. Yadav; R. Bao; R. P. Graham; C. Hu; S. N. Hart; J. Na; N. Boddicker; R. D. Gnanaolivu; J. Smadbeck; L. Ding; D. D. Billadeau; A. T. Mayer; S. Majumder; P. C. Morais Lyra; A. V. Lee; A. N. Monteiro; J. C. Villasboas; R. McWilliams; F. J. Couch</v>
          </cell>
          <cell r="E90">
            <v>2025</v>
          </cell>
          <cell r="F90" t="str">
            <v>Genomic and Immune Landscape of Pancreatic Ductal Adenocarcinoma Associated with Germline Pathogenic Variants in ATM</v>
          </cell>
          <cell r="G90" t="str">
            <v>10.1158/1078-0432.Ccr-24-4120</v>
          </cell>
          <cell r="I90" t="str">
            <v>I</v>
          </cell>
        </row>
        <row r="91">
          <cell r="C91">
            <v>87</v>
          </cell>
          <cell r="D91" t="str">
            <v>Z. Xuan; Z. Wu; L. Cheng; J. Jiang; Y. Zhang; Y. Xia</v>
          </cell>
          <cell r="E91">
            <v>2025</v>
          </cell>
          <cell r="F91" t="str">
            <v>SCGB3A1-Epi and KLK10-Epi Crosstalk With Fibroblasts Promotes Liver Metastasis of Breast Cancer and Pancreatic Ductal Adenocarcinoma</v>
          </cell>
          <cell r="G91" t="str">
            <v>10.1002/cam4.70904</v>
          </cell>
          <cell r="I91" t="str">
            <v>E</v>
          </cell>
          <cell r="J91" t="str">
            <v>Preclinical studies</v>
          </cell>
        </row>
        <row r="92">
          <cell r="C92">
            <v>88</v>
          </cell>
          <cell r="D92" t="str">
            <v>Y. Xu; N. He; G. Dai; T. Zhou; M. Ye; Q. Tang</v>
          </cell>
          <cell r="E92">
            <v>2025</v>
          </cell>
          <cell r="F92" t="str">
            <v>Identification of A-to-I RNA editing profiles and their clinical relevance in pancreatic neuroendocrine neoplasms</v>
          </cell>
          <cell r="G92" t="str">
            <v>10.1016/j.pan.2025.09.006</v>
          </cell>
          <cell r="I92" t="str">
            <v>E</v>
          </cell>
          <cell r="J92" t="str">
            <v>no pdac</v>
          </cell>
        </row>
        <row r="93">
          <cell r="C93">
            <v>89</v>
          </cell>
          <cell r="D93" t="str">
            <v>Qinyu Xu</v>
          </cell>
          <cell r="E93">
            <v>2025</v>
          </cell>
          <cell r="F93" t="str">
            <v>Single-cell Transcriptomic Profiling of Pancreatic Ductal Adenocarcinoma: Epithelial Reprogramming and Systemic Immune Exhaustion</v>
          </cell>
          <cell r="G93" t="str">
            <v>10.1101/2025.11.10.687730</v>
          </cell>
          <cell r="I93" t="str">
            <v>E</v>
          </cell>
          <cell r="J93" t="str">
            <v>Preclinical studies</v>
          </cell>
        </row>
        <row r="94">
          <cell r="C94">
            <v>90</v>
          </cell>
          <cell r="D94" t="str">
            <v>N. Xu; X. Miao; J. Jiang; X. Han; L. Kuang; T. Fan; Q. Zhang; X. Wang</v>
          </cell>
          <cell r="E94">
            <v>2025</v>
          </cell>
          <cell r="F94" t="str">
            <v>Novel Machine Learning Approaches Revolutionize Pancreatic Malignancy Prognosis: Exploring Programed Cell Death</v>
          </cell>
          <cell r="G94" t="str">
            <v>10.1155/mi/4068444</v>
          </cell>
          <cell r="I94" t="str">
            <v>I</v>
          </cell>
        </row>
        <row r="95">
          <cell r="C95">
            <v>91</v>
          </cell>
          <cell r="D95" t="str">
            <v>G. Xu; Y. Jiang; Z. Tu; Y. Li; X. Xu; R. Tong; N. Jiang; K. Xie; D. Chen; J. Wu</v>
          </cell>
          <cell r="E95">
            <v>2025</v>
          </cell>
          <cell r="F95" t="str">
            <v>Diverse RNA methylation patterns in neutrophils: key drivers in hepatocellular carcinoma</v>
          </cell>
          <cell r="G95" t="str">
            <v>10.1007/s12094-024-03756-2</v>
          </cell>
          <cell r="I95" t="str">
            <v>E</v>
          </cell>
          <cell r="J95" t="str">
            <v>no pdac</v>
          </cell>
        </row>
        <row r="96">
          <cell r="C96">
            <v>92</v>
          </cell>
          <cell r="D96" t="str">
            <v>Zichao Xiong; Zhen Zhang; Shaodan Cheng; Shaohua Liao</v>
          </cell>
          <cell r="E96">
            <v>2025</v>
          </cell>
          <cell r="F96" t="str">
            <v>A novel defined manganese metabolism-related gene signature for predicting the prognosis of pancreatic ductal adenocarcinoma</v>
          </cell>
          <cell r="G96" t="str">
            <v>10.3892/ol.2025.15182</v>
          </cell>
          <cell r="I96" t="str">
            <v>I</v>
          </cell>
        </row>
        <row r="97">
          <cell r="C97">
            <v>93</v>
          </cell>
          <cell r="D97" t="str">
            <v>J. Xia; L. Zheng; H. Zhang; Q. Fan; H. Liu; O. Wang; H. Yan</v>
          </cell>
          <cell r="E97">
            <v>2025</v>
          </cell>
          <cell r="F97" t="str">
            <v>Drug Resistance Analysis of Pancreatic Cancer Based on Universally Differentially Expressed Genes</v>
          </cell>
          <cell r="G97" t="str">
            <v>10.3390/ijms26093936</v>
          </cell>
          <cell r="I97" t="str">
            <v>I</v>
          </cell>
        </row>
        <row r="98">
          <cell r="C98">
            <v>94</v>
          </cell>
          <cell r="D98" t="str">
            <v>Y. Wu; L. Zhao; D. Yi; Z. Tian; B. Dong; C. Ye; J. Liu; H. Ma; W. Zhao</v>
          </cell>
          <cell r="E98">
            <v>2025</v>
          </cell>
          <cell r="F98" t="str">
            <v>A Novel 14-Gene Panel Associated With Efferocytosis for Predicting Pancreatic Cancer Prognosis Through Bulk and Single-Cell Databases</v>
          </cell>
          <cell r="G98" t="str">
            <v>10.31083/fbl40818</v>
          </cell>
          <cell r="I98" t="str">
            <v>I</v>
          </cell>
        </row>
        <row r="99">
          <cell r="C99">
            <v>95</v>
          </cell>
          <cell r="D99" t="str">
            <v>Y. Wu; C. Zhang; J. Huang; Q. Chen; Y. Zhang; F. Liu; D. Xu; K. Jiang; R. Shi; M. Chen; H. Yuan</v>
          </cell>
          <cell r="E99">
            <v>2025</v>
          </cell>
          <cell r="F99" t="str">
            <v>Integrated analysis of scRNA-seq and bulk RNA-seq data identifies BHLHE40 as a key gene in pancreatic cancer progression and gemcitabine resistance</v>
          </cell>
          <cell r="G99" t="str">
            <v>10.1016/j.seminoncol.2025.152338</v>
          </cell>
          <cell r="I99" t="str">
            <v>I</v>
          </cell>
        </row>
        <row r="100">
          <cell r="C100">
            <v>96</v>
          </cell>
          <cell r="D100" t="str">
            <v>X. Wu; B. Zhang; Y. Chen; B. Trojanowicz; Y. Sunami; J. Kleeff</v>
          </cell>
          <cell r="E100">
            <v>2025</v>
          </cell>
          <cell r="F100" t="str">
            <v>The Role of the ALDH Family in Predicting Prognosis and Therapy Response in Pancreatic Cancer</v>
          </cell>
          <cell r="G100" t="str">
            <v>10.3390/biomedicines13082018</v>
          </cell>
          <cell r="I100" t="str">
            <v>I</v>
          </cell>
        </row>
        <row r="101">
          <cell r="C101">
            <v>97</v>
          </cell>
          <cell r="D101" t="str">
            <v>L. Wu; F. Liang; C. Chen; Y. Zhang; H. Huang; Y. Pan</v>
          </cell>
          <cell r="E101">
            <v>2025</v>
          </cell>
          <cell r="F101" t="str">
            <v>Identification of prognostic and therapeutic biomarkers associated with macrophage and lipid metabolism in pancreatic cancer</v>
          </cell>
          <cell r="G101" t="str">
            <v>10.1038/s41598-025-99144-z</v>
          </cell>
          <cell r="I101" t="str">
            <v>E</v>
          </cell>
          <cell r="J101" t="str">
            <v>Review</v>
          </cell>
        </row>
        <row r="102">
          <cell r="C102">
            <v>98</v>
          </cell>
          <cell r="D102" t="str">
            <v>H. Wu; J. Shang; Y. Bao; H. Liu; H. Zhang; Y. Xiao; Y. Li; Z. Huang; X. Cheng; Z. Ma; W. Zhang; P. Mo; D. Wang; M. Zhang; Y. Zhan</v>
          </cell>
          <cell r="E102">
            <v>2025</v>
          </cell>
          <cell r="F102" t="str">
            <v>Identification of a novel prognostic marker ADGRG6 in pancreatic adenocarcinoma: multi-omics analysis and experimental validation</v>
          </cell>
          <cell r="G102" t="str">
            <v>10.3389/fimmu.2025.1530789</v>
          </cell>
          <cell r="I102" t="str">
            <v>I</v>
          </cell>
        </row>
        <row r="103">
          <cell r="C103">
            <v>99</v>
          </cell>
          <cell r="D103" t="str">
            <v>Fang Wu; Xufan Cai; Zhenyuan Qian; Guangyuan Song; Xiao Zhang; Tao Ding; Weilang Xu; WeiLin Wang</v>
          </cell>
          <cell r="E103">
            <v>2025</v>
          </cell>
          <cell r="F103" t="str">
            <v>The Regulatory Role of Brown Adipocyte - Related Gene CALU in the Progression, Immune Microenvironment and Treatment Response of Pancreatic Cancer</v>
          </cell>
          <cell r="G103" t="str">
            <v>10.21203/rs.3.rs-6709366/v1</v>
          </cell>
          <cell r="I103" t="str">
            <v>DUP</v>
          </cell>
          <cell r="J103" t="str">
            <v>Duplicate record removed before screening</v>
          </cell>
        </row>
        <row r="104">
          <cell r="C104">
            <v>100</v>
          </cell>
          <cell r="D104" t="str">
            <v>M. A. Wood-Trageser; C. T. Nichols; D. A. Hutchings; D. Bell; A. I. Wald; K. Smith; S. M. Hong; C. Luchini; L. A. A. Brosens; A. V. D. Verschuur; M. Bevere; R. T. Lawlor; A. Scarpa; S. Keating; J. Tucker; R. J. O'Sullivan; T. C. Liu; K. McGrath; K. Fasanella; R. E. Brand; A. M. Lennon; R. Das; H. Singh; A. Slivka; S. Mahmood; A. E. Hosmer; A. Khalid; S. L. Romutis; A. H. Zureikat; H. J. Zeh; M. E. Hogg; K. K. Lee; A. Paniccia; G. Nunns; M. Ongchin; W. G. Park; P. M. Polanco; J. He; D. M. Simeone; C. R. Ferrone; D. Hsu; J. Zhang; V. Gorantla; J. Rhee; R. H. Hruban; A. H. Singhi; S. A. Singhi; C. K. Wang; N. Shaker; R. Bubar; M. Grupillo; Y. T. Lai; M. N. Nikiforova; C. M. Heaphy; K. M. Waters; A. D. Singhi</v>
          </cell>
          <cell r="E104">
            <v>2025</v>
          </cell>
          <cell r="F104" t="str">
            <v>Recurrent BEND2 Fusion Genes Identified by Whole Transcriptome Sequencing of Nonfunctional Pancreatic Neuroendocrine Tumors Correlate With Poor Patient Prognosis</v>
          </cell>
          <cell r="G104" t="str">
            <v>10.1016/j.modpat.2025.100863</v>
          </cell>
          <cell r="I104" t="str">
            <v>E</v>
          </cell>
          <cell r="J104" t="str">
            <v>no pdac</v>
          </cell>
        </row>
        <row r="105">
          <cell r="C105">
            <v>101</v>
          </cell>
          <cell r="D105" t="str">
            <v>F. Wei; W. Li; T. Zhou; X. Yuan; L. Zhang</v>
          </cell>
          <cell r="E105">
            <v>2025</v>
          </cell>
          <cell r="F105" t="str">
            <v>Unveiling FAM111B: A Pan-Cancer Biomarker for DNA Repair and Immune Infiltration</v>
          </cell>
          <cell r="G105" t="str">
            <v>10.3390/ijms26073151</v>
          </cell>
          <cell r="I105" t="str">
            <v>E</v>
          </cell>
          <cell r="J105" t="str">
            <v>no pdac</v>
          </cell>
        </row>
        <row r="106">
          <cell r="C106">
            <v>102</v>
          </cell>
          <cell r="D106" t="str">
            <v>Makoto Watanabe; Katsuaki Ieguchi; Nobuyuki Onishi; Takashi Shimizu; Ryotaro Ohkuma; Risako Suzuki; Emiko Mura; Nana Iriguchi; Tomoyuki Ishiguro; Yuya Hirasawa; Go Ikeda; Masahiro Shimokawa; Hirotsugu Ariizumi; Atsushi Horiike; Kiyoshi Yoshimura; Takuya Tsunoda; Mayumi Tsuji; Shinichi Kobayashi; Yuji Kiuchi; Satoshi Wada</v>
          </cell>
          <cell r="E106">
            <v>2025</v>
          </cell>
          <cell r="F106" t="str">
            <v>Elevated plasma levels of WAP four-disulfide core domain 2 as a potential prognostic biomarker for various cancers</v>
          </cell>
          <cell r="G106" t="str">
            <v>10.3389/fonc.2025.1614102</v>
          </cell>
          <cell r="I106" t="str">
            <v>E</v>
          </cell>
          <cell r="J106" t="str">
            <v>no pdac</v>
          </cell>
        </row>
        <row r="107">
          <cell r="C107">
            <v>103</v>
          </cell>
          <cell r="D107" t="str">
            <v>Xuebo Wang; Xusheng Zhang; Shicai Liang; Jialong Wang; Yannan Xie; Jiawei Wang; Bendong Chen</v>
          </cell>
          <cell r="E107">
            <v>2025</v>
          </cell>
          <cell r="F107" t="str">
            <v>Integrative Analysis of eQTL Genes Reveals Key Biomarkers and Mechanisms for Early Diagnosis of Pancreatic Ductal Adenocarcinoma</v>
          </cell>
          <cell r="G107" t="str">
            <v>10.1177/11769351251400465</v>
          </cell>
          <cell r="I107" t="str">
            <v>E</v>
          </cell>
          <cell r="J107" t="str">
            <v>Diagnostic value</v>
          </cell>
        </row>
        <row r="108">
          <cell r="C108">
            <v>104</v>
          </cell>
          <cell r="D108" t="str">
            <v>X. Wang; X. Wang; B. Ying</v>
          </cell>
          <cell r="E108">
            <v>2025</v>
          </cell>
          <cell r="F108" t="str">
            <v>A autophagy related gene signature to predict the prognosis of pancreatic carcinoma and tumor immune microenvironment evaluation</v>
          </cell>
          <cell r="G108" t="str">
            <v>10.1038/s41598-025-26358-6</v>
          </cell>
          <cell r="I108" t="str">
            <v>I</v>
          </cell>
        </row>
        <row r="109">
          <cell r="C109">
            <v>105</v>
          </cell>
          <cell r="D109" t="str">
            <v>Xiangjun Wang; Wei Wang; Chuanxin Yang; Puxiongzhi Wang; Yangming Liu; Liqin Yu; Sijie Zhang; Xiaoyu Yan; Jian Wang</v>
          </cell>
          <cell r="E109">
            <v>2025</v>
          </cell>
          <cell r="F109" t="str">
            <v>Efferocytosis-associated genes serve as prognostic biomarkers for pancreatic ductal adenocarcinoma and identify P2RY6 as a therapeutic target</v>
          </cell>
          <cell r="G109" t="str">
            <v>10.3389/fimmu.2025.1708441</v>
          </cell>
          <cell r="I109" t="str">
            <v>I</v>
          </cell>
        </row>
        <row r="110">
          <cell r="C110">
            <v>106</v>
          </cell>
          <cell r="D110" t="str">
            <v>W. Wang; H. Li; J. Gong; Y. Liu</v>
          </cell>
          <cell r="E110">
            <v>2025</v>
          </cell>
          <cell r="F110" t="str">
            <v>Identification of a fibroblast-derived gene signature reveals prognostic and therapeutic insights in pancreatic cancer</v>
          </cell>
          <cell r="G110" t="str">
            <v>10.1007/s10238-025-01801-0</v>
          </cell>
          <cell r="I110" t="str">
            <v>I</v>
          </cell>
        </row>
        <row r="111">
          <cell r="C111">
            <v>107</v>
          </cell>
          <cell r="D111" t="str">
            <v>S. Wang; S. Huang; X. Ren; H. Zhang; Y. Tian; Z. Luo; H. Wang</v>
          </cell>
          <cell r="E111">
            <v>2025</v>
          </cell>
          <cell r="F111" t="str">
            <v>Exploring the causal relationship between hemoglobin and pancreatic cancer and its potential mechanisms through bioinformatics and Mendelian randomization</v>
          </cell>
          <cell r="G111" t="str">
            <v>10.1007/s12672-025-03352-y</v>
          </cell>
          <cell r="I111" t="str">
            <v>I</v>
          </cell>
        </row>
        <row r="112">
          <cell r="C112">
            <v>108</v>
          </cell>
          <cell r="D112" t="str">
            <v>R. Wang; G. H. Qin; Y. Jiang; F. X. Chen; Z. H. Wang; L. L. Ju; L. Chen; D. Fu; E. Y. Liu; S. Q. Zhang; W. H. Cai</v>
          </cell>
          <cell r="E112">
            <v>2025</v>
          </cell>
          <cell r="F112" t="str">
            <v>Integrated multiomics analysis identifies PHLDA1+ fibroblasts as prognostic biomarkers and mediators of biological functions in pancreatic cancer</v>
          </cell>
          <cell r="G112" t="str">
            <v>10.3389/fimmu.2025.1592416</v>
          </cell>
          <cell r="I112" t="str">
            <v>I</v>
          </cell>
        </row>
        <row r="113">
          <cell r="C113">
            <v>109</v>
          </cell>
          <cell r="D113" t="str">
            <v>K. Wang; Y. Lu; Y. Cao; P. Feng; Q. Wu; P. Xiao; Y. Ding</v>
          </cell>
          <cell r="E113">
            <v>2025</v>
          </cell>
          <cell r="F113" t="str">
            <v>Establishment and validation of an immune-related nomogram for the prognosis of pancreatic adenocarcinoma</v>
          </cell>
          <cell r="G113" t="str">
            <v>10.1038/s41598-025-98503-0</v>
          </cell>
          <cell r="I113" t="str">
            <v>I</v>
          </cell>
        </row>
        <row r="114">
          <cell r="C114">
            <v>110</v>
          </cell>
          <cell r="D114" t="str">
            <v>D. Wang; Q. Chen; C. M. Li; Y. Xie; C. Yuan; R. Lang; W. T. Jiang</v>
          </cell>
          <cell r="E114">
            <v>2025</v>
          </cell>
          <cell r="F114" t="str">
            <v>Integrated multi-omics and single-cell analysis identify SERPINE1 as a key mediator of the inflammatory tumor microenvironment in PDAC</v>
          </cell>
          <cell r="G114" t="str">
            <v>10.3389/fimmu.2025.1716878</v>
          </cell>
          <cell r="I114" t="str">
            <v>I</v>
          </cell>
        </row>
        <row r="115">
          <cell r="C115">
            <v>111</v>
          </cell>
          <cell r="D115" t="str">
            <v>Chunyan Wang; Chanjuan Cui; Shengkai Huang; Mengyao Yu; Lili Wang; Hengwen Gong; Rui Qiao; Jun Ma</v>
          </cell>
          <cell r="E115">
            <v>2025</v>
          </cell>
          <cell r="F115" t="str">
            <v>Single-cell Sequencing Analysis Reveals Cell Subtypes With High Expression of Coagulation Factor 3 and Their Possible Roles in Pancreatic Ductal Adenocarcinoma</v>
          </cell>
          <cell r="G115" t="str">
            <v>10.31083/fbl44029</v>
          </cell>
          <cell r="I115" t="str">
            <v>I</v>
          </cell>
        </row>
        <row r="116">
          <cell r="C116">
            <v>112</v>
          </cell>
          <cell r="D116" t="str">
            <v>B. Wang; Z. Long; X. Zou; Z. Sun; Y. Xiao</v>
          </cell>
          <cell r="E116">
            <v>2025</v>
          </cell>
          <cell r="F116" t="str">
            <v>Machine learning-based construction of a programmed cell death-related model reveals prognosis and immune infiltration in pancreatic adenocarcinoma patients</v>
          </cell>
          <cell r="G116" t="str">
            <v>10.1038/s41598-025-10847-9</v>
          </cell>
          <cell r="I116" t="str">
            <v>I</v>
          </cell>
        </row>
        <row r="117">
          <cell r="C117">
            <v>113</v>
          </cell>
          <cell r="D117" t="str">
            <v>Yu Wan; Qiong Hu; Kai Sun; Jing Shi; Limei Liu; Xiangsong Zhang; Jianjun Huang; Chulan Gong; Jinting Liu; Haijiu Wang; Jun Yan</v>
          </cell>
          <cell r="E117">
            <v>2025</v>
          </cell>
          <cell r="F117" t="str">
            <v>Heterogenous cancer-associated fibroblasts related tumor microenvironment marked by CD10/KLF4/TIAM1 were identified in pancreatic adenocarcinoma by integrated transcriptomics</v>
          </cell>
          <cell r="G117" t="str">
            <v>10.3389/fimmu.2025.1557698</v>
          </cell>
          <cell r="I117" t="str">
            <v>E</v>
          </cell>
          <cell r="J117" t="str">
            <v>No survival outcome</v>
          </cell>
        </row>
        <row r="118">
          <cell r="C118">
            <v>114</v>
          </cell>
          <cell r="D118" t="str">
            <v>P. Villoslada-Blanco; L. Alonso; S. Sabroso-Lasa; M. Maquedano; L. Estudillo; F. X. Real; E. López de Maturana; N. Malats</v>
          </cell>
          <cell r="E118">
            <v>2025</v>
          </cell>
          <cell r="F118" t="str">
            <v>Development of a consensus molecular classifier for pancreatic ductal adenocarcinoma</v>
          </cell>
          <cell r="G118" t="str">
            <v>10.1186/s13073-025-01568-9</v>
          </cell>
          <cell r="I118" t="str">
            <v>E</v>
          </cell>
          <cell r="J118" t="str">
            <v>No survival outcome</v>
          </cell>
        </row>
        <row r="119">
          <cell r="C119">
            <v>115</v>
          </cell>
          <cell r="D119" t="str">
            <v>E. M. Verdugo-Sivianes; J. Martínez-Pérez; L. E. Navas; C. Sáez; A. Carnero</v>
          </cell>
          <cell r="E119">
            <v>2025</v>
          </cell>
          <cell r="F119" t="str">
            <v>Efficacy of NAMPT Inhibitors in Pancreatic Cancer After Stratification by MAP17 (PDZK1IP1) Levels</v>
          </cell>
          <cell r="G119" t="str">
            <v>10.3390/cancers17152575</v>
          </cell>
          <cell r="I119" t="str">
            <v>E</v>
          </cell>
          <cell r="J119" t="str">
            <v>Preclinical studies</v>
          </cell>
        </row>
        <row r="120">
          <cell r="C120">
            <v>116</v>
          </cell>
          <cell r="D120" t="str">
            <v>M. Tsuda; D. Keith; C. J. Daniel; C. Pelz; K. E. Blise; T. Y. Ozmen; F. Ozmen; K. Hawthone; J. R. Eng; X. Li; X. Wang; H. Zimny; S. Sivagnanam; K. Betre; N. Kirchberger; B. Chong; J. Lee; A. Matter; A. Smith; E. S. Agritelley; T. Waugh; A. Sannecy; K. Alarcon; I. Youm; S. Protzek; J. Egger; I. A. English; M. Yang; V. M. Shah; J. M. Link; A. L. Creason; P. J. Worth; S. M. Goodyear; K. Chin; J. L. Muschler; C. G. Suciu; C. L. Corless; S. Cao; L. Soucek; A. Kardosh; L. M. Coussens; J. R. Brody; C. D. Lopez; G. B. Mills; R. C. Sears</v>
          </cell>
          <cell r="E120">
            <v>2025</v>
          </cell>
          <cell r="F120" t="str">
            <v>A window trial in metastatic pancreatic ductal adenocarcinoma reveals resistance mechanisms to targeting the KRAS-MEK pathway</v>
          </cell>
          <cell r="G120" t="str">
            <v>10.64898/2025.12.12.693851</v>
          </cell>
          <cell r="I120" t="str">
            <v>E</v>
          </cell>
          <cell r="J120" t="str">
            <v>No survival outcome</v>
          </cell>
        </row>
        <row r="121">
          <cell r="C121">
            <v>117</v>
          </cell>
          <cell r="D121" t="str">
            <v>H. E. Trembath; M. E. LaBella; J. F. Kearney; A. Hariharan; S. Zarmer; M. Nabors; I. McCabe; R. T. Zhao; M. Meyers; H. J. Kim; J. J. Yeh</v>
          </cell>
          <cell r="E121">
            <v>2025</v>
          </cell>
          <cell r="F121" t="str">
            <v>New Onset Diabetes in Pancreatic Adenocarcinoma Does Not Correlate With Molecular Subtype</v>
          </cell>
          <cell r="G121" t="str">
            <v>10.1002/jso.28044</v>
          </cell>
          <cell r="I121" t="str">
            <v>I</v>
          </cell>
        </row>
        <row r="122">
          <cell r="C122">
            <v>118</v>
          </cell>
          <cell r="D122" t="str">
            <v>Halit Topal; Tom Venken; Ayse Bassez; Gabriela Chiritescu; Eric Van Cutsem; Schalk van der Merwe; Diether Lambrechts; Baki Topal</v>
          </cell>
          <cell r="E122">
            <v>2025</v>
          </cell>
          <cell r="F122" t="str">
            <v>Progression-free survival for unresectable non-metastatic locally advanced pancreatic cancer after surgical microwave ablation plus durvalumab and tremelimumab: phase-2 non-randomized prospective clinical trial</v>
          </cell>
          <cell r="G122" t="str">
            <v>10.1038/s43856-025-01186-x</v>
          </cell>
          <cell r="I122" t="str">
            <v>E</v>
          </cell>
          <cell r="J122" t="str">
            <v>No survival outcome</v>
          </cell>
        </row>
        <row r="123">
          <cell r="C123">
            <v>119</v>
          </cell>
          <cell r="D123" t="str">
            <v>Marco Tognetti; Lopamudra Chatterjee; Nigel Beaton; Kamil Sklodowski; Roland Bruderer; Lukas Reiter; Christoph B. Messner</v>
          </cell>
          <cell r="E123">
            <v>2025</v>
          </cell>
          <cell r="F123" t="str">
            <v>Serum proteomics reveals survival-associated biomarkers in pancreatic cancer patients treated with chemoimmunotherapy</v>
          </cell>
          <cell r="G123" t="str">
            <v>10.1016/j.isci.2025.112230</v>
          </cell>
          <cell r="I123" t="str">
            <v>E</v>
          </cell>
          <cell r="J123" t="str">
            <v>Liquid biopsy / circulating biomarker only</v>
          </cell>
        </row>
        <row r="124">
          <cell r="C124">
            <v>120</v>
          </cell>
          <cell r="D124" t="str">
            <v>M. Tao; W. Liu; J. Chen; R. Liu; J. Zou; B. Yu; C. Wang; M. Huang; Q. Chen; Z. Zhang; Z. Chen; H. Sun; C. Zhou; S. Tan; Y. Zheng; H. Wang</v>
          </cell>
          <cell r="E124">
            <v>2025</v>
          </cell>
          <cell r="F124" t="str">
            <v>Transcriptome Landscape of Cancer-Associated Fibroblasts in Human PDAC</v>
          </cell>
          <cell r="G124" t="str">
            <v>10.1002/advs.202415196</v>
          </cell>
          <cell r="I124" t="str">
            <v>E</v>
          </cell>
          <cell r="J124" t="str">
            <v>No survival outcome</v>
          </cell>
        </row>
        <row r="125">
          <cell r="C125">
            <v>121</v>
          </cell>
          <cell r="D125" t="str">
            <v>E. Tanıl; E. Nikerel</v>
          </cell>
          <cell r="E125">
            <v>2025</v>
          </cell>
          <cell r="F125" t="str">
            <v>Multi-omic data integration and exploiting metabolic models using systems biology approach increase precision in subtyping and early diagnosis of cancer</v>
          </cell>
          <cell r="G125" t="str">
            <v>10.1002/qub2.70012</v>
          </cell>
          <cell r="I125" t="str">
            <v>E</v>
          </cell>
          <cell r="J125" t="str">
            <v>no pdac</v>
          </cell>
        </row>
        <row r="126">
          <cell r="C126">
            <v>122</v>
          </cell>
          <cell r="D126" t="str">
            <v>H. Tan; H. Zhang; J. Gao; L. Wang; X. Luan</v>
          </cell>
          <cell r="E126">
            <v>2025</v>
          </cell>
          <cell r="F126" t="str">
            <v>Ferroptosis-induced remodeling of glycosylation the immune microenvironment and improves survival in pancreatic cancer</v>
          </cell>
          <cell r="G126" t="str">
            <v>10.1186/s12957-025-04146-w</v>
          </cell>
          <cell r="I126" t="str">
            <v>E</v>
          </cell>
          <cell r="J126" t="str">
            <v>Preclinical studies</v>
          </cell>
        </row>
        <row r="127">
          <cell r="C127">
            <v>123</v>
          </cell>
          <cell r="D127" t="str">
            <v>M. Tacelli; M. Gentiluomo; P. Biamonte; J. P. Castano; M. C. Berković; M. Cives; S. Kapitanović; I. Marinoni; S. Marinovic; I. Nikas; L. Nosáková; S. Pedraza-Arevalo; E. Pellè; A. Perren; J. Strosberg; D. Campa; G. Capurso</v>
          </cell>
          <cell r="E127">
            <v>2025</v>
          </cell>
          <cell r="F127" t="str">
            <v>Pancreatic neuroendocrine neoplasms (pNENs): Genetic and environmental biomarkers for risk of occurrence and prognosis</v>
          </cell>
          <cell r="G127" t="str">
            <v>10.1016/j.semcancer.2025.03.005</v>
          </cell>
          <cell r="I127" t="str">
            <v>E</v>
          </cell>
          <cell r="J127" t="str">
            <v>no pdac</v>
          </cell>
        </row>
        <row r="128">
          <cell r="C128">
            <v>124</v>
          </cell>
          <cell r="D128" t="str">
            <v>Y. N. Sung; M. J. Kim; S. Y. Jun; Y. W. Kim; J. Park; S. W. Jang; T. J. Song; K. B. Song; S. M. Hong</v>
          </cell>
          <cell r="E128">
            <v>2025</v>
          </cell>
          <cell r="F128" t="str">
            <v>Tissue inhibitor of metalloproteinase 1 as a biomarker of venous invasion in pancreatic ductal adenocarcinoma</v>
          </cell>
          <cell r="G128" t="str">
            <v>10.62347/ovuj4436</v>
          </cell>
          <cell r="I128" t="str">
            <v>E</v>
          </cell>
          <cell r="J128" t="str">
            <v>No survival outcome</v>
          </cell>
        </row>
        <row r="129">
          <cell r="C129">
            <v>125</v>
          </cell>
          <cell r="D129" t="str">
            <v>Y. Sun; Y. Qiao; Y. Niu; B. K. Madhavan; C. Fang; J. Hu; K. Schuck; B. Traub; H. Friess; I. Herr; C. W. Michalski; B. Kong</v>
          </cell>
          <cell r="E129">
            <v>2025</v>
          </cell>
          <cell r="F129" t="str">
            <v>ARP2/3 complex affects myofibroblast differentiation and migration in pancreatic ductal adenocarcinoma</v>
          </cell>
          <cell r="G129" t="str">
            <v>10.1002/ijc.35246</v>
          </cell>
          <cell r="I129" t="str">
            <v>E</v>
          </cell>
          <cell r="J129" t="str">
            <v>Preclinical studies</v>
          </cell>
        </row>
        <row r="130">
          <cell r="C130">
            <v>126</v>
          </cell>
          <cell r="D130" t="str">
            <v>Rui Zhuang Sun; Kun Peng Qiao; Xiao Lian Xu; Yan Hua Chen; Jun Meng</v>
          </cell>
          <cell r="E130">
            <v>2025</v>
          </cell>
          <cell r="F130" t="str">
            <v>Analysis of the SH3-Domain Kinase Binding Protein 1 Predictive Model for Pancreatic Ductal Adenocarcinoma and CCCTC-Binding Factor Transcriptional Regulatory Study</v>
          </cell>
          <cell r="G130" t="str">
            <v>10.14740/wjon2668</v>
          </cell>
          <cell r="I130" t="str">
            <v>I</v>
          </cell>
        </row>
        <row r="131">
          <cell r="C131">
            <v>127</v>
          </cell>
          <cell r="D131" t="str">
            <v>D. Su; Y. Ruan; Y. Shi; D. Cao; T. Wu; T. Dang; H. Wang; Y. Xin; M. Ma; H. Meng; C. Liu; Y. Zhang</v>
          </cell>
          <cell r="E131">
            <v>2025</v>
          </cell>
          <cell r="F131" t="str">
            <v>Molecular Subtyping and Genomic Profiling Expand Precision Medicine in KRAS Wild-Type Pancreatic Cancer</v>
          </cell>
          <cell r="G131" t="str">
            <v>10.1111/cas.16456</v>
          </cell>
          <cell r="I131" t="str">
            <v>E</v>
          </cell>
          <cell r="J131" t="str">
            <v>No prognostic value</v>
          </cell>
        </row>
        <row r="132">
          <cell r="C132">
            <v>128</v>
          </cell>
          <cell r="D132" t="str">
            <v>N. G. Steele; V. R. Sirihorachai; A. M. Elhossiny; I. M. Loveless; P. Kadiyala; M. Bonilla; E. L. Lasse-Opsahl; C. S. Vargas; K. L. Donahue; S. B. Kemp; V. Gunchick; Y. M. Shah; T. L. Frankel; F. Bednar; A. Rao; B. L. Allen; J. Shi; V. Sahai; H. C. Crawford; E. S. Carpenter; M. Pasca di Magliano</v>
          </cell>
          <cell r="E132">
            <v>2025</v>
          </cell>
          <cell r="F132" t="str">
            <v>Primary and metastatic cellular landscapes in human pancreatic cancer</v>
          </cell>
          <cell r="G132" t="str">
            <v>10.1016/j.isci.2025.113012</v>
          </cell>
          <cell r="I132" t="str">
            <v>I</v>
          </cell>
        </row>
        <row r="133">
          <cell r="C133">
            <v>129</v>
          </cell>
          <cell r="D133" t="str">
            <v>S. M. Stålberg; L. Silwal-Pandit; J. Hamfjord; D. J. H. Nebdal; J. Lehtiö; O. C. Lingjærde; B. S. Skålhegg; E. H. Kure</v>
          </cell>
          <cell r="E133">
            <v>2025</v>
          </cell>
          <cell r="F133" t="str">
            <v>Elevated KRAS protein level is associated with better survival in pancreatic cancer</v>
          </cell>
          <cell r="G133" t="str">
            <v>10.1186/s12885-025-14461-w</v>
          </cell>
          <cell r="I133" t="str">
            <v>I</v>
          </cell>
        </row>
        <row r="134">
          <cell r="C134">
            <v>130</v>
          </cell>
          <cell r="D134" t="str">
            <v>P. Sousa; L. Silva; J. S. Câmara; P. Guedes de Pinho; R. Perestrelo</v>
          </cell>
          <cell r="E134">
            <v>2025</v>
          </cell>
          <cell r="F134" t="str">
            <v>Integrating OMICS-based platforms and analytical tools for diagnosis and management of pancreatic cancer: a review</v>
          </cell>
          <cell r="G134" t="str">
            <v>10.1039/d4mo00187g</v>
          </cell>
          <cell r="I134" t="str">
            <v>E</v>
          </cell>
          <cell r="J134" t="str">
            <v>Review</v>
          </cell>
        </row>
        <row r="135">
          <cell r="C135">
            <v>131</v>
          </cell>
          <cell r="D135" t="str">
            <v>Dahlak D. Solomon; Ching-Chung Ko; Hsin-Yi Chen; Sachin Kumar; Fitria Sari Wulandari; Do Thi Minh Xuan; Hung-Yun Lin; Hui-Ru Lin; Yung-Kuo Lee; Wen-Hsin Hsu; Yang Pei-Ming; Chih-Yang Wang; Ngoc Uyen Nhi Nguyen</v>
          </cell>
          <cell r="E135">
            <v>2025</v>
          </cell>
          <cell r="F135" t="str">
            <v>A machine learning framework using urinary biomarkers for pancreatic ductal adenocarcinoma prediction with post hoc validation via single-cell transcriptomics</v>
          </cell>
          <cell r="G135" t="str">
            <v>10.1093/bib/bbaf583</v>
          </cell>
          <cell r="I135" t="str">
            <v>E</v>
          </cell>
          <cell r="J135" t="str">
            <v>Diagnostic value</v>
          </cell>
        </row>
        <row r="136">
          <cell r="C136">
            <v>132</v>
          </cell>
          <cell r="D136" t="str">
            <v>Kazuyuki Sogawa; Riko Yonekubo; Momori Shimizu; Satoshi Muraoka; Jun Adachi; Shigetsugu Takano; Hirotaka Takizawa; Masayuki Ohtsuka; Takeshi Tomonaga</v>
          </cell>
          <cell r="E136">
            <v>2025</v>
          </cell>
          <cell r="F136" t="str">
            <v>Serum fucosylated receptor expression-enhancing protein 5 as a biomarker for early stage pancreatic cancer</v>
          </cell>
          <cell r="G136" t="str">
            <v>10.3892/ol.2025.15302</v>
          </cell>
          <cell r="I136" t="str">
            <v>E</v>
          </cell>
          <cell r="J136" t="str">
            <v>Diagnostic value</v>
          </cell>
        </row>
        <row r="137">
          <cell r="C137">
            <v>133</v>
          </cell>
          <cell r="D137" t="str">
            <v>D. N. Sidiropoulos; S. M. Shin; M. Wetzel; A. A. Girgis; D. Bergman; L. Danilova; S. Perikala; D. Shu; J. M. Montagne; A. Deshpande; J. Leatherman; L. Dequiedt; V. Jacobs; A. Ogurtsova; G. Mo; X. Yuan; D. Lvovs; G. Stein-O'Brien; M. Yarchoan; Q. Zhu; E. I. Harper; A. T. Weeraratna; A. L. Kiemen; E. M. Jaffee; L. Zheng; W. J. Ho; R. A. Anders; E. J. Fertig; L. T. Kagohara</v>
          </cell>
          <cell r="E137">
            <v>2025</v>
          </cell>
          <cell r="F137" t="str">
            <v>Neoadjuvant Immunotherapy Promotes the Formation of Mature Tertiary Lymphoid Structures in a Remodeled Pancreatic Tumor Microenvironment</v>
          </cell>
          <cell r="G137" t="str">
            <v>10.1158/2326-6066.Cir-25-0387</v>
          </cell>
          <cell r="I137" t="str">
            <v>I</v>
          </cell>
        </row>
        <row r="138">
          <cell r="C138">
            <v>134</v>
          </cell>
          <cell r="D138" t="str">
            <v>Q. A. Shu; X. D. Huang; J. Wu; X. R. Liang; Y. L. Wang; J. M. Yu; Z. W. Wang; N. Liu; J. H. Wang; N. Xie</v>
          </cell>
          <cell r="E138">
            <v>2025</v>
          </cell>
          <cell r="F138" t="str">
            <v>ARHGAP11A is a potential prognostic biomarker and therapeutic target for pancreatic adenocarcinoma</v>
          </cell>
          <cell r="G138" t="str">
            <v>10.1016/j.biocel.2025.106804</v>
          </cell>
          <cell r="I138" t="str">
            <v>I</v>
          </cell>
        </row>
        <row r="139">
          <cell r="C139">
            <v>135</v>
          </cell>
          <cell r="D139" t="str">
            <v>Y. Shi; J. Liu; Q. Cheng; S. Wu; W. Song; K. Wang; Z. Chen; X. Li; Q. Wei; D. Tayier; B. Liao; Z. Yang</v>
          </cell>
          <cell r="E139">
            <v>2025</v>
          </cell>
          <cell r="F139" t="str">
            <v>METTL3/IGF2BP3 mediates ORC6 via N6-methyladenosine modification to promote the progression of pancreatic ductal adenocarcinoma</v>
          </cell>
          <cell r="G139" t="str">
            <v>10.1016/j.gene.2025.149468</v>
          </cell>
          <cell r="I139" t="str">
            <v>E</v>
          </cell>
          <cell r="J139" t="str">
            <v>No survival outcome</v>
          </cell>
        </row>
        <row r="140">
          <cell r="C140">
            <v>136</v>
          </cell>
          <cell r="D140" t="str">
            <v>M. Shi; P. Li; B. Li; H. Wang; X. Yin; X. Shi; S. Gao; Y. Li; C. Teng; S. Yuan; X. Liu; Z. Fu; X. Kang; W. Jin; B. Song; K. Zheng; Y. Zhang; X. Xu; S. Guo; G. Jin</v>
          </cell>
          <cell r="E140">
            <v>2025</v>
          </cell>
          <cell r="F140" t="str">
            <v>Senescence-driven molecular subtyping in pancreatic cancer: a multi-omics framework for precision medicine</v>
          </cell>
          <cell r="G140" t="str">
            <v>10.1186/s12885-025-15341-z</v>
          </cell>
          <cell r="I140" t="str">
            <v>E</v>
          </cell>
          <cell r="J140" t="str">
            <v>No survival outcome</v>
          </cell>
        </row>
        <row r="141">
          <cell r="C141">
            <v>137</v>
          </cell>
          <cell r="D141" t="str">
            <v>S. Shen; Z. Li; H. Yang; X. Zhang; G. Chen; C. Pa</v>
          </cell>
          <cell r="E141">
            <v>2025</v>
          </cell>
          <cell r="F141" t="str">
            <v>Single-cell transcriptomic analysis reveals key cell types and pathogenic genes associated with metastasis in pancreatic adenocarcinoma</v>
          </cell>
          <cell r="G141" t="str">
            <v>10.1007/s10238-025-01974-8</v>
          </cell>
          <cell r="I141" t="str">
            <v>I</v>
          </cell>
        </row>
        <row r="142">
          <cell r="C142">
            <v>138</v>
          </cell>
          <cell r="D142" t="str">
            <v>R. Sharma; K. Komal; S. Kumar; R. Ghosh; P. Pandey; G. D. Gupta; M. Kumar</v>
          </cell>
          <cell r="E142">
            <v>2025</v>
          </cell>
          <cell r="F142" t="str">
            <v>Advances in pancreatic cancer diagnosis: from DNA methylation to AI-assisted imaging</v>
          </cell>
          <cell r="G142" t="str">
            <v>10.1080/14737159.2025.2509022</v>
          </cell>
          <cell r="I142" t="str">
            <v>E</v>
          </cell>
          <cell r="J142" t="str">
            <v>Diagnostic value</v>
          </cell>
        </row>
        <row r="143">
          <cell r="C143">
            <v>139</v>
          </cell>
          <cell r="D143" t="str">
            <v>Y. D. Seo; M. H. G. Katz; R. A. Snyder</v>
          </cell>
          <cell r="E143">
            <v>2025</v>
          </cell>
          <cell r="F143" t="str">
            <v>The Landmark Series: The Future of Pancreatic Cancer Clinical Trials</v>
          </cell>
          <cell r="G143" t="str">
            <v>10.1245/s10434-024-16840-2</v>
          </cell>
          <cell r="I143" t="str">
            <v>E</v>
          </cell>
          <cell r="J143" t="str">
            <v>Review</v>
          </cell>
        </row>
        <row r="144">
          <cell r="C144">
            <v>140</v>
          </cell>
          <cell r="D144" t="str">
            <v>Oier Azurmendi Senar; Kosta Stosic; Christelle Bouchart; Julie Navez; Jawad Tarfouss; Rebekah Crake; Laurine Verset; Pieter Demetter; Marjorie Mauduit; Thierry Conroy; Jérôme Cros; Remy Nicolle; Manuel Saiselet; Joel Rodrigues Vitoria; Vincent Detours; Akeila Bellahcène; Tatjana Arsenijevic; Jean-Luc Van-Laethem; Prodige-Cctg Pa consortium; Mosapac consortium</v>
          </cell>
          <cell r="E144">
            <v>2025</v>
          </cell>
          <cell r="F144" t="str">
            <v>Glycation Stress–Driven Transcriptomic Signature Predicts Survival Benefit from Adjuvant Gemcitabine in Resectable Pancreatic Cancer</v>
          </cell>
          <cell r="G144" t="str">
            <v>10.1101/2025.07.07.663493</v>
          </cell>
          <cell r="I144" t="str">
            <v>E</v>
          </cell>
          <cell r="J144" t="str">
            <v>Preprint (not peer-reviewed)</v>
          </cell>
        </row>
        <row r="145">
          <cell r="C145">
            <v>141</v>
          </cell>
          <cell r="D145" t="str">
            <v>Grazia Scuderi; Sanja Mijatovic; Danijela Maksimovic-Ivanic; Michelino Di Rosa; José Francisco Muñoz-Valle; Alexis Missael Vizcaíno-Quirarte; Gian Marco Leone; Katia Mangano; Paolo Fagone; Ferdinando Nicoletti</v>
          </cell>
          <cell r="E145">
            <v>2025</v>
          </cell>
          <cell r="F145" t="str">
            <v>Transcriptomic and Clinical Profiling Reveals &lt;i&gt;LGALS3&lt;/i&gt; as a Prognostic Oncogene in Pancreatic Cancer</v>
          </cell>
          <cell r="G145" t="str">
            <v>10.3390/genes16101170</v>
          </cell>
          <cell r="I145" t="str">
            <v>E</v>
          </cell>
          <cell r="J145" t="str">
            <v>no pdac</v>
          </cell>
        </row>
        <row r="146">
          <cell r="C146">
            <v>142</v>
          </cell>
          <cell r="D146" t="str">
            <v>G. Scuderi; S. Mijatovic; D. Maksimovic-Ivanic; M. Di Rosa; J. F. Muñoz-Valle; A. M. Vizcaíno-Quirarte; G. M. Leone; K. Mangano; P. Fagone; F. Nicoletti</v>
          </cell>
          <cell r="E146">
            <v>2025</v>
          </cell>
          <cell r="F146" t="str">
            <v>Transcriptomic and Clinical Profiling Reveals LGALS3 as a Prognostic Oncogene in Pancreatic Cancer</v>
          </cell>
          <cell r="G146" t="str">
            <v>10.3390/genes16101170</v>
          </cell>
          <cell r="I146" t="str">
            <v>DUP</v>
          </cell>
          <cell r="J146" t="str">
            <v>Duplicate record removed before screening</v>
          </cell>
        </row>
        <row r="147">
          <cell r="C147">
            <v>143</v>
          </cell>
          <cell r="D147" t="str">
            <v>Muhammad Usman Saleem; Hammad Ali Sajid; Muhammad Waqar Arshad; Alejandro Omar Rivera Torres; Muhammad Imran Shabbir; Sunil Kumar Rai</v>
          </cell>
          <cell r="E147">
            <v>2025</v>
          </cell>
          <cell r="F147" t="str">
            <v>Novel Insights into T-Cell Exhaustion and Cancer Biomarkers in PDAC Using ScRNA-Seq</v>
          </cell>
          <cell r="G147" t="str">
            <v>10.3390/biology14081015</v>
          </cell>
          <cell r="I147" t="str">
            <v>E</v>
          </cell>
          <cell r="J147" t="str">
            <v>No prognostic value</v>
          </cell>
        </row>
        <row r="148">
          <cell r="C148">
            <v>144</v>
          </cell>
          <cell r="D148" t="str">
            <v>Mariana T. Ruckert; R. McKinnon Walsh; Bailey A. Bye; Austin E. Eades; Wei Yan; Filip Bednar; Jiaqi Shi; Emily L. Lasse Opsahl; Marina Pasca di Magliano; Costas A. Lyssiotis; Michael N. VanSaun; Vanessa S. Silveira</v>
          </cell>
          <cell r="E148">
            <v>2025</v>
          </cell>
          <cell r="F148" t="str">
            <v>DUSP6 is upregulated in metastasis and influences migration and metabolism in pancreatic cancer cells</v>
          </cell>
          <cell r="G148" t="str">
            <v>10.1038/s41598-025-12967-8</v>
          </cell>
          <cell r="I148" t="str">
            <v>E</v>
          </cell>
          <cell r="J148" t="str">
            <v>Preclinical studies</v>
          </cell>
        </row>
        <row r="149">
          <cell r="C149">
            <v>145</v>
          </cell>
          <cell r="D149" t="str">
            <v>F. Rezagholizadeh; A. Salimi; A. Sharifi-Zarchi; F. Azmoudeh-Ardalan; K. Mousavizadeh; F. Tajik; Panahi Mahshid; H. Khorramdelazad; M. B. Wadji; A. Kashanizadeh; A. Lotfalizadeh; S. Javad Mowla; M. T. Joghataei</v>
          </cell>
          <cell r="E149">
            <v>2025</v>
          </cell>
          <cell r="F149" t="str">
            <v>Transcriptomic analysis of laser-capture microdissected tumors reveals RAD51AP1 as a tumor-specific marker associated progression from pancreatic intraepithelial neoplasia to invasive pancreatic cancer</v>
          </cell>
          <cell r="G149" t="str">
            <v>10.1186/s12935-025-03810-1</v>
          </cell>
          <cell r="I149" t="str">
            <v>I</v>
          </cell>
        </row>
        <row r="150">
          <cell r="C150">
            <v>146</v>
          </cell>
          <cell r="D150" t="str">
            <v>Mathilde Resell; Gunnar Qvigstad; Timothy C. Wang; Anne S. Quante; África González-Fernández; Helge Waldum; Duan Chen; Chun-Mei Zhao</v>
          </cell>
          <cell r="E150">
            <v>2025</v>
          </cell>
          <cell r="F150" t="str">
            <v>Translational studies on pancreatic cancer and gastric cancer: a methodology in PhD thesis</v>
          </cell>
          <cell r="G150" t="str">
            <v>10.3389/fphar.2025.1604017</v>
          </cell>
          <cell r="I150" t="str">
            <v>E</v>
          </cell>
          <cell r="J150" t="str">
            <v>Review</v>
          </cell>
        </row>
        <row r="151">
          <cell r="C151">
            <v>147</v>
          </cell>
          <cell r="D151" t="str">
            <v>Z. Ren; W. Gao; X. Li; Y. Jing; Z. Liu; X. Li; T. Zhang; X. Han</v>
          </cell>
          <cell r="E151">
            <v>2025</v>
          </cell>
          <cell r="F151" t="str">
            <v>Molecular structure and mechanism of protein MSMB, TPPP3, SPI1: Construction of novel 4 pancreatic cancer-related protein signatures model based on machine learning</v>
          </cell>
          <cell r="G151" t="str">
            <v>10.1016/j.ijbiomac.2025.142075</v>
          </cell>
          <cell r="I151" t="str">
            <v>E</v>
          </cell>
          <cell r="J151" t="str">
            <v>Diagnostic value</v>
          </cell>
        </row>
        <row r="152">
          <cell r="C152">
            <v>148</v>
          </cell>
          <cell r="D152" t="str">
            <v>Z. S. Qiu; X. C. Wang; J. C. Ma; C. L. Zhu; Y. L. Hu; M. X. Da</v>
          </cell>
          <cell r="E152">
            <v>2025</v>
          </cell>
          <cell r="F152" t="str">
            <v>DEAD/H-box RNA helicase 10 promotes pancreatic cancer cell proliferation via ribonucleotide reductase M2</v>
          </cell>
          <cell r="G152" t="str">
            <v>10.4251/wjgo.v17.i9.108672</v>
          </cell>
          <cell r="I152" t="str">
            <v>I</v>
          </cell>
        </row>
        <row r="153">
          <cell r="C153">
            <v>149</v>
          </cell>
          <cell r="D153" t="str">
            <v>Cheng Qin; Tianyu Li; Bangbo Zhao; Zeru Li; Yutong Zhao; Xiangyu Zhang; Yiping Xie; Yutong Yan; Jiashu Han; Qianqian Shao; Chen Lin; Weibin Wang</v>
          </cell>
          <cell r="E153">
            <v>2025</v>
          </cell>
          <cell r="F153" t="str">
            <v>EDC4 enhances multi-drug chemosensitivity in pancreatic cancer via GR50-based profiling</v>
          </cell>
          <cell r="G153" t="str">
            <v>10.1186/s12935-025-04000-9</v>
          </cell>
          <cell r="I153" t="str">
            <v>I</v>
          </cell>
        </row>
        <row r="154">
          <cell r="C154">
            <v>150</v>
          </cell>
          <cell r="D154" t="str">
            <v>Pit Preckwinkel; Khursheed Ul Islam Mir; Florian W. Otto; Hend Elrewany; Andrea Sinz; Stefan Hüttelmaier; Nadine Bley; Tony Gutschner</v>
          </cell>
          <cell r="E154">
            <v>2025</v>
          </cell>
          <cell r="F154" t="str">
            <v>Long Non-Coding RNAs and RNA-Binding Proteins in Pancreatic Cancer Development and Progression</v>
          </cell>
          <cell r="G154" t="str">
            <v>10.3390/cancers17101601</v>
          </cell>
          <cell r="I154" t="str">
            <v>E</v>
          </cell>
          <cell r="J154" t="str">
            <v>Review</v>
          </cell>
        </row>
        <row r="155">
          <cell r="C155">
            <v>151</v>
          </cell>
          <cell r="D155" t="str">
            <v>Dimitrios Papakonstantinou; Haiding Wang; Mohamed-Amine Bani; Kevin Mulder; Garett Dunsmore; Alice Boilève; Gérôme Jules-Clément; Leonardo Panunzi; Leslie Robert de Sousa; Carlos de la Calle Fabregat; Marc Deloger; Nicolas Signolle; Grégoire Gessain; Sergey I. Nikolaev; Michel Ducreux; Antoine Hollebecque; Florent Ginhoux; Camille Blériot</v>
          </cell>
          <cell r="E155">
            <v>2025</v>
          </cell>
          <cell r="F155" t="str">
            <v>Molecular analysis highlights TREM2 as a discriminating biomarker for patients suffering from pancreatic ductal adenocarcinoma</v>
          </cell>
          <cell r="G155" t="str">
            <v>10.1016/j.ctarc.2025.100939</v>
          </cell>
          <cell r="I155" t="str">
            <v>E</v>
          </cell>
          <cell r="J155" t="str">
            <v>Exploratory analysis</v>
          </cell>
        </row>
        <row r="156">
          <cell r="C156">
            <v>152</v>
          </cell>
          <cell r="D156" t="str">
            <v>D. J. A. Oketch; M. Giulietti; F. Piva</v>
          </cell>
          <cell r="E156">
            <v>2025</v>
          </cell>
          <cell r="F156" t="str">
            <v>PanSCOPE - Pancreatic cancer signature COllection for prognostic evaluation</v>
          </cell>
          <cell r="G156" t="str">
            <v>10.1016/j.pan.2025.11.001</v>
          </cell>
          <cell r="I156" t="str">
            <v>E</v>
          </cell>
          <cell r="J156" t="str">
            <v>Review</v>
          </cell>
        </row>
        <row r="157">
          <cell r="C157">
            <v>153</v>
          </cell>
          <cell r="D157" t="str">
            <v>L. Niyazbekova; E. Marku; P. Petkov; N. Karimova; F. Ulmasov</v>
          </cell>
          <cell r="E157">
            <v>2025</v>
          </cell>
          <cell r="F157" t="str">
            <v>Innovations in Oncology Diagnostics: Genetic Research and Liquid Biopsy as Tools of Personalised Medicine</v>
          </cell>
          <cell r="G157" t="str">
            <v>10.31557/apjcp.2025.26.12.4549</v>
          </cell>
          <cell r="I157" t="str">
            <v>E</v>
          </cell>
          <cell r="J157" t="str">
            <v>Review</v>
          </cell>
        </row>
        <row r="158">
          <cell r="C158">
            <v>154</v>
          </cell>
          <cell r="D158" t="str">
            <v>H. Niedra; O. Rogoza; R. Saksis; R. Peculis; A. Halilova; A. Gerina; S. Vilisova; N. Senterjakova; A. Pukitis; I. Ruz-Caracuel; J. Earl; G. Kolnikova; P. Dubovan; M. Tomas; P. Makovicky; M. Urbanova; B. Smolkova; E. Koniaris; I. Aggelioudaki; A. Kataki; V. Rovite</v>
          </cell>
          <cell r="E158">
            <v>2025</v>
          </cell>
          <cell r="F158" t="str">
            <v>Transcriptomic profiling of pancreatic neuroendocrine tumors: dysregulation of WNT, MAPK, PI3K, neddylation pathways and potential non-invasive biomarkers</v>
          </cell>
          <cell r="G158" t="str">
            <v>10.1371/journal.pone.0325672</v>
          </cell>
          <cell r="I158" t="str">
            <v>E</v>
          </cell>
          <cell r="J158" t="str">
            <v>no pdac</v>
          </cell>
        </row>
        <row r="159">
          <cell r="C159">
            <v>155</v>
          </cell>
          <cell r="D159" t="str">
            <v>G. Nie; Z. Zhu; J. Huang; X. Shi; X. Yin; G. Li; G. Jin</v>
          </cell>
          <cell r="E159">
            <v>2025</v>
          </cell>
          <cell r="F159" t="str">
            <v>A mitochondria-related gene-based signature predicts pancreatic ductal adenocarcinoma clinical outcome and revealed CAMK2A/THEM4 regulates progression phenotypes and mitophagy in vivo and in vitro</v>
          </cell>
          <cell r="G159" t="str">
            <v>10.1186/s12967-025-07456-5</v>
          </cell>
          <cell r="I159" t="str">
            <v>I</v>
          </cell>
        </row>
        <row r="160">
          <cell r="C160">
            <v>156</v>
          </cell>
          <cell r="D160" t="str">
            <v>Tan Nguyen; Jun Zhang; Jennifer Hipp; Guillaume Chhor; Michael Griffin; Nhat Le; Deeksha Kartik; Yibo Zhang; Mohammad Mirzadeh; Julia Varao; Jim Allay; Morgan Sweeney; Veronica Rivera; Brea Johnson; Jacqueline Brosnan-Cashman; Matthew Bronnimann; Harsha Pokkalla; Ben Glass; Andrew Beck; Justin Lee; Robert Egger</v>
          </cell>
          <cell r="E160">
            <v>2025</v>
          </cell>
          <cell r="F160" t="str">
            <v>Quantification of collagen and associated features from H&amp;E-stained whole slide pathology images across cancer types using a physics-based deep learning model</v>
          </cell>
          <cell r="G160" t="str">
            <v>10.1101/2025.03.17.643273</v>
          </cell>
          <cell r="I160" t="str">
            <v>E</v>
          </cell>
          <cell r="J160" t="str">
            <v>no pdac</v>
          </cell>
        </row>
        <row r="161">
          <cell r="C161">
            <v>157</v>
          </cell>
          <cell r="D161" t="str">
            <v>Maryam Naeem; Nimra Munir; Ibrar Ahmed; Zarrin Basharat; Aneesa Sultan</v>
          </cell>
          <cell r="E161">
            <v>2025</v>
          </cell>
          <cell r="F161" t="str">
            <v>Integrated Multiomics Validation of Key &lt;i&gt;MUC&lt;/i&gt; Gene Expression for the Signature Biomarker in the Pakistani Cohort</v>
          </cell>
          <cell r="G161" t="str">
            <v>10.1155/bmri/9777346</v>
          </cell>
          <cell r="I161" t="str">
            <v>E</v>
          </cell>
          <cell r="J161" t="str">
            <v>Diagnostic value</v>
          </cell>
        </row>
        <row r="162">
          <cell r="C162">
            <v>158</v>
          </cell>
          <cell r="D162" t="str">
            <v>M. Naeem; K. Ahmed; A. Sultan</v>
          </cell>
          <cell r="E162">
            <v>2025</v>
          </cell>
          <cell r="F162" t="str">
            <v>Mutational and expression analysis of classical protein tyrosine phosphatase genes in pancreatic ductal adenocarcinoma</v>
          </cell>
          <cell r="G162" t="str">
            <v>10.1016/j.compbiomed.2025.110319</v>
          </cell>
          <cell r="I162" t="str">
            <v>E</v>
          </cell>
          <cell r="J162" t="str">
            <v>No prognostic value</v>
          </cell>
        </row>
        <row r="163">
          <cell r="C163">
            <v>159</v>
          </cell>
          <cell r="D163" t="str">
            <v>V. K. Morris; C. M. Parseghian; V. Bahrambeigi; N. Abdelfattah; L. Xiao; A. Agrawal; K. Lin; K. P. S. Raghav; R. A. Wolff; A. Dasari; R. W. Huey; B. K. Kee; M. J. Overman; J. A. Willis; P. H. Le; M. Escano; Y. C. Baig; K. Pan; D. Menter; A. L. Tam; W. C. Foo; L. Shen; H. M. Lee; T. D. Gallup; C. Margain; D. Gallup; K. I. Rajapakshe; P. A. Guerrero; J. Wang; R. B. Corcoran; A. Maitra; K. Yun; S. Kopetz</v>
          </cell>
          <cell r="E163">
            <v>2025</v>
          </cell>
          <cell r="F163" t="str">
            <v>Phase 1/2 trial of encorafenib, cetuximab, and nivolumab in microsatellite stable BRAF(V600E) metastatic colorectal cancer</v>
          </cell>
          <cell r="G163" t="str">
            <v>10.1016/j.ccell.2025.08.002</v>
          </cell>
          <cell r="I163" t="str">
            <v>E</v>
          </cell>
          <cell r="J163" t="str">
            <v>no pdac</v>
          </cell>
        </row>
        <row r="164">
          <cell r="C164">
            <v>160</v>
          </cell>
          <cell r="D164" t="str">
            <v>P. Mittal; F. Battaglin; Y. Baca; J. Xiu; A. Farrell; S. Soni; J. H. Lo; L. Torres-Gonzalez; S. Algaze; P. Jayachandran; K. Ashouri; A. Wong; W. Zhang; J. Yu; L. Zhang; B. A. Weinberg; E. Lou; A. F. Shields; R. M. Goldberg; J. L. Marshall; S. Goel; I. K. Singh; H. J. Lenz</v>
          </cell>
          <cell r="E164">
            <v>2025</v>
          </cell>
          <cell r="F164" t="str">
            <v>Comprehensive characterization of MCL-1 in patients with colorectal cancer: Expression, molecular profiles, and outcomes</v>
          </cell>
          <cell r="G164" t="str">
            <v>10.1002/ijc.35304</v>
          </cell>
          <cell r="I164" t="str">
            <v>E</v>
          </cell>
          <cell r="J164" t="str">
            <v>no pdac</v>
          </cell>
        </row>
        <row r="165">
          <cell r="C165">
            <v>161</v>
          </cell>
          <cell r="D165" t="str">
            <v>Y. Meng; Q. Deng; Y. Zhang; F. Wei; J. Wu; H. Yan</v>
          </cell>
          <cell r="E165">
            <v>2025</v>
          </cell>
          <cell r="F165" t="str">
            <v>S100 Calcium-Binding Protein P and Cathepsin E as Key Mediators in Pancreatic Cancer Tumorigenesis</v>
          </cell>
          <cell r="G165" t="str">
            <v>10.3390/biomedicines13112780</v>
          </cell>
          <cell r="I165" t="str">
            <v>I</v>
          </cell>
        </row>
        <row r="166">
          <cell r="C166">
            <v>162</v>
          </cell>
          <cell r="D166" t="str">
            <v>P. C. McDonald; J. T. Topham; S. Awrey; H. Tavakoli; R. Carroll; W. S. Brown; Z. J. Gerbec; S. E. Kalloger; J. M. Karasinska; P. Tang; R. Goodwin; S. J. M. Jones; J. Laskin; M. A. Marra; G. B. Morin; D. J. Renouf; D. F. Schaeffer; S. Dedhar</v>
          </cell>
          <cell r="E166">
            <v>2025</v>
          </cell>
          <cell r="F166" t="str">
            <v>Neutrophil extracellular trap gene expression signatures identify prognostic and targetable signaling axes for inhibiting pancreatic tumour metastasis</v>
          </cell>
          <cell r="G166" t="str">
            <v>10.1038/s42003-025-08440-x</v>
          </cell>
          <cell r="I166" t="str">
            <v>E</v>
          </cell>
          <cell r="J166" t="str">
            <v>Preclinical studies</v>
          </cell>
        </row>
        <row r="167">
          <cell r="C167">
            <v>163</v>
          </cell>
          <cell r="D167" t="str">
            <v>Paul Manoukian; Helene Damhofer; Lan Zhao; Hanneke W. M. van Laarhoven; Maarten F. Bijlsma</v>
          </cell>
          <cell r="E167">
            <v>2025</v>
          </cell>
          <cell r="F167" t="str">
            <v>Stromal Hedgehog Signaling Is Associated with Favorable Outcomes in Pancreatic Cancer</v>
          </cell>
          <cell r="G167" t="str">
            <v>10.3390/ijms26115200</v>
          </cell>
          <cell r="I167" t="str">
            <v>E</v>
          </cell>
          <cell r="J167" t="str">
            <v>Preclinical studies</v>
          </cell>
        </row>
        <row r="168">
          <cell r="C168">
            <v>164</v>
          </cell>
          <cell r="D168" t="str">
            <v>T. Ma; X. Gongye; C. Dongzhi; Y. Chai; Q. Wang; M. Tian</v>
          </cell>
          <cell r="E168">
            <v>2025</v>
          </cell>
          <cell r="F168" t="str">
            <v>Machine Learning-Based WGCNA Approach for Developing an Immunogenic Cell Death-Related Hub Gene Signature and Identification of AJM1 as a Prognostic Biomarker in Pancreatic Adenocarcinoma</v>
          </cell>
          <cell r="G168" t="str">
            <v>10.7150/ijms.119960</v>
          </cell>
          <cell r="I168" t="str">
            <v>I</v>
          </cell>
        </row>
        <row r="169">
          <cell r="C169">
            <v>165</v>
          </cell>
          <cell r="D169" t="str">
            <v>Q. Luo; T. Jiang; D. Xie; X. Li; K. Xie</v>
          </cell>
          <cell r="E169">
            <v>2025</v>
          </cell>
          <cell r="F169" t="str">
            <v>Innate immune cell barrier-related genes inform precision prognosis in pancreatic cancer</v>
          </cell>
          <cell r="G169" t="str">
            <v>10.3389/fimmu.2025.1559373</v>
          </cell>
          <cell r="I169" t="str">
            <v>I</v>
          </cell>
        </row>
        <row r="170">
          <cell r="C170">
            <v>166</v>
          </cell>
          <cell r="D170" t="str">
            <v>S. Lucotti; Y. Ogitani; C. M. Kenific; J. Geri; Y. H. Kim; J. Gu; U. Balaji; L. Bojmar; L. Shaashua; Y. Song; M. Cioffi; P. Lauritzen; O. M. Joseph; T. Asao; P. M. Grandgenett; M. A. Hollingsworth; C. Peralta; A. E. Pagano; H. Molina; H. B. Lengel; E. G. Dunne; X. Jing; M. Schmitter; L. Borriello; T. Miller; H. Zhang; Y. Romin; K. Manova; D. Paul; H. L. Remmel; E. M. O'Reilly; W. R. Jarnagin; D. Kelsen; S. M. Castellino; L. Giulino-Roth; D. R. Jones; J. S. Condeelis; V. Pascual; J. B. Bussel; N. Boudreau; I. Matei; D. Entenberg; J. F. Bromberg; D. M. Simeone; D. Lyden</v>
          </cell>
          <cell r="E170">
            <v>2025</v>
          </cell>
          <cell r="F170" t="str">
            <v>Extracellular vesicles from the lung pro-thrombotic niche drive cancer-associated thrombosis and metastasis via integrin beta 2</v>
          </cell>
          <cell r="G170" t="str">
            <v>10.1016/j.cell.2025.01.025</v>
          </cell>
          <cell r="I170" t="str">
            <v>E</v>
          </cell>
          <cell r="J170" t="str">
            <v>Preclinical studies</v>
          </cell>
        </row>
        <row r="171">
          <cell r="C171">
            <v>167</v>
          </cell>
          <cell r="D171" t="str">
            <v>Y. Lu; H. Ma; X. Xiong; Y. Du; L. Liu; J. Wang; W. Zhao</v>
          </cell>
          <cell r="E171">
            <v>2025</v>
          </cell>
          <cell r="F171" t="str">
            <v>Deletion of ENO1 sensitizes pancreatic cancer cells to gemcitabine via MYC/RRM1-mediated glycolysis</v>
          </cell>
          <cell r="G171" t="str">
            <v>10.1038/s41598-025-94319-0</v>
          </cell>
          <cell r="I171" t="str">
            <v>E</v>
          </cell>
          <cell r="J171" t="str">
            <v>Preclinical studies</v>
          </cell>
        </row>
        <row r="172">
          <cell r="C172">
            <v>168</v>
          </cell>
          <cell r="D172" t="str">
            <v>Y. Lu; Q. Lin; Y. Mo; F. Liu; M. Zhang; R. Huang; Y. Wang; Y. Wang; Z. Wang; H. Luo; G. Guo; J. Chen; Y. Liu; M. He; F. Wang; F. Wang; D. Zhang</v>
          </cell>
          <cell r="E172">
            <v>2025</v>
          </cell>
          <cell r="F172" t="str">
            <v>Efficacy and safety of TAS-102 plus Surufatinib in third and later line metastatic pancreatic cancer: a prospective, single center and biomarker exploratory, phase II study</v>
          </cell>
          <cell r="G172" t="str">
            <v>10.1186/s12943-025-02437-0</v>
          </cell>
          <cell r="I172" t="str">
            <v>E</v>
          </cell>
          <cell r="J172" t="str">
            <v>No survival outcome</v>
          </cell>
        </row>
        <row r="173">
          <cell r="C173">
            <v>169</v>
          </cell>
          <cell r="D173" t="str">
            <v>Y. Liu; A. Sinjab; J. Min; G. Han; F. Paradiso; Y. Zhang; R. Wang; G. Pei; Y. Dai; Y. Liu; K. S. Cho; E. Dai; A. Basi; J. K. Burks; K. I. Rajapakshe; Y. Chu; J. Jiang; D. Zhang; X. Yan; P. A. Guerrero; A. Serrano; M. Li; T. H. Hwang; A. Futreal; J. A. Ajani; L. M. Solis Soto; A. A. Jazaeri; H. Kadara; A. Maitra; L. Wang</v>
          </cell>
          <cell r="E173">
            <v>2025</v>
          </cell>
          <cell r="F173" t="str">
            <v>Conserved spatial subtypes and cellular neighborhoods of cancer-associated fibroblasts revealed by single-cell spatial multi-omics</v>
          </cell>
          <cell r="G173" t="str">
            <v>10.1016/j.ccell.2025.03.004</v>
          </cell>
          <cell r="I173" t="str">
            <v>E</v>
          </cell>
          <cell r="J173" t="str">
            <v>no pdac</v>
          </cell>
        </row>
        <row r="174">
          <cell r="C174">
            <v>170</v>
          </cell>
          <cell r="D174" t="str">
            <v>Y. Liu; J. Peng; Y. Zhao; W. Wang</v>
          </cell>
          <cell r="E174">
            <v>2025</v>
          </cell>
          <cell r="F174" t="str">
            <v>Emerging pathological diagnostic strategies for solid pseudopapillary neoplasm of the pancreas: insights from omics and innovative techniques</v>
          </cell>
          <cell r="G174" t="str">
            <v>10.1002/2056-4538.70029</v>
          </cell>
          <cell r="I174" t="str">
            <v>E</v>
          </cell>
          <cell r="J174" t="str">
            <v>Review</v>
          </cell>
        </row>
        <row r="175">
          <cell r="C175">
            <v>171</v>
          </cell>
          <cell r="D175" t="str">
            <v>Y. Liu; Y. Fu; T. Liu; J. Wang; Z. Zhang; Y. Shi; Z. Cao; G. Yang; H. Chen; W. Luo; J. Tao; Y. Wang; G. Weng; M. Zhang; L. Ye; J. Xiao; J. Qiu; T. Zhang; H. Huang</v>
          </cell>
          <cell r="E175">
            <v>2025</v>
          </cell>
          <cell r="F175" t="str">
            <v>SPP1(+) Venous Endothelial Cells and CRABP2(+) Tumor Cells Contribute to Favorable Body and Tail Pancreatic Ductal Adenocarcinoma Tumor Microenvironment</v>
          </cell>
          <cell r="G175" t="str">
            <v>10.1002/mc.23936</v>
          </cell>
          <cell r="I175" t="str">
            <v>I</v>
          </cell>
        </row>
        <row r="176">
          <cell r="C176">
            <v>172</v>
          </cell>
          <cell r="D176" t="str">
            <v>X. Liu; Y. Zhao; L. Zhang; J. Wang; L. Luo; S. Zhang; Q. Zhu; Y. Shi; C. Yuan; Q. Xiao; M. Xiong; Y. Duan; H. Chen; H. Yao; L. Cai; J. Zhang; G. Li; L. Li</v>
          </cell>
          <cell r="E176">
            <v>2025</v>
          </cell>
          <cell r="F176" t="str">
            <v>ANP32E expression in pancreatic cancer is associated with impaired gemcitabine efficacy and poor patient prognosis</v>
          </cell>
          <cell r="G176" t="str">
            <v>10.1016/j.mcp.2025.102030</v>
          </cell>
          <cell r="I176" t="str">
            <v>I</v>
          </cell>
        </row>
        <row r="177">
          <cell r="C177">
            <v>173</v>
          </cell>
          <cell r="D177" t="str">
            <v>M. Liu; K. Chan; A. Bancroft; F. Ruge; C. Hao; W. G. Jiang; L. Ye</v>
          </cell>
          <cell r="E177">
            <v>2025</v>
          </cell>
          <cell r="F177" t="str">
            <v>Noggin Promotes Cell Proliferation Through Up-regulating EGFR/HER2 in Pancreatic Cancer Cells</v>
          </cell>
          <cell r="G177" t="str">
            <v>10.21873/cgp.20522</v>
          </cell>
          <cell r="I177" t="str">
            <v>I</v>
          </cell>
        </row>
        <row r="178">
          <cell r="C178">
            <v>174</v>
          </cell>
          <cell r="D178" t="str">
            <v>J. Liu; Z. Yan; T. Zhong; J. Qu; D. Lei; J. Lai; C. Zhang; Z. Lai; W. Ai; X. Liu</v>
          </cell>
          <cell r="E178">
            <v>2025</v>
          </cell>
          <cell r="F178" t="str">
            <v>Identification of a NEK7-related pyroptosis gene signature against pancreatic cancer and evaluation of its potential in tumor microenvironment remodeling via regulating inflammasome complex</v>
          </cell>
          <cell r="G178" t="str">
            <v>10.1007/s10142-025-01597-y</v>
          </cell>
          <cell r="I178" t="str">
            <v>I</v>
          </cell>
        </row>
        <row r="179">
          <cell r="C179">
            <v>175</v>
          </cell>
          <cell r="D179" t="str">
            <v>J. Liu; S. Ma; D. Deng; Y. Yang; J. Li; Y. Zhang; P. Yin; D. Shang</v>
          </cell>
          <cell r="E179">
            <v>2025</v>
          </cell>
          <cell r="F179" t="str">
            <v>Multi-Omics Profiling Reveals Glycerolipid Metabolism-Associated Molecular Subtypes and Identifies ALDH2 as a Prognostic Biomarker in Pancreatic Cancer</v>
          </cell>
          <cell r="G179" t="str">
            <v>10.3390/metabo15030207</v>
          </cell>
          <cell r="I179" t="str">
            <v>I</v>
          </cell>
        </row>
        <row r="180">
          <cell r="C180">
            <v>176</v>
          </cell>
          <cell r="D180" t="str">
            <v>J. Liu; Z. Li; G. Liu; Z. Pei; W. Liu; W. Yang; F. Li; L. Huo</v>
          </cell>
          <cell r="E180">
            <v>2025</v>
          </cell>
          <cell r="F180" t="str">
            <v>Single-cell and spatial transcriptomics reveal the interaction between PRRX2-driven epithelial cells and SPP1+ macrophages in mediating gemcitabine resistance in pancreatic ductal adenocarcinoma</v>
          </cell>
          <cell r="G180" t="str">
            <v>10.1097/cm9.0000000000003966</v>
          </cell>
          <cell r="I180" t="str">
            <v>E</v>
          </cell>
          <cell r="J180" t="str">
            <v>No prognostic value</v>
          </cell>
        </row>
        <row r="181">
          <cell r="C181">
            <v>177</v>
          </cell>
          <cell r="D181" t="str">
            <v>J. Liu; H. Li; X. Lin; J. Xiong; G. Wu; L. Ding; B. Lin</v>
          </cell>
          <cell r="E181">
            <v>2025</v>
          </cell>
          <cell r="F181" t="str">
            <v>Deciphering the heterogeneity of epithelial cells in pancreatic ductal adenocarcinoma: implications for metastasis and immune evasion</v>
          </cell>
          <cell r="G181" t="str">
            <v>10.1186/s12957-025-03793-3</v>
          </cell>
          <cell r="I181" t="str">
            <v>I</v>
          </cell>
        </row>
        <row r="182">
          <cell r="C182">
            <v>178</v>
          </cell>
          <cell r="D182" t="str">
            <v>Hongsen Liu; Mengting Chen; Bo Hong; Yufei Xiao; Qianming Chen; Yun Qian</v>
          </cell>
          <cell r="E182">
            <v>2025</v>
          </cell>
          <cell r="F182" t="str">
            <v>Single-nucleus RNA sequencing and spatial transcriptomics reveal an immunosuppressive tumor microenvironment related to metastatic dissemination during pancreatic cancer liver metastasis</v>
          </cell>
          <cell r="G182" t="str">
            <v>10.7150/thno.108925</v>
          </cell>
          <cell r="I182" t="str">
            <v>I</v>
          </cell>
        </row>
        <row r="183">
          <cell r="C183">
            <v>179</v>
          </cell>
          <cell r="D183" t="str">
            <v>C. Liu; A. Mosley; E. Irajizad; M. Yip-Schneider; H. Wu; W. R. Smith-Kinnaman; T. Tran; J. P. Long; K. A. Do; J. Fahrmann; J. M. DeWitt; S. Hanash; C. M. Schmidt; J. Zhang</v>
          </cell>
          <cell r="E183">
            <v>2025</v>
          </cell>
          <cell r="F183" t="str">
            <v>Cyst fluid proteins stratify malignant risk of intraductal papillary mucinous neoplasm of the pancreas</v>
          </cell>
          <cell r="G183" t="str">
            <v>10.1016/j.canlet.2025.217753</v>
          </cell>
          <cell r="I183" t="str">
            <v>E</v>
          </cell>
          <cell r="J183" t="str">
            <v>no pdac</v>
          </cell>
        </row>
        <row r="184">
          <cell r="C184">
            <v>180</v>
          </cell>
          <cell r="D184" t="str">
            <v>Lizhi Lin; Ragnar Norrsell; Roland Andersson; Xian Shen; Daniel Ansari</v>
          </cell>
          <cell r="E184">
            <v>2025</v>
          </cell>
          <cell r="F184" t="str">
            <v>Prognostic model establishment and immune microenvironment analysis based on transcriptomic data of long-term survivors of pancreatic ductal adenocarcinoma</v>
          </cell>
          <cell r="G184" t="str">
            <v>10.1016/j.bbrep.2025.102280</v>
          </cell>
          <cell r="I184" t="str">
            <v>I</v>
          </cell>
        </row>
        <row r="185">
          <cell r="C185">
            <v>181</v>
          </cell>
          <cell r="D185" t="str">
            <v>K. Liao; Z. Fu; X. Liu; X. Yu; L. Jin; J. Cheng; D. Yang; K. Ai; Z. Liu; D. Guo; S. Liu; X. Yan; Z. Li; M. Xu; X. Yan; J. Gan; Z. Cheng; W. Zhu; M. Cai; W. Xu; Z. Li; J. Xu; X. Wang</v>
          </cell>
          <cell r="E185">
            <v>2025</v>
          </cell>
          <cell r="F185" t="str">
            <v>Prognostic differential subpopulation classification and immunotherapy response prediction in pancreatic cancer patients based on the gene features of necrotizing apoptosis</v>
          </cell>
          <cell r="G185" t="str">
            <v>10.3389/fimmu.2025.1592231</v>
          </cell>
          <cell r="I185" t="str">
            <v>I</v>
          </cell>
        </row>
        <row r="186">
          <cell r="C186">
            <v>182</v>
          </cell>
          <cell r="D186" t="str">
            <v>Y. Liang; Y. Gu; Z. Zhang; D. Zhong; H. Yan; Y. Su; Y. Chen; F. Wang; Z. Leng; X. Huang</v>
          </cell>
          <cell r="E186">
            <v>2025</v>
          </cell>
          <cell r="F186" t="str">
            <v>Dendritic cell-related gene signature in pancreatic cancer stratifies patient subtypes and implicates a KCTD14-TNF signaling axis</v>
          </cell>
          <cell r="G186" t="str">
            <v>10.3389/fimmu.2025.1665906</v>
          </cell>
          <cell r="I186" t="str">
            <v>I</v>
          </cell>
        </row>
        <row r="187">
          <cell r="C187">
            <v>183</v>
          </cell>
          <cell r="D187" t="str">
            <v>O. Liang; A. L. White; T. Fielder; J. S. Shin; S. M. Sagnella; U. Schmitz; D. Yeo</v>
          </cell>
          <cell r="E187">
            <v>2025</v>
          </cell>
          <cell r="F187" t="str">
            <v>High mesothelin expression is associated with low cytotoxic T cell infiltration in pancreatic cancer</v>
          </cell>
          <cell r="G187" t="str">
            <v>10.3389/fimmu.2025.1651687</v>
          </cell>
          <cell r="I187" t="str">
            <v>I</v>
          </cell>
        </row>
        <row r="188">
          <cell r="C188">
            <v>184</v>
          </cell>
          <cell r="D188" t="str">
            <v>Yaguang Li; Daisuke Noto; Yasunobu Hoshino; Miho Mizuno; Soichiro Yoshikawa; Sachiko Miyake</v>
          </cell>
          <cell r="E188">
            <v>2025</v>
          </cell>
          <cell r="F188" t="str">
            <v>Author Correction: Single-cell transcriptomics analysis reveals dynamic changes and prognostic signature in tumor microenvironment of PDAC</v>
          </cell>
          <cell r="G188" t="str">
            <v>10.1038/s41598-025-02747-9</v>
          </cell>
          <cell r="I188" t="str">
            <v>E</v>
          </cell>
          <cell r="J188" t="str">
            <v>Author Correction</v>
          </cell>
        </row>
        <row r="189">
          <cell r="C189">
            <v>185</v>
          </cell>
          <cell r="D189" t="str">
            <v>X. Li; T. Yu; Z. Yu; X. Zou; J. He; D. Wang; X. Shen; S. Liu; B. Liu</v>
          </cell>
          <cell r="E189">
            <v>2025</v>
          </cell>
          <cell r="F189" t="str">
            <v>BNC2 as a novel driver of pancreatic cancer progression through transcriptional regulation of COL3A1 and epithelial-to-mesenchymal transition</v>
          </cell>
          <cell r="G189" t="str">
            <v>10.1007/s12032-025-03139-9</v>
          </cell>
          <cell r="I189" t="str">
            <v>I</v>
          </cell>
        </row>
        <row r="190">
          <cell r="C190">
            <v>186</v>
          </cell>
          <cell r="D190" t="str">
            <v>H. Li; L. Jiang; S. Zhang; X. Miao; S. H. Jiang</v>
          </cell>
          <cell r="E190">
            <v>2025</v>
          </cell>
          <cell r="F190" t="str">
            <v>Pan-cancer analysis reveals multifaceted roles of nonmyelinating Schwann cells in gastrointestinal cancers</v>
          </cell>
          <cell r="G190" t="str">
            <v>10.1016/j.canlet.2025.217850</v>
          </cell>
          <cell r="I190" t="str">
            <v>E</v>
          </cell>
          <cell r="J190" t="str">
            <v>no pdac</v>
          </cell>
        </row>
        <row r="191">
          <cell r="C191">
            <v>187</v>
          </cell>
          <cell r="D191" t="str">
            <v>Jaewon J. Lee; Mohammed Aldakkak; Ashley B. Morrison; Sam Z. Thalji; Xianlu L. Peng; Yan Li; Margaret L. Gulley; Erkut H. Borazanci; Susan Tsai; Naim U. Rashid; Jen Jen Yeh</v>
          </cell>
          <cell r="E191">
            <v>2025</v>
          </cell>
          <cell r="F191" t="str">
            <v>Cross-platform comparison of gene expression-based cancer molecular subtyping reveals discrepancies with exome capture methods</v>
          </cell>
          <cell r="G191" t="str">
            <v>10.1038/s41698-025-01228-6</v>
          </cell>
          <cell r="I191" t="str">
            <v>I</v>
          </cell>
        </row>
        <row r="192">
          <cell r="C192">
            <v>188</v>
          </cell>
          <cell r="D192" t="str">
            <v>M. F. Lansbergen; M. P. G. Dings; J. Koster; M. Labots; E. D. Kerver; A. Jochems; M. Y. V. Homs; J. de Vos-Geelen; M. P. Hendriks; M. W. T. Tanck; J. W. Wilmink; H. W. M. van Laarhoven; M. F. Bijlsma</v>
          </cell>
          <cell r="E192">
            <v>2025</v>
          </cell>
          <cell r="F192" t="str">
            <v>KRAS mutation status integrated with RNA subtyping improves prognostic modeling in FOLFIRINOX-treated metastatic pancreatic cancer</v>
          </cell>
          <cell r="G192" t="str">
            <v>10.1016/j.medj.2025.100601</v>
          </cell>
          <cell r="I192" t="str">
            <v>I</v>
          </cell>
        </row>
        <row r="193">
          <cell r="C193">
            <v>189</v>
          </cell>
          <cell r="D193" t="str">
            <v>A. Langtry; R. Rabadan; L. Alonso; I. Filip; S. Sabroso-Lasa; A. Moreno-Oya; R. Lawlor; A. Carrato; R. Alvarez-Gallego; M. Iglesias; X. Molero; M. J. Löhr; C. W. Michalski; J. Perea; M. O'Rorke; V. M. Barberà; A. Tardón; A. Farré; L. Muñoz-Bellvís; T. Crnogorac-Jurcevic; E. Domínguez-Muñoz; T. M. Gress; W. Greenhalf; L. Sharp; J. Balsells; E. Costello; J. Kleeff; B. Kong; J. Mora; D. O'Driscoll; A. Scarpa; W. Ye; F. X. Real; E. López de Maturana; N. Malats</v>
          </cell>
          <cell r="E193">
            <v>2025</v>
          </cell>
          <cell r="F193" t="str">
            <v>Deciphering the role of complement system genes in pancreatic cancer susceptibility and prognosis</v>
          </cell>
          <cell r="G193" t="str">
            <v>10.1038/s41467-025-65811-y</v>
          </cell>
          <cell r="I193" t="str">
            <v>I</v>
          </cell>
        </row>
        <row r="194">
          <cell r="C194">
            <v>190</v>
          </cell>
          <cell r="D194" t="str">
            <v>Natalie Landon-Brace; Simon Latour; Brendan T. Innes; Michelle Nurse; Jose L. Cadavid; Ileana L. Co; Cassidy M. Tan; Ferris Nowlan; Sibyl Drissler; Faiyaz Notta; Hartland Warren Jackson; Gary D. Bader; Alison P. McGuigan</v>
          </cell>
          <cell r="E194">
            <v>2025</v>
          </cell>
          <cell r="F194" t="str">
            <v>Analysis of an engineered organoid model of pancreatic cancer identifies hypoxia as a contributing factor in determining transcriptional subtypes</v>
          </cell>
          <cell r="G194" t="str">
            <v>10.1038/s41598-025-98344-x</v>
          </cell>
          <cell r="I194" t="str">
            <v>E</v>
          </cell>
          <cell r="J194" t="str">
            <v>Preclinical studies</v>
          </cell>
        </row>
        <row r="195">
          <cell r="C195">
            <v>191</v>
          </cell>
          <cell r="D195" t="str">
            <v>Anton Lahusen; Manfred P. Lutz; Rui Fang; Martina Kirchner; Sarah Albus; Klaus Kluck; Meinolf Karthaus; Andreas Schwarzer; Gabriele Siegler; Alexander Kleger; Thomas J. Ettrich; Alexander Becher; Sabine Höfling; Jens T. Siveke; Jan Budczies; Andrea Tannapfel; Albrecht Stenzinger; Phyllis Fung-Yi Cheung; Tim Eiseler; Thomas Seufferlein</v>
          </cell>
          <cell r="E195">
            <v>2025</v>
          </cell>
          <cell r="F195" t="str">
            <v>An immune responsive tumor microenvironment imprints into PBMCs and predicts outcome in advanced pancreatic cancer: lessons from the PREDICT trial</v>
          </cell>
          <cell r="G195" t="str">
            <v>10.1186/s12943-025-02406-7</v>
          </cell>
          <cell r="I195" t="str">
            <v>E</v>
          </cell>
          <cell r="J195" t="str">
            <v>Exploratory analysis</v>
          </cell>
        </row>
        <row r="196">
          <cell r="C196">
            <v>192</v>
          </cell>
          <cell r="D196" t="str">
            <v>S. Kulatheivam; L. L. M. Jakobsen; M. Burton; A. P. Ainsworth; C. Fristrup; M. Graversen; M. B. Mortensen; P. Pfeiffer; L. S. Tarpgaard; S. Detlefsen</v>
          </cell>
          <cell r="E196">
            <v>2025</v>
          </cell>
          <cell r="F196" t="str">
            <v>Utility of peritoneal fluid for multiplexed mRNA profiling of peritoneal metastasis from pancreatic cancer</v>
          </cell>
          <cell r="G196" t="str">
            <v>10.1016/j.prp.2025.156250</v>
          </cell>
          <cell r="I196" t="str">
            <v>E</v>
          </cell>
          <cell r="J196" t="str">
            <v>no pdac</v>
          </cell>
        </row>
        <row r="197">
          <cell r="C197">
            <v>193</v>
          </cell>
          <cell r="D197" t="str">
            <v>D. N. Korobkov; I. A. Molodtsov; A. S. Kononikhin; A. E. Bugrova; M. I. Indeykina; A. G. Brzhozovskiy; D. Y. Kanner; E. N. Nikolaev; E. Vasilieva; A. A. Komissarov</v>
          </cell>
          <cell r="E197">
            <v>2025</v>
          </cell>
          <cell r="F197" t="str">
            <v>Multiplexed Quantitation of Plasma Proteins by Targeted Mass Spectrometry for Early Diagnosis of Pancreatic Ductal Adenocarcinoma</v>
          </cell>
          <cell r="G197" t="str">
            <v>10.3390/ijms26189219</v>
          </cell>
          <cell r="I197" t="str">
            <v>E</v>
          </cell>
          <cell r="J197" t="str">
            <v>Not transcriptomic/proteomic biomarker expression</v>
          </cell>
        </row>
        <row r="198">
          <cell r="C198">
            <v>194</v>
          </cell>
          <cell r="D198" t="str">
            <v>C. C. Ko; P. M. Yang</v>
          </cell>
          <cell r="E198">
            <v>2025</v>
          </cell>
          <cell r="F198" t="str">
            <v>Hypoxia-induced MIR31HG expression promotes partial EMT and basal-like phenotype in pancreatic ductal adenocarcinoma based on data mining and experimental analyses</v>
          </cell>
          <cell r="G198" t="str">
            <v>10.1186/s12967-025-06292-x</v>
          </cell>
          <cell r="I198" t="str">
            <v>E</v>
          </cell>
          <cell r="J198" t="str">
            <v>Preclinical studies</v>
          </cell>
        </row>
        <row r="199">
          <cell r="C199">
            <v>195</v>
          </cell>
          <cell r="D199" t="str">
            <v>J. H. Kim; H. Y. Na; K. Jung; D. Jang; Y. Youn; D. H. Kim; H. D. Han; J. H. Hwang</v>
          </cell>
          <cell r="E199">
            <v>2025</v>
          </cell>
          <cell r="F199" t="str">
            <v>Quantitative immunohistochemistry analysis of pancreatic adenocarcinoma upregulated factor expression in pancreatic cancer and its prognostic significance</v>
          </cell>
          <cell r="G199" t="str">
            <v>10.4251/wjgo.v17.i9.109055</v>
          </cell>
          <cell r="I199" t="str">
            <v>I</v>
          </cell>
        </row>
        <row r="200">
          <cell r="C200">
            <v>196</v>
          </cell>
          <cell r="D200" t="str">
            <v>C. Kessler; F. Cadacio; C. Maurer; A. Schäfer; F. Orben; J. C. Fischer; D. Schilling; L. Fricke; S. Rasch; I. E. Demir; K. Steiger; W. Weichert; R. M. Schmid; S. E. Combs; M. Reichert; S. Dobiasch</v>
          </cell>
          <cell r="E200">
            <v>2025</v>
          </cell>
          <cell r="F200" t="str">
            <v>Development of a translational radiobiology platform using pancreatic cancer patient-derived organoids for personalized radiation oncology</v>
          </cell>
          <cell r="G200" t="str">
            <v>10.1016/j.tranon.2025.102535</v>
          </cell>
          <cell r="I200" t="str">
            <v>E</v>
          </cell>
          <cell r="J200" t="str">
            <v>Preclinical studies</v>
          </cell>
        </row>
        <row r="201">
          <cell r="C201">
            <v>197</v>
          </cell>
          <cell r="D201" t="str">
            <v>K. Kashkin; L. Kondratyeva; E. Kopantzev; I. Abramov; L. Zhukova; I. Chernov</v>
          </cell>
          <cell r="E201">
            <v>2025</v>
          </cell>
          <cell r="F201" t="str">
            <v>Deciphering of SOX9 Functions in Pancreatic Cancer Cells</v>
          </cell>
          <cell r="G201" t="str">
            <v>10.3390/ijms26062652</v>
          </cell>
          <cell r="I201" t="str">
            <v>E</v>
          </cell>
          <cell r="J201" t="str">
            <v>Preclinical studies</v>
          </cell>
        </row>
        <row r="202">
          <cell r="C202">
            <v>198</v>
          </cell>
          <cell r="D202" t="str">
            <v>B. Kang; W. Wang; X. Guo; T. Bai; C. Lv; Y. Shen</v>
          </cell>
          <cell r="E202">
            <v>2025</v>
          </cell>
          <cell r="F202" t="str">
            <v>Identification of Prognostic Genes and Establishment of a Risk Score Model Related to Pancreatic Adenocarcinoma and Brown Adipose Tissue Based on Transcriptomics and Experimental Validation</v>
          </cell>
          <cell r="G202" t="str">
            <v>10.3390/genes17010048</v>
          </cell>
          <cell r="I202" t="str">
            <v>I</v>
          </cell>
        </row>
        <row r="203">
          <cell r="C203">
            <v>199</v>
          </cell>
          <cell r="D203" t="str">
            <v>P. Kamble; T. Varma; R. Kumar; P. Garg</v>
          </cell>
          <cell r="E203">
            <v>2025</v>
          </cell>
          <cell r="F203" t="str">
            <v>Computational theranostics strategy for pancreatic ductal adenocarcinoma</v>
          </cell>
          <cell r="G203" t="str">
            <v>10.1007/s11030-025-11241-3</v>
          </cell>
          <cell r="I203" t="str">
            <v>E</v>
          </cell>
          <cell r="J203" t="str">
            <v>No survival outcome</v>
          </cell>
        </row>
        <row r="204">
          <cell r="C204">
            <v>200</v>
          </cell>
          <cell r="D204" t="str">
            <v>Anna Kakehashi; Shugo Suzuki; Yusaku Nishidoi; Atsushi Hagihara; Hiroko Ikenaga; Masayuki Shiota; Guiyu Qiu; Ikue Noura; Yuko Kuwae; Arpamas Vachiraarunwong; Masaki Fujioka; Min Gi; Norifumi Kawada; Hideki Wanibuchi</v>
          </cell>
          <cell r="E204">
            <v>2025</v>
          </cell>
          <cell r="F204" t="str">
            <v>The Impact of Peroxiredoxin 3 on Molecular Testing, Diagnosis, and Prognosis in Human Pancreatic Ductal Adenocarcinoma</v>
          </cell>
          <cell r="G204" t="str">
            <v>10.3390/cancers17132212</v>
          </cell>
          <cell r="I204" t="str">
            <v>E</v>
          </cell>
          <cell r="J204" t="str">
            <v>Not transcriptomic/proteomic biomarker expression</v>
          </cell>
        </row>
        <row r="205">
          <cell r="C205">
            <v>201</v>
          </cell>
          <cell r="D205" t="str">
            <v>Y. Kageyama; R. Ashida; N. Ohike; K. Ohshima; T. Norose; K. Ohgi; M. Yamada; S. Otsuka; Y. Kato; H. Kubo; K. Uesaka; T. Sugiura; T. Sugino; A. Notsu; A. Naruoka; T. Nagashima; K. Urakami; K. Yamaguchi</v>
          </cell>
          <cell r="E205">
            <v>2025</v>
          </cell>
          <cell r="F205" t="str">
            <v>Stratification of G2 pancreatic neuroendocrine tumors using a Ten Percent Ki-67 index cut-off based on clinicopathological and molecular analyses</v>
          </cell>
          <cell r="G205" t="str">
            <v>10.1038/s41598-025-04356-y</v>
          </cell>
          <cell r="I205" t="str">
            <v>E</v>
          </cell>
          <cell r="J205" t="str">
            <v>no pdac</v>
          </cell>
        </row>
        <row r="206">
          <cell r="C206">
            <v>202</v>
          </cell>
          <cell r="D206" t="str">
            <v>H. Jiang; W. Niu; Y. Pan; Z. Jiang; J. Wu; Z. Qiao; X. Jiang; L. Huang</v>
          </cell>
          <cell r="E206">
            <v>2025</v>
          </cell>
          <cell r="F206" t="str">
            <v>Prognostic and Immunological Significance of TIPARP in Pancreatic Cancer</v>
          </cell>
          <cell r="G206" t="str">
            <v>10.1007/s10620-025-09546-2</v>
          </cell>
          <cell r="I206" t="str">
            <v>I</v>
          </cell>
        </row>
        <row r="207">
          <cell r="C207">
            <v>203</v>
          </cell>
          <cell r="D207" t="str">
            <v>X. Jia; Q. Zhang; Z. Wang; J. Cao; A. Song; C. Lan; Y. Hu</v>
          </cell>
          <cell r="E207">
            <v>2025</v>
          </cell>
          <cell r="F207" t="str">
            <v>Integrative single-cell RNA sequencing and bulk RNA sequencing reveals the characteristics of glutathione metabolism and protective role of GSTA4 gene in pancreatic cancer</v>
          </cell>
          <cell r="G207" t="str">
            <v>10.3389/fimmu.2025.1571431</v>
          </cell>
          <cell r="I207" t="str">
            <v>I</v>
          </cell>
        </row>
        <row r="208">
          <cell r="C208">
            <v>204</v>
          </cell>
          <cell r="D208" t="str">
            <v>W. Ji; Y. Xiong; W. Yang; Z. Shao; X. Guo; G. Jin; J. Su; M. Zhou</v>
          </cell>
          <cell r="E208">
            <v>2025</v>
          </cell>
          <cell r="F208" t="str">
            <v>Transcriptomic profiling of blood platelets identifies a diagnostic signature for pancreatic cancer</v>
          </cell>
          <cell r="G208" t="str">
            <v>10.1038/s41416-025-02980-z</v>
          </cell>
          <cell r="I208" t="str">
            <v>E</v>
          </cell>
          <cell r="J208" t="str">
            <v>Diagnostic value</v>
          </cell>
        </row>
        <row r="209">
          <cell r="C209">
            <v>205</v>
          </cell>
          <cell r="D209" t="str">
            <v>S. Ji; L. Cao; J. Gao; Y. Du; Z. Ye; X. Lou; F. Liu; Y. Zhang; J. Xu; X. Shi; H. Wang; P. Li; Y. Li; H. Chen; Z. Yang; S. Gao; W. Zhang; D. Huang; S. Ni; M. Wei; F. Wang; Y. Wang; T. Ding; D. Jing; G. Fan; Z. Gong; R. Lu; Y. Qin; J. Chen; X. Xu; P. Wang; B. Zhang; L. Ding; A. I. Robles; H. Rodriguez; D. K. Chang; R. H. Hruban; D. Gao; D. Gao; G. Jin; H. Zhou; J. Wu; X. Yu</v>
          </cell>
          <cell r="E209">
            <v>2025</v>
          </cell>
          <cell r="F209" t="str">
            <v>Proteogenomic characterization of non-functional pancreatic neuroendocrine tumors unravels clinically relevant subgroups</v>
          </cell>
          <cell r="G209" t="str">
            <v>10.1016/j.ccell.2025.03.016</v>
          </cell>
          <cell r="I209" t="str">
            <v>E</v>
          </cell>
          <cell r="J209" t="str">
            <v>no pdac</v>
          </cell>
        </row>
        <row r="210">
          <cell r="C210">
            <v>206</v>
          </cell>
          <cell r="D210" t="str">
            <v>J. Jakubechova; U. Altanerova; M. Andrezal; D. Vanova; T. Zeleznikova; P. Bartek; M. Cihova; B. Smolkova; V. Buocikova; P. Makovicky; K. Jakic; M. Burikova; M. Urbanova; V. Repaska; B. Spanik; M. Tomas; P. Dubovan; G. Kolnikova; Z. Zdrahal; V. Pustka; D. Potesil; C. Altaner</v>
          </cell>
          <cell r="E210">
            <v>2025</v>
          </cell>
          <cell r="F210" t="str">
            <v>Combined action of suicide gene exosomes from pancreatic cancer-associated fibroblasts and from mesenchymal stem cells as a pancreatic ductal adenocarcinoma treatment approach</v>
          </cell>
          <cell r="G210" t="str">
            <v>10.1186/s12935-025-04130-0</v>
          </cell>
          <cell r="I210" t="str">
            <v>E</v>
          </cell>
          <cell r="J210" t="str">
            <v>Preclinical studies</v>
          </cell>
        </row>
        <row r="211">
          <cell r="C211">
            <v>207</v>
          </cell>
          <cell r="D211" t="str">
            <v>M. K. Iyer; A. A. Fletcher; J. O. Okoye; C. Shi; F. Chen; E. N. Kanu; A. M. Eckhoff; M. Bao; M. Pasca di Magliano; T. L. Frankel; A. M. Chinnaiyan; D. P. Nussbaum; P. J. Allen</v>
          </cell>
          <cell r="E211">
            <v>2025</v>
          </cell>
          <cell r="F211" t="str">
            <v>Spatial Transcriptomics of Intraductal Papillary Mucinous Neoplasms Reveals Divergent Indolent and Malignant States</v>
          </cell>
          <cell r="G211" t="str">
            <v>10.1158/1078-0432.Ccr-24-1529</v>
          </cell>
          <cell r="I211" t="str">
            <v>E</v>
          </cell>
          <cell r="J211" t="str">
            <v>no pdac</v>
          </cell>
        </row>
        <row r="212">
          <cell r="C212">
            <v>208</v>
          </cell>
          <cell r="D212" t="str">
            <v>K. M. T. Islam; R. Khanam; A. Roy; R. B. Mohiuddin; J. Akter; S. Haque; S. A. Al Ashik; S. Sarker; A. K. M. Mohiuddin; S. Mahmud</v>
          </cell>
          <cell r="E212">
            <v>2025</v>
          </cell>
          <cell r="F212" t="str">
            <v>Transcriptomics analysis unveils the complex interplay between diabetes and hypertension in regulating renal cell carcinoma pathway followed by pancreatic metastasis</v>
          </cell>
          <cell r="G212" t="str">
            <v>10.1016/j.jgeb.2025.100616</v>
          </cell>
          <cell r="I212" t="str">
            <v>E</v>
          </cell>
          <cell r="J212" t="str">
            <v>no pdac</v>
          </cell>
        </row>
        <row r="213">
          <cell r="C213">
            <v>209</v>
          </cell>
          <cell r="D213" t="str">
            <v>Htlk Huynh; H. G. Lim; Y. G. Lee; T. V. Phan; T. H. Vo; C. H. Chen; A. T. H. Wu</v>
          </cell>
          <cell r="E213">
            <v>2025</v>
          </cell>
          <cell r="F213" t="str">
            <v>In Silico Identification of ANKRD22 as a Theragnostic Target for Pancreatic Cancer and Fostamatinib's Therapeutic Potential</v>
          </cell>
          <cell r="G213" t="str">
            <v>10.7150/ijms.105193</v>
          </cell>
          <cell r="I213" t="str">
            <v>I</v>
          </cell>
        </row>
        <row r="214">
          <cell r="C214">
            <v>210</v>
          </cell>
          <cell r="D214" t="str">
            <v>Marco Huberts; Elham Aida Farshadi; Farzana Mohammad; Jie Ju; Andrew Stubbs; Ron A. M. Fouchier; Bernadette G. van den Hoogen</v>
          </cell>
          <cell r="E214">
            <v>2025</v>
          </cell>
          <cell r="F214" t="str">
            <v>Identifying gene expression signatures of oncolytic virus response in patient-derived pancreatic ductal adenocarcinoma organoids</v>
          </cell>
          <cell r="G214" t="str">
            <v>10.1016/j.omton.2025.201064</v>
          </cell>
          <cell r="I214" t="str">
            <v>E</v>
          </cell>
          <cell r="J214" t="str">
            <v>Preclinical studies</v>
          </cell>
        </row>
        <row r="215">
          <cell r="C215">
            <v>211</v>
          </cell>
          <cell r="D215" t="str">
            <v>J. Huang; Q. Zhang; Y. Ge; R. Zheng; M. Yang; Y. Sun; V. L. W. Go; Z. Zhang; H. Fang; J. Liu; J. Guo; G. G. Xiao</v>
          </cell>
          <cell r="E215">
            <v>2025</v>
          </cell>
          <cell r="F215" t="str">
            <v>Serum microRNA-24-based nomogram predicts prognosis for patients with resected pancreatic cancer</v>
          </cell>
          <cell r="G215" t="str">
            <v>10.1038/s41598-024-82369-9</v>
          </cell>
          <cell r="I215" t="str">
            <v>E</v>
          </cell>
          <cell r="J215" t="str">
            <v>Liquid biopsy / circulating biomarker only</v>
          </cell>
        </row>
        <row r="216">
          <cell r="C216">
            <v>212</v>
          </cell>
          <cell r="D216" t="str">
            <v>Z. Hu; Y. Sun; S. Yu; F. Zheng; Z. Yan; N. Lu; L. Ye; S. Yuan; Y. Zhu; J. Deng; J. Wang; Y. Bai</v>
          </cell>
          <cell r="E216">
            <v>2025</v>
          </cell>
          <cell r="F216" t="str">
            <v>Enhanced oral nanomedicine utilizing biomineralized oncolytic virus for synergistic gastrointestinal cancer therapy</v>
          </cell>
          <cell r="G216" t="str">
            <v>10.1016/j.mtbio.2025.102583</v>
          </cell>
          <cell r="I216" t="str">
            <v>E</v>
          </cell>
          <cell r="J216" t="str">
            <v>Preclinical studies</v>
          </cell>
        </row>
        <row r="217">
          <cell r="C217">
            <v>213</v>
          </cell>
          <cell r="D217" t="str">
            <v>Lingbo Hu; Yanhong Xiao; Ning Jiang; Yufen Hu; Liewang Qiu; Bo Geng</v>
          </cell>
          <cell r="E217">
            <v>2025</v>
          </cell>
          <cell r="F217" t="str">
            <v>Investigating the correlation between tertiary lymphoid structures and clinical outcomes in pancreatic ductal adenocarcinoma: insights into tumor immunology</v>
          </cell>
          <cell r="G217" t="str">
            <v>10.3389/fonc.2025.1569947</v>
          </cell>
          <cell r="I217" t="str">
            <v>I</v>
          </cell>
        </row>
        <row r="218">
          <cell r="C218">
            <v>214</v>
          </cell>
          <cell r="D218" t="str">
            <v>D. Høgdall; J. V. Schou; J. J. A. Bromann; J. B. Andersen; C. J. O'Rourke</v>
          </cell>
          <cell r="E218">
            <v>2025</v>
          </cell>
          <cell r="F218" t="str">
            <v>Personalized Neoadjuvant Chemotherapy for Gastrointestinal Cancers: Shaping Imprecision to be Precise</v>
          </cell>
          <cell r="G218" t="str">
            <v>10.1158/1078-0432.Ccr-24-4309</v>
          </cell>
          <cell r="I218" t="str">
            <v>E</v>
          </cell>
          <cell r="J218" t="str">
            <v>Review</v>
          </cell>
        </row>
        <row r="219">
          <cell r="C219">
            <v>215</v>
          </cell>
          <cell r="D219" t="str">
            <v>Deborah de la Caridad Delgado Herrera; Alejandro Arroyo Roman; Carrie McCracken; Lisa Sadzewicz; Luke Tallon; Christina Ferrer</v>
          </cell>
          <cell r="E219">
            <v>2025</v>
          </cell>
          <cell r="F219" t="str">
            <v>The glutathione S-transferase GSTT1 mediates stemness and sensitivity to FGFR inhibitors in metastatic pancreatic cancer through regulation of &lt;i&gt;PROM1&lt;/i&gt;</v>
          </cell>
          <cell r="G219" t="str">
            <v>10.1101/2025.08.06.668944</v>
          </cell>
          <cell r="I219" t="str">
            <v>E</v>
          </cell>
          <cell r="J219" t="str">
            <v>Preclinical studies</v>
          </cell>
        </row>
        <row r="220">
          <cell r="C220">
            <v>216</v>
          </cell>
          <cell r="D220" t="str">
            <v>M. Hendi; B. Zhang; Y. P. Mou; X. J. Cai</v>
          </cell>
          <cell r="E220">
            <v>2025</v>
          </cell>
          <cell r="F220" t="str">
            <v>Importance of landscape exploration and progress in molecular therapies and precision medicine for pancreatic ductal adenocarcinoma</v>
          </cell>
          <cell r="G220" t="str">
            <v>10.4251/wjgo.v17.i7.103337</v>
          </cell>
          <cell r="I220" t="str">
            <v>E</v>
          </cell>
          <cell r="J220" t="str">
            <v>Review</v>
          </cell>
        </row>
        <row r="221">
          <cell r="C221">
            <v>217</v>
          </cell>
          <cell r="D221" t="str">
            <v>Xinying He; Lili Ren; Shaoyong Dong; Weiwei Liu</v>
          </cell>
          <cell r="E221">
            <v>2025</v>
          </cell>
          <cell r="F221" t="str">
            <v>Impact of SERPINA3 on the Prognostic Role of KRAS G12R-Mutated Pancreatic Ductal Adenocarcinoma Patients Receiving Gemcitabine-Based Treatment: A Cross-Sectional Study</v>
          </cell>
          <cell r="G221" t="str">
            <v>10.1002/hsr2.71332</v>
          </cell>
          <cell r="I221" t="str">
            <v>I</v>
          </cell>
        </row>
        <row r="222">
          <cell r="C222">
            <v>218</v>
          </cell>
          <cell r="D222" t="str">
            <v>Marwa Hassan; Walaa H. El-Maadawy; Yasmine Elhusseny; Fatma Elbatol Agamy; Sally A. Fahim; Mahmoud Balata</v>
          </cell>
          <cell r="E222">
            <v>2025</v>
          </cell>
          <cell r="F222" t="str">
            <v>Genetic Variants and Soluble Isoforms of PD-1/PD-L1 as Novel Biomarkers for Pancreatic Ductal Adenocarcinoma (PDAC) Susceptibility and Prognosis</v>
          </cell>
          <cell r="G222" t="str">
            <v>10.3390/biomedicines13092246</v>
          </cell>
          <cell r="I222" t="str">
            <v>E</v>
          </cell>
          <cell r="J222" t="str">
            <v>Exploratory analysis</v>
          </cell>
        </row>
        <row r="223">
          <cell r="C223">
            <v>219</v>
          </cell>
          <cell r="D223" t="str">
            <v>N. A. Hassan Elsheikh; A. Abaker NA; M. F. Almrshoud; A. Abdalfadil FA; M. Alfaki</v>
          </cell>
          <cell r="E223">
            <v>2025</v>
          </cell>
          <cell r="F223" t="str">
            <v>Pan-Cancer Analysis Reveals Ribonuclease K (RNASEK) as a Potential Prognostic Biomarker in Pancreatic Cancer and a Diagnostic Indicator Across Multiple Human Cancers</v>
          </cell>
          <cell r="G223" t="str">
            <v>10.7759/cureus.84574</v>
          </cell>
          <cell r="I223" t="str">
            <v>E</v>
          </cell>
          <cell r="J223" t="str">
            <v>no pdac</v>
          </cell>
        </row>
        <row r="224">
          <cell r="C224">
            <v>220</v>
          </cell>
          <cell r="D224" t="str">
            <v>Y. B. Han; S. Lee; J. O. Lee; S. I. Jeong; K. R. Lee; S. Ahn; K. Jung; J. C. Lee; Y. S. Yoon; J. H. Hwang; H. S. Han; H. Y. Na; J. Kim</v>
          </cell>
          <cell r="E224">
            <v>2025</v>
          </cell>
          <cell r="F224" t="str">
            <v>Spatial transcriptomics reveal high T cell and monocyte status as predictive and prognostic markers in pancreatic cancer</v>
          </cell>
          <cell r="G224" t="str">
            <v>10.1186/s12967-025-06599-9</v>
          </cell>
          <cell r="I224" t="str">
            <v>I</v>
          </cell>
        </row>
        <row r="225">
          <cell r="C225">
            <v>221</v>
          </cell>
          <cell r="D225" t="str">
            <v>Priyanka Gupta; Rabi Murad; Lily Ling; Yijuan Zhang; Karen Duong-Polk; Swetha Maganti; Cheska Galapate; Cosimo Commisso</v>
          </cell>
          <cell r="E225">
            <v>2025</v>
          </cell>
          <cell r="F225" t="str">
            <v>The Aging Microenvironment as a Determinant of Immune Exclusion and Metastatic Fate in Pancreatic Cancer</v>
          </cell>
          <cell r="G225" t="str">
            <v>10.1101/2025.05.08.652966</v>
          </cell>
          <cell r="I225" t="str">
            <v>DUP</v>
          </cell>
          <cell r="J225" t="str">
            <v>Duplicate record removed before screening</v>
          </cell>
        </row>
        <row r="226">
          <cell r="C226">
            <v>222</v>
          </cell>
          <cell r="D226" t="str">
            <v>P. M. Gunasekaran; Q. Wang; Y. C. Chang; P. Guseva; R. Chauhan; A. Kley; G. Lee; S. G. Roy; Y. Masoudpoor; A. Roberts; K. W. Walton; L. Franciosa; S. Bhat; E. Zachariah; K. Patel; Z. Zhou; W. Chen; J. Z. Ni; S. G. Gu; C. Montagna; S. H. Chiou</v>
          </cell>
          <cell r="E226">
            <v>2025</v>
          </cell>
          <cell r="F226" t="str">
            <v>Hypoxia-induced metastatic heterogeneity in pancreatic cancer</v>
          </cell>
          <cell r="G226" t="str">
            <v>10.1101/2025.08.26.672389</v>
          </cell>
          <cell r="I226" t="str">
            <v>E</v>
          </cell>
          <cell r="J226" t="str">
            <v>Preclinical studies</v>
          </cell>
        </row>
        <row r="227">
          <cell r="C227">
            <v>223</v>
          </cell>
          <cell r="D227" t="str">
            <v>Xiao Guan; Yongrun Mu; Xin Jin; Chengfeng Wang</v>
          </cell>
          <cell r="E227">
            <v>2025</v>
          </cell>
          <cell r="F227" t="str">
            <v>Integrated multi-omics profiling to establish an IGFBP-based prognostic score for pancreatic ductal adenocarcinoma: unraveling prognostic biomarkers, immune microenvironment crosstalk, and therapeutic implications</v>
          </cell>
          <cell r="G227" t="str">
            <v>10.3389/fimmu.2025.1600527</v>
          </cell>
          <cell r="I227" t="str">
            <v>I</v>
          </cell>
        </row>
        <row r="228">
          <cell r="C228">
            <v>224</v>
          </cell>
          <cell r="D228" t="str">
            <v>Patrick M. Grierson; Crystal Wolf; Rama Suresh; Andrea Wang-Gillam; Benjamin R. Tan; Lee Ratner; Peter Oppelt; Olivia Aranha; Ashley Frith; Katrina S. Pedersen; Jennifer Spann; Nicholas Boice; Amberly Brown; John M. Baer; Emily G. Butka; Faiz Ahmad; Yifei Xu; Jingxia Liu; David G. DeNardo; Kian-Huat Lim</v>
          </cell>
          <cell r="E228">
            <v>2025</v>
          </cell>
          <cell r="F228" t="str">
            <v>Neoadjuvant BMS-813160, Nivolumab, Gemcitabine, and Nab-Paclitaxel for Patients with Pancreatic Cancer</v>
          </cell>
          <cell r="G228" t="str">
            <v>10.1158/1078-0432.ccr-24-1821</v>
          </cell>
          <cell r="I228" t="str">
            <v>E</v>
          </cell>
          <cell r="J228" t="str">
            <v>Preclinical studies</v>
          </cell>
        </row>
        <row r="229">
          <cell r="C229">
            <v>225</v>
          </cell>
          <cell r="D229" t="str">
            <v>J. Gout; M. Ekizce; E. Roger; A. Kleger</v>
          </cell>
          <cell r="E229">
            <v>2025</v>
          </cell>
          <cell r="F229" t="str">
            <v>Pancreatic organoids as cancer avatars for true personalized medicine</v>
          </cell>
          <cell r="G229" t="str">
            <v>10.1016/j.addr.2025.115642</v>
          </cell>
          <cell r="I229" t="str">
            <v>E</v>
          </cell>
          <cell r="J229" t="str">
            <v>Review</v>
          </cell>
        </row>
        <row r="230">
          <cell r="C230">
            <v>226</v>
          </cell>
          <cell r="D230" t="str">
            <v>Jonathan Gonzalez-Ruiz; Miryam Sarmiento-Casas; Ivan Bahena-Ocampo; Magali Espinosa; Gisela Ceballos-Cancino; Karla Vazquez-Santillan; Vilma Maldonado; Jorge Melendez-Zajgla</v>
          </cell>
          <cell r="E230">
            <v>2025</v>
          </cell>
          <cell r="F230" t="str">
            <v>Defensin-Rich Platelets Drive Pro-Tumorigenic Programs in Pancreatic Adenocarcinoma</v>
          </cell>
          <cell r="G230" t="str">
            <v>10.3390/ijms262210898</v>
          </cell>
          <cell r="I230" t="str">
            <v>I</v>
          </cell>
        </row>
        <row r="231">
          <cell r="C231">
            <v>227</v>
          </cell>
          <cell r="D231" t="str">
            <v>X. Gong; S. Wang; Q. Xia</v>
          </cell>
          <cell r="E231">
            <v>2025</v>
          </cell>
          <cell r="F231" t="str">
            <v>The Emerging Triad in Cancer and Aging: Cellular Senescence, Microbiome, and Tumor Microenvironment</v>
          </cell>
          <cell r="G231" t="str">
            <v>10.14336/ad.2025.1495</v>
          </cell>
          <cell r="I231" t="str">
            <v>E</v>
          </cell>
          <cell r="J231" t="str">
            <v>Review</v>
          </cell>
        </row>
        <row r="232">
          <cell r="C232">
            <v>228</v>
          </cell>
          <cell r="D232" t="str">
            <v>D. Gong; R. Liu; Y. Cui; M. Rhodes; J. W. Bae; J. M. Beechem; W. L. Hwang</v>
          </cell>
          <cell r="E232">
            <v>2025</v>
          </cell>
          <cell r="F232" t="str">
            <v>Integrated spatial morpho-transcriptomics predicts functional traits in pancreatic cancer</v>
          </cell>
          <cell r="G232" t="str">
            <v>10.1101/2025.03.12.642933</v>
          </cell>
          <cell r="I232" t="str">
            <v>E</v>
          </cell>
          <cell r="J232" t="str">
            <v>Preclinical studies</v>
          </cell>
        </row>
        <row r="233">
          <cell r="C233">
            <v>229</v>
          </cell>
          <cell r="D233" t="str">
            <v>Ahmad Golestanifar; Mana Zakeri; Sahar Gohari-Lasaki; Hengameh Khedri; Mohammadreza Saberiyan</v>
          </cell>
          <cell r="E233">
            <v>2025</v>
          </cell>
          <cell r="F233" t="str">
            <v>Combined bulk and single-cell transcriptomic analysis reveals cell-type-specific inflammatory crosstalk in pancreatic cancer</v>
          </cell>
          <cell r="G233" t="str">
            <v>10.1007/s10238-025-01815-8</v>
          </cell>
          <cell r="I233" t="str">
            <v>E</v>
          </cell>
          <cell r="J233" t="str">
            <v>No survival outcome</v>
          </cell>
        </row>
        <row r="234">
          <cell r="C234">
            <v>230</v>
          </cell>
          <cell r="D234" t="str">
            <v>W. Ge; Y. Wang; D. Shentu; M. Yue; Y. Wang</v>
          </cell>
          <cell r="E234">
            <v>2025</v>
          </cell>
          <cell r="F234" t="str">
            <v>A novel defined cuproptosis-related signature score to predict prognosis and immunotherapy efficacy in pancreatic cancer</v>
          </cell>
          <cell r="G234" t="str">
            <v>10.3892/ol.2025.15337</v>
          </cell>
          <cell r="I234" t="str">
            <v>I</v>
          </cell>
        </row>
        <row r="235">
          <cell r="C235">
            <v>231</v>
          </cell>
          <cell r="D235" t="str">
            <v>J. Ge; J. Cai; G. Zhang; D. Li; L. Tao</v>
          </cell>
          <cell r="E235">
            <v>2025</v>
          </cell>
          <cell r="F235" t="str">
            <v>Multi-omics integration and machine learning uncover molecular basal-like subtype of pancreatic cancer and implicate A2ML1 in promoting tumor epithelial-mesenchymal transition</v>
          </cell>
          <cell r="G235" t="str">
            <v>10.1186/s12967-025-06711-z</v>
          </cell>
          <cell r="I235" t="str">
            <v>I</v>
          </cell>
        </row>
        <row r="236">
          <cell r="C236">
            <v>232</v>
          </cell>
          <cell r="D236" t="str">
            <v>J. Ge; J. Cai; G. Zhang; D. Li; L. Tao</v>
          </cell>
          <cell r="E236">
            <v>2025</v>
          </cell>
          <cell r="F236" t="str">
            <v>SPP1 + macrophages facilitate pancreatic cancer progression via ITGB6-mediated interactions: evidence from integrated multi-omics analysis and experimental validation</v>
          </cell>
          <cell r="G236" t="str">
            <v>10.1007/s12026-025-09666-x</v>
          </cell>
          <cell r="I236" t="str">
            <v>I</v>
          </cell>
        </row>
        <row r="237">
          <cell r="C237">
            <v>233</v>
          </cell>
          <cell r="D237" t="str">
            <v>H. Ge; G. Wolters-Eisfeld; T. Hackert; Y. Li; C. Güngör</v>
          </cell>
          <cell r="E237">
            <v>2025</v>
          </cell>
          <cell r="F237" t="str">
            <v>Development of a hypoxia-responsive macrophage prognostic model using single-cell and bulk RNA sequencing in pancreatic cancer</v>
          </cell>
          <cell r="G237" t="str">
            <v>10.1371/journal.pone.0322618</v>
          </cell>
          <cell r="I237" t="str">
            <v>I</v>
          </cell>
        </row>
        <row r="238">
          <cell r="C238">
            <v>234</v>
          </cell>
          <cell r="D238" t="str">
            <v>W. Gasper; G. Pontecorvi; Z. Chi; S. Enrico; L. Goodman; H. Amarneh; E. Mazzarelli; J. Thomas; L. Zhang; R. Handloser; S. LeCates; A. L. Tomescu; F. Rossi; M. Sykes; A. Bhatt; N. Fazio; A. Bifolco; N. Fatimah; A. Seamann; C. Lewis; S. Melton; H. J. Zeh; M. B. Wachsmann; D. Ghersi; M. Ligorio</v>
          </cell>
          <cell r="E238">
            <v>2025</v>
          </cell>
          <cell r="F238" t="str">
            <v>Form Follows Function: A New Paradigm of Pancreatic Cancer Progression</v>
          </cell>
          <cell r="G238" t="str">
            <v>10.1101/2025.08.12.667175</v>
          </cell>
          <cell r="I238" t="str">
            <v>E</v>
          </cell>
          <cell r="J238" t="str">
            <v>Diagnostic value</v>
          </cell>
        </row>
        <row r="239">
          <cell r="C239">
            <v>235</v>
          </cell>
          <cell r="D239" t="str">
            <v>Shan Gao; Zhenchu Tang; Yuqian Zhou</v>
          </cell>
          <cell r="E239">
            <v>2025</v>
          </cell>
          <cell r="F239" t="str">
            <v>Development and Validation of a Prognostic Signature Based on Transcription Factors Associated with Endoplasmic Reticulum Stress in Pancreatic Adenocarcinoma</v>
          </cell>
          <cell r="G239" t="str">
            <v>10.2174/0109298673364512250611034932</v>
          </cell>
          <cell r="I239" t="str">
            <v>I</v>
          </cell>
        </row>
        <row r="240">
          <cell r="C240">
            <v>236</v>
          </cell>
          <cell r="D240" t="str">
            <v>L. Galasso; F. Vitale; G. Giansanti; G. Esposto; R. Borriello; I. Mignini; A. Nicoletti; L. Zileri Dal Verme; A. Gasbarrini; M. E. Ainora; M. A. Zocco</v>
          </cell>
          <cell r="E240">
            <v>2025</v>
          </cell>
          <cell r="F240" t="str">
            <v>Decoding Pancreatic Neuroendocrine Tumors: Molecular Profiles, Biomarkers, and Pathways to Personalized Therapy</v>
          </cell>
          <cell r="G240" t="str">
            <v>10.3390/ijms26167814</v>
          </cell>
          <cell r="I240" t="str">
            <v>E</v>
          </cell>
          <cell r="J240" t="str">
            <v>no pdac</v>
          </cell>
        </row>
        <row r="241">
          <cell r="C241">
            <v>237</v>
          </cell>
          <cell r="D241" t="str">
            <v>J. G; S. A</v>
          </cell>
          <cell r="E241">
            <v>2025</v>
          </cell>
          <cell r="F241" t="str">
            <v>Identification of potential biomarkers for pancreatic ductal adenocarcinoma: a bioinformatics analysis</v>
          </cell>
          <cell r="G241" t="str">
            <v>10.1080/10255842.2024.2356648</v>
          </cell>
          <cell r="I241" t="str">
            <v>I</v>
          </cell>
        </row>
        <row r="242">
          <cell r="C242">
            <v>238</v>
          </cell>
          <cell r="D242" t="str">
            <v>O. Freylikhman; S. Seyfedinova; V. Kamalova; A. Vatian; A. Boukhanovsky; A. Kostareva; E. Solonitsyn; O. Kalinina</v>
          </cell>
          <cell r="E242">
            <v>2025</v>
          </cell>
          <cell r="F242" t="str">
            <v>RNA Signature as Potential Diagnostic Marker for Differentiation of Pancreatic Cysts: A Pilot Study</v>
          </cell>
          <cell r="G242" t="str">
            <v>10.3390/ijms26199680</v>
          </cell>
          <cell r="I242" t="str">
            <v>E</v>
          </cell>
          <cell r="J242" t="str">
            <v>Diagnostic value</v>
          </cell>
        </row>
        <row r="243">
          <cell r="C243">
            <v>239</v>
          </cell>
          <cell r="D243" t="str">
            <v>Grazia Fenu; Carmen Griñán-Lisón; Federica Etzi; Aitor González-Titos; Andrea Pisano; Belén Toledo; Cristiano Farace; Angela Sabalic; Esmeralda Carrillo; Juan Antonio Marchal; Roberto Madeddu</v>
          </cell>
          <cell r="E243">
            <v>2025</v>
          </cell>
          <cell r="F243" t="str">
            <v>Functional Characterization of miR-216a-5p and miR-125a-5p on Pancreatic Cancer Stem Cells</v>
          </cell>
          <cell r="G243" t="str">
            <v>10.3390/ijms26072830</v>
          </cell>
          <cell r="I243" t="str">
            <v>E</v>
          </cell>
          <cell r="J243" t="str">
            <v>Preclinical studies</v>
          </cell>
        </row>
        <row r="244">
          <cell r="C244">
            <v>240</v>
          </cell>
          <cell r="D244" t="str">
            <v>S. Feng; R. Chen; H. Huang; M. Ong; J. Jiang; J. Cui; Q. Ling</v>
          </cell>
          <cell r="E244">
            <v>2025</v>
          </cell>
          <cell r="F244" t="str">
            <v>Cancer Cell-Derived Exosomal miR-519a/522-5p Promotes Pancreatic Cancer Progression by Enhancing Warburg Effect</v>
          </cell>
          <cell r="G244" t="str">
            <v>10.1245/s10434-025-17540-1</v>
          </cell>
          <cell r="I244" t="str">
            <v>E</v>
          </cell>
          <cell r="J244" t="str">
            <v>Liquid biopsy / circulating biomarker only</v>
          </cell>
        </row>
        <row r="245">
          <cell r="C245">
            <v>241</v>
          </cell>
          <cell r="D245" t="str">
            <v>H. Feng; Z. Chen; J. Li; J. Feng; F. Yang; F. Meng; H. Yin; Y. Guo; H. Xu; Y. Liu; R. Liu; W. Lou; L. Liu; X. Han; H. Su; L. Zhang</v>
          </cell>
          <cell r="E245">
            <v>2025</v>
          </cell>
          <cell r="F245" t="str">
            <v>Unveiling circulating targets in pancreatic cancer: Insights from proteogenomic evidence and clinical cohorts</v>
          </cell>
          <cell r="G245" t="str">
            <v>10.1016/j.isci.2024.111693</v>
          </cell>
          <cell r="I245" t="str">
            <v>E</v>
          </cell>
          <cell r="J245" t="str">
            <v>Liquid biopsy / circulating biomarker only</v>
          </cell>
        </row>
        <row r="246">
          <cell r="C246">
            <v>242</v>
          </cell>
          <cell r="D246" t="str">
            <v>J. Fang; H. Ji; M. Wang; B. Zheng; J. Zhou; C. Xiao</v>
          </cell>
          <cell r="E246">
            <v>2025</v>
          </cell>
          <cell r="F246" t="str">
            <v>Characterization of pancreatic cancer stem cells and construction of a stem cell-based prognostic signature</v>
          </cell>
          <cell r="G246" t="str">
            <v>10.1038/s41598-025-33029-z</v>
          </cell>
          <cell r="I246" t="str">
            <v>I</v>
          </cell>
        </row>
        <row r="247">
          <cell r="C247">
            <v>243</v>
          </cell>
          <cell r="D247" t="str">
            <v>J. Fang; S. Gao; M. Wang; W. Ni; J. Du; W. Lin; M. Lin</v>
          </cell>
          <cell r="E247">
            <v>2025</v>
          </cell>
          <cell r="F247" t="str">
            <v>Identification of pancreatic subtypes and prognostic markers on the basis of changes in immunologic signature gene sets activity</v>
          </cell>
          <cell r="G247" t="str">
            <v>10.1097/md.0000000000045385</v>
          </cell>
          <cell r="I247" t="str">
            <v>I</v>
          </cell>
        </row>
        <row r="248">
          <cell r="C248">
            <v>244</v>
          </cell>
          <cell r="D248" t="str">
            <v>Z. Fan; Y. Xiao; Y. Du; Y. Zhang; W. Zhou</v>
          </cell>
          <cell r="E248">
            <v>2025</v>
          </cell>
          <cell r="F248" t="str">
            <v>Pancreatic cancer subtyping - the keystone of precision treatment</v>
          </cell>
          <cell r="G248" t="str">
            <v>10.3389/fimmu.2025.1563725</v>
          </cell>
          <cell r="I248" t="str">
            <v>E</v>
          </cell>
          <cell r="J248" t="str">
            <v>Review</v>
          </cell>
        </row>
        <row r="249">
          <cell r="C249">
            <v>245</v>
          </cell>
          <cell r="D249" t="str">
            <v>Zeinab A. El-Moaty; Maria Wagdy Wasef; Yara A. Elsayed; Amina Sayed Shafiq; Mai A. Elnagar; Hadeer Rashad Mohamed; Ahmed E. Elesawyf; Sherif S. Abdel Mageedg; Osama A. Mohammed; Mustafa Ahmed Abdel-Reheim; Rabab S. Hamad; Raydaa Abdullah S. Alshomrani; Ahmed S. Doghish</v>
          </cell>
          <cell r="E249">
            <v>2025</v>
          </cell>
          <cell r="F249" t="str">
            <v>Unraveling the therapeutic landscape of miRNAs in pancreatic cancer</v>
          </cell>
          <cell r="G249" t="str">
            <v>10.1007/s00210-025-04301-w</v>
          </cell>
          <cell r="I249" t="str">
            <v>E</v>
          </cell>
          <cell r="J249" t="str">
            <v>Review</v>
          </cell>
        </row>
        <row r="250">
          <cell r="C250">
            <v>246</v>
          </cell>
          <cell r="D250" t="str">
            <v>Thomas L. Ekstrom; Raya M. Rosok; Amro M. Abdelrahman; Christina Parassiadis; Meghana Manjunath; Marianna Y. Dittrich; Xin Wang; Ana P. Kutschat; Akshay Kanakan; Ashish Rajput; Nadine Schacherer; Teodora Lukic; Danielle M. Carlson; Julia Thiel; Waltraut Kopp; Philipp Stroebel; Volker Ellenrieder; Jochen Gaedcke; Meng Dong; Zeynab Najafova; Mark J. Truty; Elisabeth Hessmann; Steven A. Johnsen</v>
          </cell>
          <cell r="E250">
            <v>2025</v>
          </cell>
          <cell r="F250" t="str">
            <v>Glucocorticoid receptor suppresses GATA6-mediated RNA polymerase II pause release to modulate classical subtype identity in pancreatic cancer</v>
          </cell>
          <cell r="G250" t="str">
            <v>10.1136/gutjnl-2024-334374</v>
          </cell>
          <cell r="I250" t="str">
            <v>E</v>
          </cell>
          <cell r="J250" t="str">
            <v>Preclinical studies</v>
          </cell>
        </row>
        <row r="251">
          <cell r="C251">
            <v>247</v>
          </cell>
          <cell r="D251" t="str">
            <v>N. Dusetti; J. B. Bachet; B. Chanez; C. Neuzillet; L. de Mestier; N. Williet; N. Frauhoffer; R. Nicolle; A. Boilève; A. Turpin; R. Rodriguez; J. Cros; J. Iovanna; P. Hammel</v>
          </cell>
          <cell r="E251">
            <v>2025</v>
          </cell>
          <cell r="F251" t="str">
            <v>Medical management of pancreatic cancer: from personalization to broadening treatment strategies</v>
          </cell>
          <cell r="G251" t="str">
            <v>10.1016/j.ctrv.2025.102973</v>
          </cell>
          <cell r="I251" t="str">
            <v>E</v>
          </cell>
          <cell r="J251" t="str">
            <v>Review</v>
          </cell>
        </row>
        <row r="252">
          <cell r="C252">
            <v>248</v>
          </cell>
          <cell r="D252" t="str">
            <v>H. Duo; J. Luo; D. Tayier; J. You; C. Tian; S. Du; Q. Ye; W. Zhou; Z. Yang; Z. Wang</v>
          </cell>
          <cell r="E252">
            <v>2025</v>
          </cell>
          <cell r="F252" t="str">
            <v>Prognostic and immune microenvironment analysis of cuproptosis-related lncRNAs in human pancreatic cancer</v>
          </cell>
          <cell r="G252" t="str">
            <v>10.1016/j.compbiomed.2025.111004</v>
          </cell>
          <cell r="I252" t="str">
            <v>I</v>
          </cell>
        </row>
        <row r="253">
          <cell r="C253">
            <v>249</v>
          </cell>
          <cell r="D253" t="str">
            <v>Xiyao Du; Yunlong Cai; Peng Kuang; Mo Zeng; Yingli Huang; Shanshan Huang</v>
          </cell>
          <cell r="E253">
            <v>2025</v>
          </cell>
          <cell r="F253" t="str">
            <v>A long non-coding RNA SCAMP1 induces pancreatic ductal adenocarcinoma progression through miR-106a-5p/AGK signaling</v>
          </cell>
          <cell r="G253" t="str">
            <v>10.1007/s10238-025-01943-1</v>
          </cell>
          <cell r="I253" t="str">
            <v>I</v>
          </cell>
        </row>
        <row r="254">
          <cell r="C254">
            <v>250</v>
          </cell>
          <cell r="D254" t="str">
            <v>H. Du; G. Si; J. Si; X. Song; F. Si</v>
          </cell>
          <cell r="E254">
            <v>2025</v>
          </cell>
          <cell r="F254" t="str">
            <v>Integration of single-cell RNA and bulk RNA sequencing revealed malignant ductal cell heterogeneity and prognosis signatures in pancreatic cancer</v>
          </cell>
          <cell r="G254" t="str">
            <v>10.3389/fimmu.2025.1579184</v>
          </cell>
          <cell r="I254" t="str">
            <v>I</v>
          </cell>
        </row>
        <row r="255">
          <cell r="C255">
            <v>251</v>
          </cell>
          <cell r="D255" t="str">
            <v>Z. Deng; Z. Yang; L. Li; G. Zeng; Z. Meng; R. Liu</v>
          </cell>
          <cell r="E255">
            <v>2025</v>
          </cell>
          <cell r="F255" t="str">
            <v>A lipid metabolism related gene signature predicts postoperative recurrence in pancreatic cancer through multicenter cohort validation</v>
          </cell>
          <cell r="G255" t="str">
            <v>10.1038/s41598-025-96855-1</v>
          </cell>
          <cell r="I255" t="str">
            <v>I</v>
          </cell>
        </row>
        <row r="256">
          <cell r="C256">
            <v>252</v>
          </cell>
          <cell r="D256" t="str">
            <v>Z. Deng; L. Li; Z. Yang; G. Zeng; R. Liu</v>
          </cell>
          <cell r="E256">
            <v>2025</v>
          </cell>
          <cell r="F256" t="str">
            <v>Integrated analysis of polytranscriptomics reveals TNFSF ligand genes in pancreatic cancer prognosis and immune regulation</v>
          </cell>
          <cell r="G256" t="str">
            <v>10.1186/s12865-025-00733-4</v>
          </cell>
          <cell r="I256" t="str">
            <v>I</v>
          </cell>
        </row>
        <row r="257">
          <cell r="C257">
            <v>253</v>
          </cell>
          <cell r="D257" t="str">
            <v>L. A. Delgado-Coka; L. Roa-Peña; A. Flescher; L. F. Escobar-Hoyos; K. R. Shroyer</v>
          </cell>
          <cell r="E257">
            <v>2025</v>
          </cell>
          <cell r="F257" t="str">
            <v>Advancing Precision Medicine in PDAC: An Ethical Scoping Review and Call to Action for IHC Implementation</v>
          </cell>
          <cell r="G257" t="str">
            <v>10.3390/cancers17121899</v>
          </cell>
          <cell r="I257" t="str">
            <v>E</v>
          </cell>
          <cell r="J257" t="str">
            <v>Review</v>
          </cell>
        </row>
        <row r="258">
          <cell r="C258">
            <v>254</v>
          </cell>
          <cell r="D258" t="str">
            <v>I. V. da Silva; P. A. Lopes; E. Fonseca; E. Vigia; J. Paulino; G. Soveral</v>
          </cell>
          <cell r="E258">
            <v>2025</v>
          </cell>
          <cell r="F258" t="str">
            <v>The Association of Aquaporins with MAPK Signaling Pathway Unveils Potential Prognostic Biomarkers for Pancreatic Cancer: A Transcriptomics Approach</v>
          </cell>
          <cell r="G258" t="str">
            <v>10.3390/biom15040488</v>
          </cell>
          <cell r="I258" t="str">
            <v>E</v>
          </cell>
          <cell r="J258" t="str">
            <v>No survival outcome</v>
          </cell>
        </row>
        <row r="259">
          <cell r="C259">
            <v>255</v>
          </cell>
          <cell r="D259" t="str">
            <v>Z. Cui; X. Lei; Y. Gou; Z. Wu; X. Huang</v>
          </cell>
          <cell r="E259">
            <v>2025</v>
          </cell>
          <cell r="F259" t="str">
            <v>OCIAD2 as a novel prognostic and therapeutic biomarker for pancreatic cancer: A study based on transcriptomic signature and bioinformatics analysis</v>
          </cell>
          <cell r="G259" t="str">
            <v>10.1371/journal.pcbi.1013566</v>
          </cell>
          <cell r="I259" t="str">
            <v>I</v>
          </cell>
        </row>
        <row r="260">
          <cell r="C260">
            <v>256</v>
          </cell>
          <cell r="D260" t="str">
            <v>R. Cui; G. Wang; R. Hu; Y. Wang; H. Mu; Y. Song; B. Chen; X. Jiang</v>
          </cell>
          <cell r="E260">
            <v>2025</v>
          </cell>
          <cell r="F260" t="str">
            <v>Prognostic and immunotherapeutic potential of disulfidptosis-associated signature in pancreatic cancer</v>
          </cell>
          <cell r="G260" t="str">
            <v>10.3389/fimmu.2025.1568976</v>
          </cell>
          <cell r="I260" t="str">
            <v>I</v>
          </cell>
        </row>
        <row r="261">
          <cell r="C261">
            <v>257</v>
          </cell>
          <cell r="D261" t="str">
            <v>J. Cros; M. Bucau; M. Tihy; M. Palazzo; P. Bourgoin; A. Chassac; M. Albuquerque; A. Sauvanet; S. Dokmak; M. Dioguardi Burgio; V. Paradis; O. Hentic; P. Ruszniewski; L. de Mestier; V. Rebours; A. Couvelard</v>
          </cell>
          <cell r="E261">
            <v>2025</v>
          </cell>
          <cell r="F261" t="str">
            <v>Predictive value of metabolic state on PanNET response to mTOR inhibitors</v>
          </cell>
          <cell r="G261" t="str">
            <v>10.1530/erc-24-0331</v>
          </cell>
          <cell r="I261" t="str">
            <v>E</v>
          </cell>
          <cell r="J261" t="str">
            <v>no pdac</v>
          </cell>
        </row>
        <row r="262">
          <cell r="C262">
            <v>258</v>
          </cell>
          <cell r="D262" t="str">
            <v>B. R. Counts; S. Jean; O. Gaafer; S. K. Ota; I. Inabathini; T. Guo; D. C. Guttridge; M. C. Ostrowski; L. G. Koniaris; S. Cao; H. C. Roh; T. A. Zimmers</v>
          </cell>
          <cell r="E262">
            <v>2025</v>
          </cell>
          <cell r="F262" t="str">
            <v>Pancreatic Cancer Induces Population-Specific Switching of Myosin Isoforms and Discrete Activation of Cachexia Genes in Skeletal Muscle Myocytes</v>
          </cell>
          <cell r="G262" t="str">
            <v>10.1101/2025.09.01.673500</v>
          </cell>
          <cell r="I262" t="str">
            <v>E</v>
          </cell>
          <cell r="J262" t="str">
            <v>Preclinical studies</v>
          </cell>
        </row>
        <row r="263">
          <cell r="C263">
            <v>259</v>
          </cell>
          <cell r="D263" t="str">
            <v>E. Corre; A. Alard; C. Marbœuf; C. Lasfargues; S. Dailhau; Y. Blum; R. Nicolle; J. Iovanna; N. Dusetti; S. Pyronnet</v>
          </cell>
          <cell r="E263">
            <v>2025</v>
          </cell>
          <cell r="F263" t="str">
            <v>Bimodal silencing of the acinar cell-specific mRNA translation repressor PAIP2B defines a poor prognostic subgroup within the classical pancreatic tumor type</v>
          </cell>
          <cell r="G263" t="str">
            <v>10.1016/j.canlet.2025.217971</v>
          </cell>
          <cell r="I263" t="str">
            <v>E</v>
          </cell>
          <cell r="J263" t="str">
            <v>Preclinical studies</v>
          </cell>
        </row>
        <row r="264">
          <cell r="C264">
            <v>260</v>
          </cell>
          <cell r="D264" t="str">
            <v>Claire Alexandra Chew; Cheng Mun Wun; Yi Fang Lee; Cheng Ean Chee; Khek Yu Ho; Glenn Kunnath Bonney</v>
          </cell>
          <cell r="E264">
            <v>2025</v>
          </cell>
          <cell r="F264" t="str">
            <v>Functional Precision in Pancreatic Cancer: Redefining Biomarkers with Patient-Derived Organoids</v>
          </cell>
          <cell r="G264" t="str">
            <v>10.3390/ijms26189083</v>
          </cell>
          <cell r="I264" t="str">
            <v>E</v>
          </cell>
          <cell r="J264" t="str">
            <v>Review</v>
          </cell>
        </row>
        <row r="265">
          <cell r="C265">
            <v>261</v>
          </cell>
          <cell r="D265" t="str">
            <v>Yuhang Chen; Fenglin Zhang; Suoyi Dai; Jiangang Zhao; Wenxun Cai; Ke Zhang; Xinghe Liao; Lianyu Chen</v>
          </cell>
          <cell r="E265">
            <v>2025</v>
          </cell>
          <cell r="F265" t="str">
            <v>Lactate-associated gene MCU promotes the proliferation, migration, and invasion of pancreatic ductal adenocarcinoma</v>
          </cell>
          <cell r="G265" t="str">
            <v>10.1186/s12885-025-14319-1</v>
          </cell>
          <cell r="I265" t="str">
            <v>I</v>
          </cell>
        </row>
        <row r="266">
          <cell r="C266">
            <v>262</v>
          </cell>
          <cell r="D266" t="str">
            <v>Xinyuan Chen; Shanyue Sun; Shuofeng Li; Shuangni Yu; Jie Chen; Xianlong Chen</v>
          </cell>
          <cell r="E266">
            <v>2025</v>
          </cell>
          <cell r="F266" t="str">
            <v>Attenuated immune surveillance during squamous cell transformation of pancreatic adenosquamous cancer defines new therapeutic opportunity for cancer interception</v>
          </cell>
          <cell r="G266" t="str">
            <v>10.1136/jitc-2025-012066</v>
          </cell>
          <cell r="I266" t="str">
            <v>E</v>
          </cell>
          <cell r="J266" t="str">
            <v>no pdac</v>
          </cell>
        </row>
        <row r="267">
          <cell r="C267">
            <v>263</v>
          </cell>
          <cell r="D267" t="str">
            <v>Q. Chen; T. Liang; C. Wu; J. Lu; X. Li; J. Wan; Y. Lu; Q. Guo</v>
          </cell>
          <cell r="E267">
            <v>2025</v>
          </cell>
          <cell r="F267" t="str">
            <v>PLAAT2 facilitates the development of pancreatic cancer and serves as a predictor of resistance to chemotherapy</v>
          </cell>
          <cell r="G267" t="str">
            <v>10.1186/s12885-025-15481-2</v>
          </cell>
          <cell r="I267" t="str">
            <v>I</v>
          </cell>
        </row>
        <row r="268">
          <cell r="C268">
            <v>264</v>
          </cell>
          <cell r="D268" t="str">
            <v>L. Chen; X. Ying; C. Ma; Q. Tang; S. Chen</v>
          </cell>
          <cell r="E268">
            <v>2025</v>
          </cell>
          <cell r="F268" t="str">
            <v>Single-cell and multi-omics analysis identifies TRIM9 as a key ubiquitination regulator in pancreatic cancer</v>
          </cell>
          <cell r="G268" t="str">
            <v>10.3389/fimmu.2025.1631708</v>
          </cell>
          <cell r="I268" t="str">
            <v>E</v>
          </cell>
          <cell r="J268" t="str">
            <v>Review</v>
          </cell>
        </row>
        <row r="269">
          <cell r="C269">
            <v>265</v>
          </cell>
          <cell r="D269" t="str">
            <v>K. Chen; Z. Chen; J. Wang; M. Zhou; Y. Liu; B. Xu; Z. Yu; Y. Li; G. Yang; T. Xu</v>
          </cell>
          <cell r="E269">
            <v>2025</v>
          </cell>
          <cell r="F269" t="str">
            <v>Single-Cell Sequencing Unravels Pancreatic Cancer: Novel Technologies Reveal Novel Aspects of Cellular Heterogeneity and Inform Therapeutic Strategies</v>
          </cell>
          <cell r="G269" t="str">
            <v>10.3390/biomedicines13123024</v>
          </cell>
          <cell r="I269" t="str">
            <v>E</v>
          </cell>
          <cell r="J269" t="str">
            <v>Review</v>
          </cell>
        </row>
        <row r="270">
          <cell r="C270">
            <v>266</v>
          </cell>
          <cell r="D270" t="str">
            <v>Jing Chen; Hui Jiang; Hui Chen; Kuan Yang; Kaiyue Yang; Mingyao Sun; Na Lv; Bolin Ren; Xinyi Lin; Xia Li; Yunpeng Zhang; Congxue Hu</v>
          </cell>
          <cell r="E270">
            <v>2025</v>
          </cell>
          <cell r="F270" t="str">
            <v>Elucidating Pancreatic Ductal Adenocarcinoma Carcinogenesis at Single-Cell Resolution and Identifying Subtype Specific Drug Candidates</v>
          </cell>
          <cell r="G270" t="str">
            <v>10.3390/ijms262412031</v>
          </cell>
          <cell r="I270" t="str">
            <v>E</v>
          </cell>
          <cell r="J270" t="str">
            <v>Not transcriptomic/proteomic biomarker expression</v>
          </cell>
        </row>
        <row r="271">
          <cell r="C271">
            <v>267</v>
          </cell>
          <cell r="D271" t="str">
            <v>H. Chen; J. Yin; X. Wang; R. Xia; F. Qin; Z. Li; J. Yang; C. Liu; S. Guo; H. Wang</v>
          </cell>
          <cell r="E271">
            <v>2025</v>
          </cell>
          <cell r="F271" t="str">
            <v>Establishment of M2 macrophage-related prognostic signature in pancreatic ductal adenocarcinoma</v>
          </cell>
          <cell r="G271" t="str">
            <v>10.1007/s12672-025-02838-z</v>
          </cell>
          <cell r="I271" t="str">
            <v>I</v>
          </cell>
        </row>
        <row r="272">
          <cell r="C272">
            <v>268</v>
          </cell>
          <cell r="D272" t="str">
            <v>C. Chen; K. P. Gribbin; X. Li; T. Y. Ozmen; F. Ozmen; S. Sivagnanam; J. Kim; K. E. Blise; X. Yang; Y. Zhang; R. S. Dai; D. Keith; M. H. Sherman; M. S. Dai; L. M. Coussens; C. D. Lopez; R. C. Sears; G. B. Mills; K. T. Byrne; Z. Xia</v>
          </cell>
          <cell r="E272">
            <v>2025</v>
          </cell>
          <cell r="F272" t="str">
            <v>Tumor-intrinsic MHC-II activation in pancreatic ductal adenocarcinoma enhances immune response and treatment efficacy</v>
          </cell>
          <cell r="G272" t="str">
            <v>10.1101/2025.10.21.683745</v>
          </cell>
          <cell r="I272" t="str">
            <v>E</v>
          </cell>
          <cell r="J272" t="str">
            <v>Preprint (not peer-reviewed)</v>
          </cell>
        </row>
        <row r="273">
          <cell r="C273">
            <v>269</v>
          </cell>
          <cell r="D273" t="str">
            <v>W. H. Chang; D. Shah; S. Myers; M. Potts; S. Qazi; V. Trieu</v>
          </cell>
          <cell r="E273">
            <v>2025</v>
          </cell>
          <cell r="F273" t="str">
            <v>Comparative Tumor Microenvironment Analysis for HCC and PDAC Using KMplotter</v>
          </cell>
          <cell r="G273" t="str">
            <v>10.3390/ijms262411920</v>
          </cell>
          <cell r="I273" t="str">
            <v>I</v>
          </cell>
        </row>
        <row r="274">
          <cell r="C274">
            <v>270</v>
          </cell>
          <cell r="D274" t="str">
            <v>B. Chanez; M. Delaye; N. Fraunhoffer; J. Iovanna; C. Neuzillet; N. Dusetti</v>
          </cell>
          <cell r="E274">
            <v>2025</v>
          </cell>
          <cell r="F274" t="str">
            <v>Toward Precision Chemotherapy for Pancreatic Cancer Guided by Transcriptomic Signatures</v>
          </cell>
          <cell r="G274" t="str">
            <v>10.1002/ueg2.70124</v>
          </cell>
          <cell r="I274" t="str">
            <v>E</v>
          </cell>
          <cell r="J274" t="str">
            <v>Review</v>
          </cell>
        </row>
        <row r="275">
          <cell r="C275">
            <v>271</v>
          </cell>
          <cell r="D275" t="str">
            <v>M. Chalabi Hajkarim; M. May; A. D. Amin; J. Jamison; S. Tagore; E. D'Souza; L. Caprio; Z. H. Walsh; J. L. Fan; M. Zhang; P. Shah; S. Abuzaid; A. Michel; S. Dajiang; W. Wong; N. Shaikh; P. Ramaradj; B. Bakir; M. D. Kluger; J. Chabot; E. Azizi; H. Hibshoosh; A. K. Rustgi; A. G. Raufi; G. A. Manji; B. Izar</v>
          </cell>
          <cell r="E275">
            <v>2025</v>
          </cell>
          <cell r="F275" t="str">
            <v>Cellular states associated with metastatic organotropism and survival in patients with pancreatic ductal adenocarcinoma</v>
          </cell>
          <cell r="G275" t="str">
            <v>10.1038/s41588-025-02345-5</v>
          </cell>
          <cell r="I275" t="str">
            <v>E</v>
          </cell>
          <cell r="J275" t="str">
            <v>Not transcriptomic/proteomic biomarker expression</v>
          </cell>
        </row>
        <row r="276">
          <cell r="C276">
            <v>272</v>
          </cell>
          <cell r="D276" t="str">
            <v>A. D. Campos; R. M. Shepard; Z. Ortega; I. Heumann; A. E. Wilke; A. Nam; C. Cable; K. Kouhmareh; R. Klemke; N. M. Mattson; T. Ideker; C. De Arruda Saldanha; S. Heinz; V. Weaver; T. Von Schalscha; H. I. Wettersten; S. M. Weis; D. A. Cheresh</v>
          </cell>
          <cell r="E276">
            <v>2025</v>
          </cell>
          <cell r="F276" t="str">
            <v>A STAT3/integrin axis accelerates pancreatic cancer initiation and progression</v>
          </cell>
          <cell r="G276" t="str">
            <v>10.1016/j.celrep.2025.116010</v>
          </cell>
          <cell r="I276" t="str">
            <v>I</v>
          </cell>
        </row>
        <row r="277">
          <cell r="C277">
            <v>273</v>
          </cell>
          <cell r="D277" t="str">
            <v>M. Boubaddi; J. Rossi; A. Marichez; M. Marty; S. Amintas; C. Laurent; S. Dabernat</v>
          </cell>
          <cell r="E277">
            <v>2025</v>
          </cell>
          <cell r="F277" t="str">
            <v>Preoperative Prognostic Factors in Resectable Pancreatic Cancer: State of the Art and Prospects</v>
          </cell>
          <cell r="G277" t="str">
            <v>10.1245/s10434-025-17062-w</v>
          </cell>
          <cell r="I277" t="str">
            <v>E</v>
          </cell>
          <cell r="J277" t="str">
            <v>Review</v>
          </cell>
        </row>
        <row r="278">
          <cell r="C278">
            <v>274</v>
          </cell>
          <cell r="D278" t="str">
            <v>M. Bonanomi; S. Mallia; M. Scalise; T. Aramini; F. Baldassari; E. Brivio; F. Conte; A. Lo Dico; M. Bonas; D. Porro; C. Indiveri; C. M. Metallo; D. Gaglio</v>
          </cell>
          <cell r="E278">
            <v>2025</v>
          </cell>
          <cell r="F278" t="str">
            <v>Serine-Driven Metabolic Plasticity Drives Adaptive Resilience in Pancreatic Cancer Cells</v>
          </cell>
          <cell r="G278" t="str">
            <v>10.3390/antiox14070833</v>
          </cell>
          <cell r="I278" t="str">
            <v>E</v>
          </cell>
          <cell r="J278" t="str">
            <v>Preclinical studies</v>
          </cell>
        </row>
        <row r="279">
          <cell r="C279">
            <v>275</v>
          </cell>
          <cell r="D279" t="str">
            <v>L. Bolm; N. Fraunhoffer; N. Dusetti; J. Straesser; N. Petruch; C. Fernandez Del Castillo; J. Iovanna</v>
          </cell>
          <cell r="E279">
            <v>2025</v>
          </cell>
          <cell r="F279" t="str">
            <v>The PancreasView gemcitabine transcriptomic signature predicts response to gemcitabine in patients with resected pancreatic ductal adenocarcinoma</v>
          </cell>
          <cell r="G279" t="str">
            <v>10.1093/oncolo/oyaf083</v>
          </cell>
          <cell r="I279" t="str">
            <v>I</v>
          </cell>
        </row>
        <row r="280">
          <cell r="C280">
            <v>276</v>
          </cell>
          <cell r="D280" t="str">
            <v>A. M. Bogdanski; D. C. F. Klatte; M. E. van Leerdam; C. M. Cobbaert; Bepb Ballieux; J. E. van Hooft; K. E. Clift; M. Wuhrer; W. E. Mesker; Y. Bi; M. B. Wallace; Y. E. M. van der Burgt</v>
          </cell>
          <cell r="E280">
            <v>2025</v>
          </cell>
          <cell r="F280" t="str">
            <v>Protein N-Glycosylation Traits Combined with CA19-9 Accurately Distinguish Pancreatic Cancer Cases From Healthy Controls and Benign Pancreatic Diseases</v>
          </cell>
          <cell r="G280" t="str">
            <v>10.1097/mpa.0000000000002517</v>
          </cell>
          <cell r="I280" t="str">
            <v>E</v>
          </cell>
          <cell r="J280" t="str">
            <v>Diagnostic value</v>
          </cell>
        </row>
        <row r="281">
          <cell r="C281">
            <v>277</v>
          </cell>
          <cell r="D281" t="str">
            <v>B. J. Bhatt; S. Ghosh; V. Mazurak; A. Q. Brun; O. Bathe; V. E. Baracos; S. Damaraju</v>
          </cell>
          <cell r="E281">
            <v>2025</v>
          </cell>
          <cell r="F281" t="str">
            <v>Molecular subtypes of human skeletal muscle in cancer cachexia</v>
          </cell>
          <cell r="G281" t="str">
            <v>10.1038/s41586-025-09502-0</v>
          </cell>
          <cell r="I281" t="str">
            <v>E</v>
          </cell>
          <cell r="J281" t="str">
            <v>Not transcriptomic/proteomic biomarker expression</v>
          </cell>
        </row>
        <row r="282">
          <cell r="C282">
            <v>278</v>
          </cell>
          <cell r="D282" t="str">
            <v>A. Bengtsson; R. Andersson; J. Linders; A. Gulla; D. Ansari</v>
          </cell>
          <cell r="E282">
            <v>2025</v>
          </cell>
          <cell r="F282" t="str">
            <v>Biomarkers for Early Detection of Pancreatic Cancer</v>
          </cell>
          <cell r="G282" t="str">
            <v>10.1159/000546584</v>
          </cell>
          <cell r="I282" t="str">
            <v>E</v>
          </cell>
          <cell r="J282" t="str">
            <v>Review</v>
          </cell>
        </row>
        <row r="283">
          <cell r="C283">
            <v>279</v>
          </cell>
          <cell r="D283" t="str">
            <v>Alexander T. F. Bell; Peter Chianchiano; Katsuya Hirose; Daniel Salas-Escabillas; Doreen M. Zucha; Jacob T. Mitchell; Ludmila Danilova; Alexander I. Damanakis; Joseph A. Tandurella; Jeanette Johnson; Jing Zhu; James R. Eshleman; Qingfeng Zhu; Robert A. Anders; Luciane T. Kagohara; Elana J. Fertig; Laura D. Wood</v>
          </cell>
          <cell r="E283">
            <v>2025</v>
          </cell>
          <cell r="F283" t="str">
            <v>Spatial profiling of human pancreatic ductal adenocarcinoma reveals molecular alterations associated with venous invasion</v>
          </cell>
          <cell r="G283" t="str">
            <v>10.1126/scitranslmed.ady7524</v>
          </cell>
          <cell r="I283" t="str">
            <v>E</v>
          </cell>
          <cell r="J283" t="str">
            <v>No survival outcome</v>
          </cell>
        </row>
        <row r="284">
          <cell r="C284">
            <v>280</v>
          </cell>
          <cell r="D284" t="str">
            <v>A. Bararia; A. Chakraborty; G. Ghosh; D. G. Dastidar; S. Mukherjee; N. Sikdar</v>
          </cell>
          <cell r="E284">
            <v>2025</v>
          </cell>
          <cell r="F284" t="str">
            <v>A multi-phase approach using supervised algorithms and clinical models to generate high-accuracy signatures for pancreatic cancer</v>
          </cell>
          <cell r="G284" t="str">
            <v>10.1016/j.compbiomed.2025.110559</v>
          </cell>
          <cell r="I284" t="str">
            <v>I</v>
          </cell>
        </row>
        <row r="285">
          <cell r="C285">
            <v>281</v>
          </cell>
          <cell r="D285" t="str">
            <v>R. Ballarò; A. R. Wasylishen; C. R. C. Pieterman; C. Olsen; E. Irajizad; R. Wu; H. Katayama; H. Liu; Y. Cai; R. A. León-Letelier; J. B. Dennison; S. Waguespack; K. A. Do; S. K. Agarwal; M. Walter; J. Welch; L. Weinstein; J. E. Blau; S. Jha; N. Nilubol; M. R. Vriens; R. S. van Leeuwaarde; M. J. C. van Treijen; G. D. Valk; N. D. Perrier; S. M. Hanash; J. F. Fahrmann</v>
          </cell>
          <cell r="E285">
            <v>2025</v>
          </cell>
          <cell r="F285" t="str">
            <v>Elevated levels of circulating microbial-associated uremic toxins are associated with metastatic duodenopancreatic neuroendocrine tumors in patients with Multiple Endocrine Neoplasia Type 1</v>
          </cell>
          <cell r="G285" t="str">
            <v>10.1016/j.canlet.2025.217537</v>
          </cell>
          <cell r="I285" t="str">
            <v>E</v>
          </cell>
          <cell r="J285" t="str">
            <v>no pdac</v>
          </cell>
        </row>
        <row r="286">
          <cell r="C286">
            <v>282</v>
          </cell>
          <cell r="D286" t="str">
            <v>D. Bakırdöğen; K. Görgülü; J. Xin; L. Richter; S. Alcalá; L. Ruiz-Cañas; C. Dai; K. J. Frank; N. Wu; K. N. Diakopoulos; H. Ozturk; D. Demircioğlu; K. Peschke; R. Ranjan; F. Fusco; J. Martinez-Useros; M. J. Fernandez-Aceñero; N. F. Chhabra; J. C. López-Gil; J. Ai; D. A. Ruess; E. Kaya-Aksoy; F. Schmidt; L. Kohlmann; A. Berninger; H. Yang; F. Schicktanz; K. Steiger; I. E. Demir; R. M. Schmid; M. Reichert; M. Adli; M. Lesina; B. Sainz, Jr.; H. Algül</v>
          </cell>
          <cell r="E286">
            <v>2025</v>
          </cell>
          <cell r="F286" t="str">
            <v>c-Rel drives pancreatic cancer metastasis through fibronectin-integrin signaling-induced isolation stress resistance and EMT</v>
          </cell>
          <cell r="G286" t="str">
            <v>10.1186/s12943-025-02486-5</v>
          </cell>
          <cell r="I286" t="str">
            <v>E</v>
          </cell>
          <cell r="J286" t="str">
            <v>Preclinical studies</v>
          </cell>
        </row>
        <row r="287">
          <cell r="C287">
            <v>283</v>
          </cell>
          <cell r="D287" t="str">
            <v>Prachi Bajpai; Ravi Paluri; Sameer Al Diffalha; Darshan S. Chandrashekar; Farrukh Afaq; Dennis Otali; Amr Elkholy; C. Ryan Miller; Shajan Peter; Ashish Manne; Ganji Purnachandra Nagaraju; Madhu Sudhana Saddala; Moh'd Khushman; Sooryanarayana Varambally; Upender Manne</v>
          </cell>
          <cell r="E287">
            <v>2025</v>
          </cell>
          <cell r="F287" t="str">
            <v>Differential gene expression profiles of pancreatic ductal adenocarcinomas among African American and Caucasian American patients</v>
          </cell>
          <cell r="G287" t="str">
            <v>10.1016/j.tranon.2025.102466</v>
          </cell>
          <cell r="I287" t="str">
            <v>I</v>
          </cell>
        </row>
        <row r="288">
          <cell r="C288">
            <v>284</v>
          </cell>
          <cell r="D288" t="str">
            <v>M. A. Aznar; C. R. Good; J. S. Barber-Rotenberg; S. Agarwal; W. Wilson; A. Watts; Z. Zhang; D. Gonzales; G. Donahue; W. T. Hwang; A. K. Rennels; A. J. Rech; S. Kuramitsu; H. Huang; K. M. Glastad; K. A. Alexander; G. Plesa; E. Dowd; A. Brennan; D. L. Siegel; J. Tanyi; A. Haas; D. A. Torigian; G. Nadolski; V. E. Gonzalez; E. O. Hexner; J. A. Fraietta; J. K. Jadlowsky; R. M. Young; S. L. Berger; C. H. June; M. H. O'Hara</v>
          </cell>
          <cell r="E288">
            <v>2025</v>
          </cell>
          <cell r="F288" t="str">
            <v>Clinical and molecular dissection of CAR T cell resistance in pancreatic cancer</v>
          </cell>
          <cell r="G288" t="str">
            <v>10.1016/j.xcrm.2025.102301</v>
          </cell>
          <cell r="I288" t="str">
            <v>E</v>
          </cell>
          <cell r="J288" t="str">
            <v>Preclinical studies</v>
          </cell>
        </row>
        <row r="289">
          <cell r="C289">
            <v>285</v>
          </cell>
          <cell r="D289" t="str">
            <v>B. Aydin; K. Okutan; O. O. Aydogan; R. Sinha; B. Turanli</v>
          </cell>
          <cell r="E289">
            <v>2025</v>
          </cell>
          <cell r="F289" t="str">
            <v>The Construction of ceRNA Regulatory Network Unraveled Prognostic Biomarkers and Repositioned Drug Candidates for the Management of Pancreatic Ductal Adenocarcinoma</v>
          </cell>
          <cell r="G289" t="str">
            <v>10.3390/cimb47070496</v>
          </cell>
          <cell r="I289" t="str">
            <v>I</v>
          </cell>
        </row>
        <row r="290">
          <cell r="C290">
            <v>286</v>
          </cell>
          <cell r="D290" t="str">
            <v>Zarlish Attique; Hafiz Muhammad Faraz Azhar; Adnan Ahmed Ansari</v>
          </cell>
          <cell r="E290">
            <v>2025</v>
          </cell>
          <cell r="F290" t="str">
            <v>Integrative Multiomic and Deep Learning Profiling of KRAS Mutant and Wildtype Genomes in Pancreatic Tumorigenesis</v>
          </cell>
          <cell r="G290" t="str">
            <v>10.21203/rs.3.rs-7335783/v1</v>
          </cell>
          <cell r="I290" t="str">
            <v>E</v>
          </cell>
          <cell r="J290" t="str">
            <v>Preprint (not peer-reviewed)</v>
          </cell>
        </row>
        <row r="291">
          <cell r="C291">
            <v>287</v>
          </cell>
          <cell r="D291" t="str">
            <v>A. T. Aref; J. Grealey; M. Pathan; Z. Noor; A. Anees; A. K. M. Azad; D. L. Smith; E. M. Humphries; D. Bucio-Noble; J. M. S. Koh; E. K. Sykes; S. G. Williams; R. J. Lyons; N. Lucas; D. Xavier; S. Sahni; A. Mittal; J. S. Samra; J. V. Pearson; N. Waddell; O. Kondrashova; A. Chou; L. Sioson; A. Sheen; P. G. Hains; P. J. Robinson; Q. Zhong; R. R. Reddel; A. J. Gill</v>
          </cell>
          <cell r="E291">
            <v>2025</v>
          </cell>
          <cell r="F291" t="str">
            <v>Mapping the Proteomic Landscape of Pancreatic Cancer: Prognostic Insights and Subtype Stratification</v>
          </cell>
          <cell r="G291" t="str">
            <v>10.1158/2767-9764.Crc-25-0229</v>
          </cell>
          <cell r="I291" t="str">
            <v>I</v>
          </cell>
        </row>
        <row r="292">
          <cell r="C292">
            <v>288</v>
          </cell>
          <cell r="D292" t="str">
            <v>P. An; J. Wang; R. Fan</v>
          </cell>
          <cell r="E292">
            <v>2025</v>
          </cell>
          <cell r="F292" t="str">
            <v>Identifying and validating PLAU as a potential prognostic biomarker for PDAC</v>
          </cell>
          <cell r="G292" t="str">
            <v>10.1038/s41598-025-97629-5</v>
          </cell>
          <cell r="I292" t="str">
            <v>I</v>
          </cell>
        </row>
        <row r="293">
          <cell r="C293">
            <v>289</v>
          </cell>
          <cell r="D293" t="str">
            <v>G. K. Acquaah-Mensah; B. Aguilar; K. Abdilleh</v>
          </cell>
          <cell r="E293">
            <v>2025</v>
          </cell>
          <cell r="F293" t="str">
            <v>Radiomics Combined with Transcriptomics Improves Prediction of Breast Cancer Recurrence, Molecular Subtype and Grade</v>
          </cell>
          <cell r="G293" t="str">
            <v>10.3390/cancers17172912</v>
          </cell>
          <cell r="I293" t="str">
            <v>E</v>
          </cell>
          <cell r="J293" t="str">
            <v>no pdac</v>
          </cell>
        </row>
        <row r="294">
          <cell r="C294">
            <v>290</v>
          </cell>
          <cell r="D294" t="str">
            <v>K. Abdilleh; B. Aguilar; G. Acquaah-Mensah</v>
          </cell>
          <cell r="E294">
            <v>2025</v>
          </cell>
          <cell r="F294" t="str">
            <v>Clinical and Multiomic Features Differentiate Young Black and White Breast Cancer Cohorts Derived by Machine Learning Approaches</v>
          </cell>
          <cell r="G294" t="str">
            <v>10.1016/j.clbc.2024.11.015</v>
          </cell>
          <cell r="I294" t="str">
            <v>E</v>
          </cell>
          <cell r="J294" t="str">
            <v>no pdac</v>
          </cell>
        </row>
      </sheetData>
      <sheetData sheetId="4"/>
      <sheetData sheetId="5"/>
      <sheetData sheetId="6"/>
      <sheetData sheetId="7">
        <row r="11">
          <cell r="B11">
            <v>159</v>
          </cell>
        </row>
        <row r="14">
          <cell r="C14">
            <v>14</v>
          </cell>
        </row>
        <row r="35">
          <cell r="B35">
            <v>127</v>
          </cell>
        </row>
        <row r="36">
          <cell r="B36">
            <v>70</v>
          </cell>
        </row>
        <row r="42">
          <cell r="B42">
            <v>57</v>
          </cell>
        </row>
      </sheetData>
      <sheetData sheetId="8">
        <row r="2">
          <cell r="A2">
            <v>1</v>
          </cell>
          <cell r="K2" t="str">
            <v>primarily transcriptomic, secondarily proteomic validation</v>
          </cell>
          <cell r="M2" t="str">
            <v>UNC93B1</v>
          </cell>
          <cell r="P2" t="str">
            <v>OS</v>
          </cell>
          <cell r="T2" t="str">
            <v>No</v>
          </cell>
          <cell r="U2" t="str">
            <v>No</v>
          </cell>
          <cell r="AB2" t="str">
            <v>no</v>
          </cell>
          <cell r="AC2" t="str">
            <v>NA</v>
          </cell>
        </row>
        <row r="3">
          <cell r="A3">
            <v>2</v>
          </cell>
          <cell r="K3" t="str">
            <v>Epigenetics + lncRNA expression + proteomics + immunohistochemistry</v>
          </cell>
          <cell r="M3" t="str">
            <v>MEG3 promoter methylation, MEG3 lncRNA expression, F11R protein expression, and combined double-positive phenotype (MEG3 methylation + F11R-high)</v>
          </cell>
          <cell r="P3" t="str">
            <v>Cancer-specific survival (CSS; equivalent to OS because all deaths were cancer-related)</v>
          </cell>
          <cell r="T3" t="str">
            <v>Independent poor prognostic factors in multivariable Cox analysis: no adjuvant chemotherapy HR/RR 3.397 (95% CI 1.881–6.137, P&lt;0.001); CA19-9 ≥200 U/mL HR/RR 1.911 (95% CI 1.167–3.128, P&lt;0.05); stage III/IV HR/RR 2.039 (95% CI 1.215–3.421, P&lt;0.01); poorly differentiated tumor HR/RR 1.727 (95% CI 1.013–2.945, P&lt;0.05); double-positive MEG3 methylation + F11R-high HR/RR 1.701 (95% CI 1.024–2.827, P&lt;0.05)</v>
          </cell>
          <cell r="U3" t="str">
            <v>Adjuvant chemotherapy, CA19-9, stage, tumor differentiation (PD), and double-positive biomarker status included in final multivariable model; long-DM was not retained because of overlap with PD and double-positive status and limited sample size</v>
          </cell>
          <cell r="AB3" t="str">
            <v>yes</v>
          </cell>
          <cell r="AC3" t="str">
            <v>yes</v>
          </cell>
          <cell r="AG3" t="str">
            <v>Excluded — biomarker modality: independent result is for a composite of MEG3 promoter DNA methylation (epigenetic/DNA marker) + F11R protein; not a transcriptomic/proteomic marker</v>
          </cell>
        </row>
        <row r="4">
          <cell r="A4">
            <v>3</v>
          </cell>
          <cell r="K4" t="str">
            <v>transcriptomic, proteomic, and single-cell analyses</v>
          </cell>
          <cell r="M4" t="str">
            <v>CALU (Calumenin)</v>
          </cell>
          <cell r="P4" t="str">
            <v>Overall survival (OS)</v>
          </cell>
          <cell r="T4" t="str">
            <v>No</v>
          </cell>
          <cell r="U4" t="str">
            <v>No</v>
          </cell>
          <cell r="AB4" t="str">
            <v>no</v>
          </cell>
          <cell r="AC4" t="str">
            <v>NA</v>
          </cell>
        </row>
        <row r="5">
          <cell r="A5">
            <v>4</v>
          </cell>
          <cell r="K5" t="str">
            <v>Proteomics</v>
          </cell>
          <cell r="M5" t="str">
            <v>UFM1 protein expression</v>
          </cell>
          <cell r="P5" t="str">
            <v>PFS and OS</v>
          </cell>
          <cell r="T5" t="str">
            <v>PFS: HR 0.343, 95% CI 0.207-0.567, P &lt; 0.001
OS: HR 0.304, 95% CI 0.182-0.510, P &lt; 0.001</v>
          </cell>
          <cell r="U5" t="str">
            <v>For PFS: TNM stage, UFM1 expression
For OS: TNM stage, treatment regimen, UFM1 expression</v>
          </cell>
          <cell r="AB5" t="str">
            <v>yes</v>
          </cell>
          <cell r="AC5" t="str">
            <v>yes</v>
          </cell>
        </row>
        <row r="6">
          <cell r="A6">
            <v>5</v>
          </cell>
          <cell r="K6" t="str">
            <v>Transcriptomics (scRNA-seq + bulk RNA-seq) + bioinformatics + pharmacology + experimental validation</v>
          </cell>
          <cell r="M6" t="str">
            <v>Nine-gene prognostic signature derived from 20 hub genes; hub targets include TP53, EP300, PIAS1; therapeutic compound: esculin</v>
          </cell>
          <cell r="P6" t="str">
            <v>Overall survival (OS)</v>
          </cell>
          <cell r="T6" t="str">
            <v>Nine-gene model demonstrated strong independent prognostic predictive capability (validated across external cohorts); specific HR values not reported in abstract</v>
          </cell>
          <cell r="U6" t="str">
            <v>LASSO inherently adjusts for gene interactions; exact clinical covariates not clearly described</v>
          </cell>
          <cell r="AB6" t="str">
            <v>yes</v>
          </cell>
          <cell r="AC6" t="str">
            <v>yes</v>
          </cell>
        </row>
        <row r="7">
          <cell r="A7">
            <v>6</v>
          </cell>
          <cell r="K7" t="str">
            <v>Single-cell transcriptomics + bulk RNA-seq + epigenomics (ATAC-seq) + proteomics + metabolic profiling + functional genomics</v>
          </cell>
          <cell r="M7" t="str">
            <v>LY6D (stem-like gastric-like cell state marker)</v>
          </cell>
          <cell r="P7" t="str">
            <v>Overall survival (OS) in human PDAC cohorts</v>
          </cell>
          <cell r="T7" t="str">
            <v>LY6D identified as an independent prognostic marker of poor survival (exact HR not reported in abstract)</v>
          </cell>
          <cell r="U7" t="str">
            <v>Not explicitly detailed (likely adjusted for clinical variables in Cox model, but not specified)</v>
          </cell>
          <cell r="AB7" t="str">
            <v>yes</v>
          </cell>
          <cell r="AC7" t="str">
            <v>yes</v>
          </cell>
        </row>
        <row r="8">
          <cell r="A8">
            <v>7</v>
          </cell>
          <cell r="K8" t="str">
            <v>Transcriptomics (bulk RNA-seq) and single-cell transcriptomics (scRNA-seq)</v>
          </cell>
          <cell r="M8" t="str">
            <v>Disulfidptosis-related gene (DRG) signature; key genes: RPN1, PML; model genes: NDUFA11, MYH14, TRIP6, ACTN1, ANP32E, PML, CD2AP, RPN1</v>
          </cell>
          <cell r="P8" t="str">
            <v>Overall survival (OS)</v>
          </cell>
          <cell r="T8" t="str">
            <v>Risk score and age remained independent prognostic factors in multivariable Cox</v>
          </cell>
          <cell r="U8" t="str">
            <v>Age, sex, tumor grade, clinical stage, T stage, N stage, M stage</v>
          </cell>
          <cell r="AB8" t="str">
            <v>yes</v>
          </cell>
          <cell r="AC8" t="str">
            <v>yes</v>
          </cell>
        </row>
        <row r="9">
          <cell r="A9">
            <v>8</v>
          </cell>
          <cell r="K9" t="str">
            <v>Primarily transcriptomics; plus mutation/CNV and immune-infiltration bioinformatics</v>
          </cell>
          <cell r="M9" t="str">
            <v>CTDNEP1</v>
          </cell>
          <cell r="P9" t="str">
            <v>Prognosis/survival association of CTDNEP1 expression (OS, DSS, DFI, PFI)</v>
          </cell>
          <cell r="T9" t="str">
            <v>No</v>
          </cell>
          <cell r="U9" t="str">
            <v>No</v>
          </cell>
          <cell r="AB9" t="str">
            <v>no</v>
          </cell>
          <cell r="AC9" t="str">
            <v>NA</v>
          </cell>
        </row>
        <row r="10">
          <cell r="A10">
            <v>9</v>
          </cell>
          <cell r="K10" t="str">
            <v>Primarily transcriptomics (single-cell + bulk); integrated with functional genomics and pharmacogenomics</v>
          </cell>
          <cell r="M10" t="str">
            <v>No single-gene biomarker; four adaptive transcriptional modules: IGE, SAT, IL2, MPC</v>
          </cell>
          <cell r="P10" t="str">
            <v>Overall survival association of module activity; identification of adaptive transcriptional modules and therapeutic vulnerability axes</v>
          </cell>
          <cell r="T10" t="str">
            <v>Adaptive module scores did not retain independent prognostic significance after adjustment; pathologic stage remained dominant predictor of OS</v>
          </cell>
          <cell r="U10" t="str">
            <v>Adjusted for AJCC pathologic stage and tumor grade</v>
          </cell>
          <cell r="AB10" t="str">
            <v>yes</v>
          </cell>
          <cell r="AC10" t="str">
            <v>no</v>
          </cell>
        </row>
        <row r="11">
          <cell r="A11">
            <v>10</v>
          </cell>
          <cell r="K11" t="str">
            <v>RNA-seq, proteomics, phosphoproteomics, single-cell RNA-seq</v>
          </cell>
          <cell r="M11" t="str">
            <v>pTRIM29, pMUC13 (S495), pKRT6A (S22); additional tumor signatures (ITGB6, CFTR, S100A14, KRT5)</v>
          </cell>
          <cell r="P11" t="str">
            <v>Identification of PDAC tumor-cell-specific molecular signatures and potential prognostic biomarkers</v>
          </cell>
          <cell r="T11" t="str">
            <v>No</v>
          </cell>
          <cell r="U11" t="str">
            <v>No</v>
          </cell>
          <cell r="AB11" t="str">
            <v>no</v>
          </cell>
          <cell r="AC11" t="str">
            <v>NA</v>
          </cell>
        </row>
        <row r="12">
          <cell r="A12">
            <v>11</v>
          </cell>
          <cell r="K12" t="str">
            <v>Transcriptomics, single-cell transcriptomics, metabolomics</v>
          </cell>
          <cell r="M12" t="str">
            <v>OGN, CLEC3B, estrogen-related signaling genes</v>
          </cell>
          <cell r="P12" t="str">
            <v>Identification of estrogen-regulated stromal signatures associated with PDAC biology</v>
          </cell>
          <cell r="T12" t="str">
            <v>No</v>
          </cell>
          <cell r="U12" t="str">
            <v>No</v>
          </cell>
          <cell r="AB12" t="str">
            <v>no</v>
          </cell>
          <cell r="AC12" t="str">
            <v>NA</v>
          </cell>
        </row>
        <row r="13">
          <cell r="A13">
            <v>12</v>
          </cell>
          <cell r="K13" t="str">
            <v>Transcriptomics + single-cell RNA-seq + mutational profiling + immune deconvolution + pathway analysis</v>
          </cell>
          <cell r="M13" t="str">
            <v>Palmitoylation-related gene signature (PRGS, 7 genes: DCBLD2, CXCL5, ASPH, LAMC2, KRT6A, TOP2A, NPNT); upstream regulators: zDHHC family (palmitoyltransferases)</v>
          </cell>
          <cell r="P13" t="str">
            <v>Overall survival (OS)</v>
          </cell>
          <cell r="T13" t="str">
            <v>PRGS model demonstrated strong prognostic predictive capability across independent cohorts (exact HR values not reported in abstract)</v>
          </cell>
          <cell r="U13" t="str">
            <v>LASSO model inherently adjusts for gene interactions; specific clinical covariates not clearly reported</v>
          </cell>
          <cell r="AB13" t="str">
            <v>yes</v>
          </cell>
          <cell r="AC13" t="str">
            <v>yes</v>
          </cell>
        </row>
        <row r="14">
          <cell r="A14">
            <v>13</v>
          </cell>
          <cell r="K14" t="str">
            <v>Transcriptomics + functional genomics + mechanistic signaling analysis</v>
          </cell>
          <cell r="M14" t="str">
            <v>PRSS23 (serine protease 23)</v>
          </cell>
          <cell r="P14" t="str">
            <v>Overall survival (OS)</v>
          </cell>
          <cell r="T14" t="str">
            <v>Not clearly reported; no explicit multivariable Cox model results described in abstract</v>
          </cell>
          <cell r="U14" t="str">
            <v>Not reported</v>
          </cell>
          <cell r="AB14" t="str">
            <v>no</v>
          </cell>
          <cell r="AC14" t="str">
            <v>NA</v>
          </cell>
        </row>
        <row r="15">
          <cell r="A15">
            <v>14</v>
          </cell>
          <cell r="K15" t="str">
            <v>Transcriptomics + proteomics integrated (multi-omics)</v>
          </cell>
          <cell r="M15" t="str">
            <v>Molecular subtypes (SNF-1, SNF-2 secretory, SNF-3 glycolytic-immune suppressive)</v>
          </cell>
          <cell r="P15" t="str">
            <v>Overall survival (OS)</v>
          </cell>
          <cell r="T15" t="str">
            <v>Not clearly reported (no explicit multivariable Cox model results in abstract)</v>
          </cell>
          <cell r="U15" t="str">
            <v>Not reported</v>
          </cell>
          <cell r="AB15" t="str">
            <v>no</v>
          </cell>
          <cell r="AC15" t="str">
            <v>NA</v>
          </cell>
        </row>
        <row r="16">
          <cell r="A16">
            <v>15</v>
          </cell>
          <cell r="K16" t="str">
            <v>Bulk transcriptomics + single-cell RNA-seq + experimental validation</v>
          </cell>
          <cell r="M16" t="str">
            <v>CD4⁺ T cell-anchored six-gene signature (KLF3, EZR, SMDT1, JPT1, ISG15, MT1X)</v>
          </cell>
          <cell r="P16" t="str">
            <v>Overall survival (OS)</v>
          </cell>
          <cell r="T16" t="str">
            <v>Final multivariable Cox model retained the 6-gene signature: KLF3, EZR, SMDT1, JPT1, ISG15, MT1X</v>
          </cell>
          <cell r="U16" t="str">
            <v>Not clearly reported as adjustment for clinicopathologic covariates in the final prognostic model; mainly gene-based multivariable Cox model</v>
          </cell>
          <cell r="AB16" t="str">
            <v>yes</v>
          </cell>
          <cell r="AC16" t="str">
            <v>unclear</v>
          </cell>
        </row>
        <row r="17">
          <cell r="A17">
            <v>16</v>
          </cell>
          <cell r="K17" t="str">
            <v>Transcriptomics (RNA-seq), genomic variation (SNV, CNV), proteomic validation, functional assays</v>
          </cell>
          <cell r="M17" t="str">
            <v>UPRmt-related mitochondrial gene risk score (MRS) based on 3 genes: CAT, CEBPB, PRKN</v>
          </cell>
          <cell r="P17" t="str">
            <v>Overall Survival (OS)</v>
          </cell>
          <cell r="T17" t="str">
            <v>3-gene prognostic model retained: CAT, CEBPB, PRKN</v>
          </cell>
          <cell r="U17" t="str">
            <v>Age, tumor site, TNM stage, pathological grade (in nomogram model)</v>
          </cell>
          <cell r="AB17" t="str">
            <v>yes</v>
          </cell>
          <cell r="AC17" t="str">
            <v>yes</v>
          </cell>
        </row>
        <row r="18">
          <cell r="A18">
            <v>17</v>
          </cell>
          <cell r="K18" t="str">
            <v>Bulk transcriptomics, CNV, scRNA-seq, immunoinformatics, mutation profiling, functional assays</v>
          </cell>
          <cell r="M18" t="str">
            <v>7-gene SASP prognostic signature: ANGPTL4, DKK1, EREG, IGFBP3, IL18, MMP13, PLAU; plus SASP molecular subtypes</v>
          </cell>
          <cell r="P18" t="str">
            <v>Overall survival</v>
          </cell>
          <cell r="T18" t="str">
            <v>Risk score was confirmed as an independent prognostic factor in multivariable Cox regression</v>
          </cell>
          <cell r="U18" t="str">
            <v>Age, sex, pathological grade, TNM stage, and SASP cluster were assessed; exact final adjustment set beyond reported clinicopathologic variables not fully detailed in the excerpt</v>
          </cell>
          <cell r="AB18" t="str">
            <v>yes</v>
          </cell>
          <cell r="AC18" t="str">
            <v>yes</v>
          </cell>
        </row>
        <row r="19">
          <cell r="A19">
            <v>18</v>
          </cell>
          <cell r="K19" t="str">
            <v>Transcriptomics + alternative splicing analysis + protein expression (IHC)</v>
          </cell>
          <cell r="M19" t="str">
            <v>Secretin receptor (SCTR) expression and alternative splicing variants (notably intron 2 retention isoform)</v>
          </cell>
          <cell r="P19" t="str">
            <v>Overall survival (OS)</v>
          </cell>
          <cell r="T19" t="str">
            <v>Not reported (no multivariable Cox analysis described)</v>
          </cell>
          <cell r="U19" t="str">
            <v>Not reported</v>
          </cell>
          <cell r="AB19" t="str">
            <v>no</v>
          </cell>
          <cell r="AC19" t="str">
            <v>NA</v>
          </cell>
        </row>
        <row r="20">
          <cell r="A20">
            <v>19</v>
          </cell>
          <cell r="K20" t="str">
            <v>Bulk transcriptomics + single-cell RNA-seq + spatial transcriptomics + mutation data</v>
          </cell>
          <cell r="M20" t="str">
            <v>SEMA3 family genes; 9-gene prognostic signature derived from SEMA3-related DEGs; key driver SEMA3C</v>
          </cell>
          <cell r="P20" t="str">
            <v>Overall survival (OS)</v>
          </cell>
          <cell r="T20" t="str">
            <v>Risk score derived from LASSO-Cox model showed significant independent prognostic ability for OS</v>
          </cell>
          <cell r="U20" t="str">
            <v>Clinicopathologic characteristics included in nomogram (specific covariates not explicitly detailed)</v>
          </cell>
          <cell r="AB20" t="str">
            <v>yes</v>
          </cell>
          <cell r="AC20" t="str">
            <v>yes</v>
          </cell>
        </row>
        <row r="21">
          <cell r="A21">
            <v>20</v>
          </cell>
          <cell r="K21" t="str">
            <v>Transcriptomics, proteomics, methylation analysis</v>
          </cell>
          <cell r="M21" t="str">
            <v>AGO2 (Argonaute 2)</v>
          </cell>
          <cell r="P21" t="str">
            <v>Overall survival (OS)</v>
          </cell>
          <cell r="T21" t="str">
            <v>Not performed</v>
          </cell>
          <cell r="U21" t="str">
            <v>Not reported</v>
          </cell>
          <cell r="AB21" t="str">
            <v>no</v>
          </cell>
          <cell r="AC21" t="str">
            <v>NA</v>
          </cell>
        </row>
        <row r="22">
          <cell r="A22">
            <v>21</v>
          </cell>
          <cell r="K22" t="str">
            <v>Transcriptomics + machine learning + multi-omics functional analysis</v>
          </cell>
          <cell r="M22" t="str">
            <v>Lactate Metabolism-Related Gene Signature (LMRGS)</v>
          </cell>
          <cell r="P22" t="str">
            <v>Overall survival (OS)</v>
          </cell>
          <cell r="T22" t="str">
            <v>LMRGS identified as an independent prognostic predictor for OS (exact HR not specified in abstract)</v>
          </cell>
          <cell r="U22" t="str">
            <v>Likely includes clinical covariates (not explicitly detailed)</v>
          </cell>
          <cell r="AB22" t="str">
            <v>yes</v>
          </cell>
          <cell r="AC22" t="str">
            <v>yes</v>
          </cell>
        </row>
        <row r="23">
          <cell r="A23">
            <v>22</v>
          </cell>
          <cell r="K23" t="str">
            <v>Transcriptomics (bulk RNA-seq), single-cell transcriptomics, spatial transcriptomics</v>
          </cell>
          <cell r="M23" t="str">
            <v>LYZ and PIGR (lactate metabolism–associated genes)</v>
          </cell>
          <cell r="P23" t="str">
            <v>Overall survival (OS)</v>
          </cell>
          <cell r="T23" t="str">
            <v>Prognostic model based on LYZ + PIGR showed significant survival stratification (p &lt; 0.05)</v>
          </cell>
          <cell r="U23" t="str">
            <v>Not clearly specified</v>
          </cell>
          <cell r="AB23" t="str">
            <v>unclear</v>
          </cell>
          <cell r="AC23" t="str">
            <v>unclear</v>
          </cell>
        </row>
        <row r="24">
          <cell r="A24">
            <v>23</v>
          </cell>
          <cell r="K24" t="str">
            <v>Transcriptomics, spatial transcriptomics, proteomics, metabolomics, lipidomics (multi-omics)</v>
          </cell>
          <cell r="M24" t="str">
            <v>Glycolytic gene signature and LDHA expression as metabolic biomarker</v>
          </cell>
          <cell r="P24" t="str">
            <v>Overall survival (3-year OS)</v>
          </cell>
          <cell r="T24" t="str">
            <v>Not clearly reported as adjusted Cox independent model</v>
          </cell>
          <cell r="U24" t="str">
            <v>no</v>
          </cell>
          <cell r="AB24" t="str">
            <v>unclear</v>
          </cell>
          <cell r="AC24" t="str">
            <v>unclear</v>
          </cell>
        </row>
        <row r="25">
          <cell r="A25">
            <v>24</v>
          </cell>
          <cell r="K25" t="str">
            <v>Transcriptomics, genomics, proteomics/IHC</v>
          </cell>
          <cell r="M25" t="str">
            <v>AMIGO2</v>
          </cell>
          <cell r="P25" t="str">
            <v>Overall survival (OS)</v>
          </cell>
          <cell r="T25" t="str">
            <v>Not reported</v>
          </cell>
          <cell r="U25" t="str">
            <v>Not reported</v>
          </cell>
          <cell r="AB25" t="str">
            <v>no</v>
          </cell>
          <cell r="AC25" t="str">
            <v>NA</v>
          </cell>
        </row>
        <row r="26">
          <cell r="A26">
            <v>25</v>
          </cell>
          <cell r="K26" t="str">
            <v>Transcriptomics</v>
          </cell>
          <cell r="M26" t="str">
            <v>Six-gene mitophagy-related signature (PAPPA, NBPF12, CXCL11, CKLF-CMTM1, CCDC6, AHNAK)</v>
          </cell>
          <cell r="P26" t="str">
            <v>Overall survival (OS)</v>
          </cell>
          <cell r="T26" t="str">
            <v>Risk score remained an independent predictor of OS in multivariable Cox analysis</v>
          </cell>
          <cell r="U26" t="str">
            <v>Age, tumor grade, T stage, N stage</v>
          </cell>
          <cell r="AB26" t="str">
            <v>yes</v>
          </cell>
          <cell r="AC26" t="str">
            <v>yes</v>
          </cell>
        </row>
        <row r="27">
          <cell r="A27">
            <v>26</v>
          </cell>
          <cell r="K27" t="str">
            <v>Transcriptomics (RNA-seq) + immune repertoire (TCR CDR3 analysis)</v>
          </cell>
          <cell r="M27" t="str">
            <v>Anti-EBV TCR CDR3 presence (immune signature)</v>
          </cell>
          <cell r="P27" t="str">
            <v>Overall survival (OS)</v>
          </cell>
          <cell r="T27" t="str">
            <v>Not reported (no multivariable Cox mentioned)</v>
          </cell>
          <cell r="U27" t="str">
            <v>Not reported</v>
          </cell>
          <cell r="AB27" t="str">
            <v>no</v>
          </cell>
          <cell r="AC27" t="str">
            <v>NA</v>
          </cell>
        </row>
        <row r="28">
          <cell r="A28">
            <v>27</v>
          </cell>
          <cell r="K28" t="str">
            <v>Transcriptomics</v>
          </cell>
          <cell r="M28" t="str">
            <v>Three-gene sphingolipid/glycosphingolipid-related prognostic signature: MET, GBA2, DEFB1</v>
          </cell>
          <cell r="P28" t="str">
            <v>Overall survival (OS)</v>
          </cell>
          <cell r="T28" t="str">
            <v>Final RSF+StepCox[forward] model identified a 3-gene prognostic score associated with poor survival, but a formal multivariable Cox model adjusted for clinicopathologic covariates was not clearly presented</v>
          </cell>
          <cell r="U28" t="str">
            <v>no</v>
          </cell>
          <cell r="AB28" t="str">
            <v>unclear</v>
          </cell>
          <cell r="AC28" t="str">
            <v>unclear</v>
          </cell>
        </row>
        <row r="29">
          <cell r="A29">
            <v>28</v>
          </cell>
          <cell r="K29" t="str">
            <v>Transcriptomics + single-cell transcriptomics + functional cell biology</v>
          </cell>
          <cell r="M29" t="str">
            <v>FN1 (fibronectin 1), particularly CAF-derived FN1; mechanistic axis: FN1-integrin-PI3K/AKT</v>
          </cell>
          <cell r="P29" t="str">
            <v>Survival association / prognostic relevance of FN1</v>
          </cell>
          <cell r="T29" t="str">
            <v>no</v>
          </cell>
          <cell r="U29" t="str">
            <v>no</v>
          </cell>
          <cell r="AB29" t="str">
            <v>no</v>
          </cell>
          <cell r="AC29" t="str">
            <v>NA</v>
          </cell>
        </row>
        <row r="30">
          <cell r="A30">
            <v>29</v>
          </cell>
          <cell r="K30" t="str">
            <v>Transcriptomics (lncRNA-focused) + functional cell assays</v>
          </cell>
          <cell r="M30" t="str">
            <v>Six ICD-associated lncRNA prognostic signature: ZEB2-AS1, AC099792.1, LINC01091, LINC02613, AC005304.3, LINC00705</v>
          </cell>
          <cell r="P30" t="str">
            <v>Overall survival (OS)</v>
          </cell>
          <cell r="T30" t="str">
            <v>Multivariate Cox showed risk score remained an independent prognostic factor; N stage and risk score were independent predictors of OS</v>
          </cell>
          <cell r="U30" t="str">
            <v>Age, gender, stage, T stage, N stage</v>
          </cell>
          <cell r="AB30" t="str">
            <v>yes</v>
          </cell>
          <cell r="AC30" t="str">
            <v>yes</v>
          </cell>
        </row>
        <row r="31">
          <cell r="A31">
            <v>30</v>
          </cell>
          <cell r="K31" t="str">
            <v>Transcriptomics (mRNA expression)</v>
          </cell>
          <cell r="M31" t="str">
            <v>Six-gene CAF-related signature: GFPT2, MFAP5, CTSK, MMP2, FSTL1, PRRX1</v>
          </cell>
          <cell r="P31" t="str">
            <v>Overall survival (OS)</v>
          </cell>
          <cell r="T31" t="str">
            <v>no</v>
          </cell>
          <cell r="U31" t="str">
            <v>no</v>
          </cell>
          <cell r="AB31" t="str">
            <v>no</v>
          </cell>
          <cell r="AC31" t="str">
            <v>NA</v>
          </cell>
        </row>
        <row r="32">
          <cell r="A32">
            <v>31</v>
          </cell>
          <cell r="K32" t="str">
            <v>Transcriptomics</v>
          </cell>
          <cell r="M32" t="str">
            <v>Six-gene PCLM-BM signature: COL7A1, ITGA6, ITGA7, ITGB5, ITGB7, NTN4</v>
          </cell>
          <cell r="P32" t="str">
            <v>Overall survival (OS)</v>
          </cell>
          <cell r="T32" t="str">
            <v>Multivariate Cox confirmed risk score as independent prognostic factor</v>
          </cell>
          <cell r="U32" t="str">
            <v>Age, TNM stage, tumor grade</v>
          </cell>
          <cell r="AB32" t="str">
            <v>yes</v>
          </cell>
          <cell r="AC32" t="str">
            <v>yes</v>
          </cell>
        </row>
        <row r="33">
          <cell r="A33">
            <v>32</v>
          </cell>
          <cell r="K33" t="str">
            <v>Transcriptomics</v>
          </cell>
          <cell r="M33" t="str">
            <v>11-gene ITH-related prognostic signature</v>
          </cell>
          <cell r="P33" t="str">
            <v>Overall survival (OS)</v>
          </cell>
          <cell r="T33" t="str">
            <v>Multivariate Cox confirmed risk score as an independent prognostic factor</v>
          </cell>
          <cell r="U33" t="str">
            <v>Age, sex, grade, stage, T stage</v>
          </cell>
          <cell r="AB33" t="str">
            <v>yes</v>
          </cell>
          <cell r="AC33" t="str">
            <v>yes</v>
          </cell>
        </row>
        <row r="34">
          <cell r="A34">
            <v>33</v>
          </cell>
          <cell r="K34" t="str">
            <v>Multi-omics (transcriptomics, proteomics, phosphoproteomics, epigenomics)</v>
          </cell>
          <cell r="M34" t="str">
            <v>MCMBP</v>
          </cell>
          <cell r="P34" t="str">
            <v>Overall survival (OS)</v>
          </cell>
          <cell r="T34" t="str">
            <v>MCMBP remained an independent prognostic factor in multivariate Cox in both TCGA and CPTAC cohorts</v>
          </cell>
          <cell r="U34" t="str">
            <v>TCGA multivariable model included clinicopathologic factors such as T stage, N stage, tumor grade; nomogram incorporated age, tumor grade, tumor stage, and MCMBP expression</v>
          </cell>
          <cell r="AB34" t="str">
            <v>yes</v>
          </cell>
          <cell r="AC34" t="str">
            <v>yes</v>
          </cell>
        </row>
        <row r="35">
          <cell r="A35">
            <v>34</v>
          </cell>
          <cell r="K35" t="str">
            <v>Spatial transcriptomics</v>
          </cell>
          <cell r="M35" t="str">
            <v>Complement pathway genes (C1R, C1S, C3, C4B, C7) expressed in tumor microenvironment</v>
          </cell>
          <cell r="P35" t="str">
            <v>Overall survival (OS)</v>
          </cell>
          <cell r="T35" t="str">
            <v>High complement expression remained an independent favorable prognostic factor (HR ≈ 0.21)</v>
          </cell>
          <cell r="U35" t="str">
            <v>Tumor stage, treatment status, clinicopathologic variables</v>
          </cell>
          <cell r="AB35" t="str">
            <v>yes</v>
          </cell>
          <cell r="AC35" t="str">
            <v>yes</v>
          </cell>
        </row>
        <row r="36">
          <cell r="A36">
            <v>35</v>
          </cell>
          <cell r="K36" t="str">
            <v>Transcriptomics</v>
          </cell>
          <cell r="M36" t="str">
            <v>Ferroptosis-related 3-gene signature (NOTCH2, KRT18, H1-2); key single biomarker: NOTCH2</v>
          </cell>
          <cell r="P36" t="str">
            <v>Overall survival (OS)</v>
          </cell>
          <cell r="T36" t="str">
            <v>Multivariable Cox confirmed age (HR 1.039, 95% CI 1.014–1.065, P=0.002) and risk score (HR 2.343, 95% CI 1.597–3.437, P&lt;0.001) as independent prognostic factors</v>
          </cell>
          <cell r="U36" t="str">
            <v>Age and clinicopathologic variables included in multivariable/nomogram analyses (sex, stage, grade, and related clinical features)</v>
          </cell>
          <cell r="AB36" t="str">
            <v>yes</v>
          </cell>
          <cell r="AC36" t="str">
            <v>yes</v>
          </cell>
        </row>
        <row r="37">
          <cell r="A37">
            <v>36</v>
          </cell>
          <cell r="K37" t="str">
            <v>Transcriptomics</v>
          </cell>
          <cell r="M37" t="str">
            <v>TLS-related gene signature (DNASE1L3, RAMP2, IL33)</v>
          </cell>
          <cell r="P37" t="str">
            <v>Overall survival (OS)</v>
          </cell>
          <cell r="T37" t="str">
            <v>Multivariable Cox analysis not clearly reported for independent prognostic value</v>
          </cell>
          <cell r="U37" t="str">
            <v>no</v>
          </cell>
          <cell r="AB37" t="str">
            <v>unclear</v>
          </cell>
          <cell r="AC37" t="str">
            <v>unclear</v>
          </cell>
        </row>
        <row r="38">
          <cell r="A38">
            <v>37</v>
          </cell>
          <cell r="K38" t="str">
            <v>Multi-omics: bulk transcriptomics, scRNA-seq, spatial transcriptomics, proteomic-level IHC/IF validation, functional biology</v>
          </cell>
          <cell r="M38" t="str">
            <v>Polyamine metabolism score (PMscore); core gene NT5E/CD73</v>
          </cell>
          <cell r="P38" t="str">
            <v>Overall survival (OS)</v>
          </cell>
          <cell r="T38" t="str">
            <v>no</v>
          </cell>
          <cell r="U38" t="str">
            <v>no</v>
          </cell>
          <cell r="AB38" t="str">
            <v>no</v>
          </cell>
          <cell r="AC38" t="str">
            <v>NA</v>
          </cell>
        </row>
        <row r="39">
          <cell r="A39">
            <v>38</v>
          </cell>
          <cell r="K39" t="str">
            <v>Single-cell RNA-seq + bulk RNA-seq</v>
          </cell>
          <cell r="M39" t="str">
            <v>16-gene DNA damage and repair-related prognostic risk score model; key experimental gene: LY6D</v>
          </cell>
          <cell r="P39" t="str">
            <v>Overall survival (OS) / prognosis prediction</v>
          </cell>
          <cell r="T39" t="str">
            <v>The risk score was reported as an independent predictor of prognosis in multivariable Cox analysis</v>
          </cell>
          <cell r="U39" t="str">
            <v>Age and stage explicitly mentioned; text says multivariable Cox on clinical characteristics including age and stage</v>
          </cell>
          <cell r="AB39" t="str">
            <v>yes</v>
          </cell>
          <cell r="AC39" t="str">
            <v>yes</v>
          </cell>
        </row>
        <row r="40">
          <cell r="A40">
            <v>39</v>
          </cell>
          <cell r="K40" t="str">
            <v>Transcriptomics + mutational analysis + single-cell RNA-seq</v>
          </cell>
          <cell r="M40" t="str">
            <v>APOBEC mutagenesis-related risk score (AMrs) derived from APOBEC-associated genes; APOBEC1 identified as key driver gene</v>
          </cell>
          <cell r="P40" t="str">
            <v>Overall survival (OS)</v>
          </cell>
          <cell r="T40" t="str">
            <v>AMrs risk score remained significant prognostic factor in multivariate Cox</v>
          </cell>
          <cell r="U40" t="str">
            <v>Clinical variables including age, stage and other clinicopathologic characteristics (not fully detailed)</v>
          </cell>
          <cell r="AB40" t="str">
            <v>yes</v>
          </cell>
          <cell r="AC40" t="str">
            <v>yes</v>
          </cell>
        </row>
        <row r="41">
          <cell r="A41">
            <v>40</v>
          </cell>
          <cell r="K41" t="str">
            <v>Transcriptomics</v>
          </cell>
          <cell r="M41" t="str">
            <v>STING signaling pathway-derived 6-gene prognostic signature: DTX4, IFI16, MAVS, PRKDC, ZDHHC1, IFIT2</v>
          </cell>
          <cell r="P41" t="str">
            <v>Overall survival</v>
          </cell>
          <cell r="T41" t="str">
            <v>Risk score remained an independent prognostic factor in multivariable Cox; N stage also independent</v>
          </cell>
          <cell r="U41" t="str">
            <v>Clinical features and N stage included; exact full covariate list not fully reported in the pasted text for final model</v>
          </cell>
          <cell r="AB41" t="str">
            <v>yes</v>
          </cell>
          <cell r="AC41" t="str">
            <v>yes</v>
          </cell>
        </row>
        <row r="42">
          <cell r="A42">
            <v>41</v>
          </cell>
          <cell r="K42" t="str">
            <v>Protein expression + ECM/TME biology + single-cell transcriptomics + mass cytometry</v>
          </cell>
          <cell r="M42" t="str">
            <v>CEMIP2 expression and stromal hyaluronan (HA) levels</v>
          </cell>
          <cell r="P42" t="str">
            <v>Overall survival and chemotherapy response (adjuvant and neoadjuvant)</v>
          </cell>
          <cell r="T42" t="str">
            <v>Not clearly reported in the provided text; independent prognostic value not confirmable from excerpt</v>
          </cell>
          <cell r="U42" t="str">
            <v>Not clearly reported</v>
          </cell>
          <cell r="AB42" t="str">
            <v>unclear</v>
          </cell>
          <cell r="AC42" t="str">
            <v>unclear</v>
          </cell>
        </row>
        <row r="43">
          <cell r="A43">
            <v>42</v>
          </cell>
          <cell r="K43" t="str">
            <v>Transcriptomics</v>
          </cell>
          <cell r="M43" t="str">
            <v>PCDH1</v>
          </cell>
          <cell r="P43" t="str">
            <v>Overall survival (OS)</v>
          </cell>
          <cell r="T43" t="str">
            <v>Not reported (no multivariable Cox shown)</v>
          </cell>
          <cell r="U43" t="str">
            <v>Not reported</v>
          </cell>
          <cell r="AB43" t="str">
            <v>no</v>
          </cell>
          <cell r="AC43" t="str">
            <v>NA</v>
          </cell>
        </row>
        <row r="44">
          <cell r="A44">
            <v>43</v>
          </cell>
          <cell r="K44" t="str">
            <v>Transcriptomics + proteomics validation</v>
          </cell>
          <cell r="M44" t="str">
            <v>JUP (junction plakoglobin) and FOXM1-JUP axis</v>
          </cell>
          <cell r="P44" t="str">
            <v>Overall survival</v>
          </cell>
          <cell r="T44" t="str">
            <v>JUP remained an independent prognostic factor in multivariate analysis</v>
          </cell>
          <cell r="U44" t="str">
            <v>Age, disease stage, treatment response and other clinical factors</v>
          </cell>
          <cell r="AB44" t="str">
            <v>yes</v>
          </cell>
          <cell r="AC44" t="str">
            <v>yes</v>
          </cell>
        </row>
        <row r="45">
          <cell r="A45">
            <v>44</v>
          </cell>
          <cell r="K45" t="str">
            <v>Transcriptomics + single-cell RNA-seq</v>
          </cell>
          <cell r="M45" t="str">
            <v>ITGB5 (also TGFB1, ANTXR2, BCAT1, ANXA1, PLAU)</v>
          </cell>
          <cell r="P45" t="str">
            <v>Overall survival (OS), tumor stiffness association</v>
          </cell>
          <cell r="T45" t="str">
            <v>ITGB5 independently associated with shorter PFI (p=0.005); TGFB1 independent predictor of OS</v>
          </cell>
          <cell r="U45" t="str">
            <v>Not clearly specified</v>
          </cell>
          <cell r="AB45" t="str">
            <v>yes</v>
          </cell>
          <cell r="AC45" t="str">
            <v>unclear</v>
          </cell>
        </row>
        <row r="46">
          <cell r="A46">
            <v>45</v>
          </cell>
          <cell r="K46" t="str">
            <v>Transcriptomics and proteomics</v>
          </cell>
          <cell r="M46" t="str">
            <v>ANLN (Anillin actin-binding protein)</v>
          </cell>
          <cell r="P46" t="str">
            <v>Overall survival (OS)</v>
          </cell>
          <cell r="T46" t="str">
            <v>Not reported</v>
          </cell>
          <cell r="U46" t="str">
            <v>Not reported</v>
          </cell>
          <cell r="AB46" t="str">
            <v>no</v>
          </cell>
          <cell r="AC46" t="str">
            <v>NA</v>
          </cell>
        </row>
        <row r="47">
          <cell r="A47">
            <v>46</v>
          </cell>
          <cell r="K47" t="str">
            <v>Genomics + transcriptomics + immune spatial phenotyping</v>
          </cell>
          <cell r="M47" t="str">
            <v>Germline ATM-associated PDAC biology; 28-gene RNA expression signature associated with OS; transcriptomic subtype assignment (ADEX, immunogenic, progenitor, squamous)</v>
          </cell>
          <cell r="P47" t="str">
            <v>Overall survival (OS)</v>
          </cell>
          <cell r="T47" t="str">
            <v>No formal multivariable Cox model for the 28-gene signature was reported in the provided text</v>
          </cell>
          <cell r="U47" t="str">
            <v>Not clearly reported</v>
          </cell>
          <cell r="AB47" t="str">
            <v>no</v>
          </cell>
          <cell r="AC47" t="str">
            <v>NA</v>
          </cell>
        </row>
        <row r="48">
          <cell r="A48">
            <v>47</v>
          </cell>
          <cell r="K48" t="str">
            <v>Genomics, transcriptomics, copy-number profiling, mutational signatures, multiplex spatial immune profiling, IHC</v>
          </cell>
          <cell r="M48" t="str">
            <v>Germline ATM pathogenic variant-associated tumor biology; additionally a 28-gene RNA expression signature associated with OS</v>
          </cell>
          <cell r="P48" t="str">
            <v>Overall survival (OS)</v>
          </cell>
          <cell r="T48" t="str">
            <v>Not clearly presented as a conventional multivariable Cox model for the 28-gene biomarker within the ATM cohort; external validation in TCGA showed significantly better OS for quartile 4 vs quartile 1 of the signature score</v>
          </cell>
          <cell r="U48" t="str">
            <v>Not clearly reported for a multivariable biomarker model in the ATM carrier cohort</v>
          </cell>
          <cell r="AB48" t="str">
            <v>unclear</v>
          </cell>
          <cell r="AC48" t="str">
            <v>unclear</v>
          </cell>
        </row>
        <row r="49">
          <cell r="A49">
            <v>48</v>
          </cell>
          <cell r="K49" t="str">
            <v>Transcriptomics</v>
          </cell>
          <cell r="M49" t="str">
            <v>12 manganese metabolism-related gene signature (NPPA, KYNU, ITGB6, CYP27A1, CXCL10, PPP2R2B, MET, MMP3, KRT19, ATP1A3, PDXP, IL1RAPL2)</v>
          </cell>
          <cell r="P49" t="str">
            <v>Overall survival (OS)</v>
          </cell>
          <cell r="T49" t="str">
            <v>Risk score remained significant prognostic factor in multivariable Cox analysis</v>
          </cell>
          <cell r="U49" t="str">
            <v>Age, sex, T stage, N stage, M stage, tumor stage</v>
          </cell>
          <cell r="AB49" t="str">
            <v>yes</v>
          </cell>
          <cell r="AC49" t="str">
            <v>yes</v>
          </cell>
        </row>
        <row r="50">
          <cell r="A50">
            <v>49</v>
          </cell>
          <cell r="K50" t="str">
            <v>Transcriptomics</v>
          </cell>
          <cell r="M50" t="str">
            <v>19 universally differentially expressed genes (UDEGs) including ANLN, GPRC5A, SERPINB5, LAMC2, SFN, CEACAM5 etc.</v>
          </cell>
          <cell r="P50" t="str">
            <v>Overall survival (OS)</v>
          </cell>
          <cell r="T50" t="str">
            <v>Not performed</v>
          </cell>
          <cell r="U50" t="str">
            <v>None reported</v>
          </cell>
          <cell r="AB50" t="str">
            <v>no</v>
          </cell>
          <cell r="AC50" t="str">
            <v>NA</v>
          </cell>
        </row>
        <row r="51">
          <cell r="A51">
            <v>50</v>
          </cell>
          <cell r="K51" t="str">
            <v>Transcriptomics + single-cell transcriptomics</v>
          </cell>
          <cell r="M51" t="str">
            <v>14-gene efferocytosis-related panel: LGALS3, MAP4K4, PANX1, PLS3, FNDC3B, RBMS1, ITGB1, ADAM17, PICALM, DUSP4, ASPH, MMP14, EMP1, EREG; core signatures: LEAF (LGALS3, EMP1, ASPH, FNDC3B) and LEAP (LGALS3, EREG, ASPH, PLS3)</v>
          </cell>
          <cell r="P51" t="str">
            <v>Overall survival (OS)</v>
          </cell>
          <cell r="T51" t="str">
            <v>LEAF signature associated with prognosis in Cox models</v>
          </cell>
          <cell r="U51" t="str">
            <v>Clinical variables (not fully specified)</v>
          </cell>
          <cell r="AB51" t="str">
            <v>unclear</v>
          </cell>
          <cell r="AC51" t="str">
            <v>unclear</v>
          </cell>
        </row>
        <row r="52">
          <cell r="A52">
            <v>51</v>
          </cell>
          <cell r="K52" t="str">
            <v>Single-cell transcriptomics + bulk transcriptomics + CNV inference + cell-cell communication + metabolic/pathway analysis</v>
          </cell>
          <cell r="M52" t="str">
            <v>BHLHE40; mechanistic downstream axis BHLHE40-SAT1</v>
          </cell>
          <cell r="P52" t="str">
            <v>Overall survival / prognosis</v>
          </cell>
          <cell r="T52" t="str">
            <v>Not clearly reported in the provided excerpt; independent multivariable Cox result not explicitly stated</v>
          </cell>
          <cell r="U52" t="str">
            <v>Not clearly reported</v>
          </cell>
          <cell r="AB52" t="str">
            <v>unclear</v>
          </cell>
          <cell r="AC52" t="str">
            <v>unclear</v>
          </cell>
        </row>
        <row r="53">
          <cell r="A53">
            <v>52</v>
          </cell>
          <cell r="K53" t="str">
            <v>Transcriptomics with complementary single-cell and protein-level validation</v>
          </cell>
          <cell r="M53" t="str">
            <v>ALDH family members; key prognostic genes identified: ALDH1L1, ALDH3A1, ALDH3B1, ALDH5A1</v>
          </cell>
          <cell r="P53" t="str">
            <v>Overall survival (OS)</v>
          </cell>
          <cell r="T53" t="str">
            <v>Multivariate Cox regression supported prognostic relevance of ALDH1L1, ALDH3A1, ALDH3B1, ALDH5A1</v>
          </cell>
          <cell r="U53" t="str">
            <v>Not clearly fully specified in the article text excerpt; multivariable model appears to include the ALDH candidates, but exact full covariate list should be checked in full paper/figure</v>
          </cell>
          <cell r="AB53" t="str">
            <v>yes</v>
          </cell>
          <cell r="AC53" t="str">
            <v>yes</v>
          </cell>
        </row>
        <row r="54">
          <cell r="A54">
            <v>53</v>
          </cell>
          <cell r="K54" t="str">
            <v>Multi-omics (transcriptomics, single-cell RNA-seq, proteomics integration)</v>
          </cell>
          <cell r="M54" t="str">
            <v>ADGRG6 (GPR126)</v>
          </cell>
          <cell r="P54" t="str">
            <v>Overall survival (OS)</v>
          </cell>
          <cell r="T54" t="str">
            <v>Not clearly reported (multivariable Cox not clearly shown for PAAD)</v>
          </cell>
          <cell r="U54" t="str">
            <v>Not clearly reported</v>
          </cell>
          <cell r="AB54" t="str">
            <v>unclear</v>
          </cell>
          <cell r="AC54" t="str">
            <v>unclear</v>
          </cell>
        </row>
        <row r="55">
          <cell r="A55">
            <v>54</v>
          </cell>
          <cell r="K55" t="str">
            <v>Bulk transcriptomics with ancillary methylation/CNV/mutation analyses</v>
          </cell>
          <cell r="M55" t="str">
            <v>13-gene autophagy-related signature (EIF4EBP1, HDAC6, GABARAP, CASP4, ATG16L2, BCL2L1, BAG3, ATG4B, TNFSF10, PTK6, ITGA3, BIRC5, BAK1)</v>
          </cell>
          <cell r="P55" t="str">
            <v>OS</v>
          </cell>
          <cell r="T55" t="str">
            <v>Risk score independent for OS: HR 4.237 (95% CI 2.836–6.331), p&lt;0.001</v>
          </cell>
          <cell r="U55" t="str">
            <v>Clinicopathological variables included; exact full list not fully specified</v>
          </cell>
          <cell r="AB55" t="str">
            <v>yes</v>
          </cell>
          <cell r="AC55" t="str">
            <v>yes</v>
          </cell>
        </row>
        <row r="56">
          <cell r="A56">
            <v>55</v>
          </cell>
          <cell r="K56" t="str">
            <v>Bulk RNA-seq; scRNA-seq; RNA-seq; protein validation</v>
          </cell>
          <cell r="M56" t="str">
            <v>EFFscore (ADAM9, P2RY6, CD36); P2RY6</v>
          </cell>
          <cell r="P56" t="str">
            <v>Overall Survival (OS)</v>
          </cell>
          <cell r="T56" t="str">
            <v>EFFscore and age independent prognostic factors; P2RY6 multivariable independence not clearly shown</v>
          </cell>
          <cell r="U56" t="str">
            <v>Age; sex; grade; stage included in modeling/nomogram</v>
          </cell>
          <cell r="AB56" t="str">
            <v>yes</v>
          </cell>
          <cell r="AC56" t="str">
            <v>yes</v>
          </cell>
        </row>
        <row r="57">
          <cell r="A57">
            <v>56</v>
          </cell>
          <cell r="K57" t="str">
            <v>Bulk RNA-seq; scRNA-seq</v>
          </cell>
          <cell r="M57" t="str">
            <v>Fibroblast-related 14-gene prognostic signature (risk score model)</v>
          </cell>
          <cell r="P57" t="str">
            <v>Overall Survival (OS)</v>
          </cell>
          <cell r="T57" t="str">
            <v>Risk score confirmed as independent prognostic factor</v>
          </cell>
          <cell r="U57" t="str">
            <v>Age; gender; tumor grade; stage</v>
          </cell>
          <cell r="AB57" t="str">
            <v>yes</v>
          </cell>
          <cell r="AC57" t="str">
            <v>yes</v>
          </cell>
        </row>
        <row r="58">
          <cell r="A58">
            <v>57</v>
          </cell>
          <cell r="K58" t="str">
            <v>GWAS summary statistics; bulk transcriptomics</v>
          </cell>
          <cell r="M58" t="str">
            <v>HGB-related 7-gene prognostic model (DNMT3A, TFCP2L1, PPARGC1A, GSTA5, BICC1, NRG4, BCL2L13); exposure of interest = hemoglobin (HGB)</v>
          </cell>
          <cell r="P58" t="str">
            <v>Overall survival (OS) for prognostic model; PAAD risk for MR component</v>
          </cell>
          <cell r="T58" t="str">
            <v>Multivariable Cox identified 6 of 7 genes as independent prognostic factors (except NRG4); model C-index=0.72</v>
          </cell>
          <cell r="U58" t="str">
            <v>Exact full covariate set not fully specified for gene-level multivariable model; nomogram based on multivariate Cox</v>
          </cell>
          <cell r="AB58" t="str">
            <v>yes</v>
          </cell>
          <cell r="AC58" t="str">
            <v>yes</v>
          </cell>
          <cell r="AG58" t="str">
            <v>Excluded — primary question not prognostic-biomarker: study addresses haemoglobin and Mendelian randomisation; the transcriptomic HGB-related signature is secondary and adjustment for clinicopathological factors is not clearly reported</v>
          </cell>
        </row>
        <row r="59">
          <cell r="A59">
            <v>58</v>
          </cell>
          <cell r="K59" t="str">
            <v>Bulk transcriptomics; scRNA-seq; spatial transcriptomics; pan-cancer transcriptomics; protein and RNA validation</v>
          </cell>
          <cell r="M59" t="str">
            <v>7-gene mCAF-related prognostic signature (USP36, KLF5, MT2A, KDM6B, PHLDA1, REL, DDIT4); key single marker/target: PHLDA1</v>
          </cell>
          <cell r="P59" t="str">
            <v>Overall survival (OS)</v>
          </cell>
          <cell r="T59" t="str">
            <v>Prognostic risk score showed robust performance with average C-index 0.748; exact single multivariable HRs/covariates not fully reported in pasted text</v>
          </cell>
          <cell r="U59" t="str">
            <v>clinical models appear to incorporate standard clinical features and risk score</v>
          </cell>
          <cell r="AB59" t="str">
            <v>yes</v>
          </cell>
          <cell r="AC59" t="str">
            <v>yes</v>
          </cell>
        </row>
        <row r="60">
          <cell r="A60">
            <v>59</v>
          </cell>
          <cell r="K60" t="str">
            <v>Bulk transcriptomics (RNA-seq)</v>
          </cell>
          <cell r="M60" t="str">
            <v>18-gene immune-related prognostic signature; key highlighted gene: IL6R</v>
          </cell>
          <cell r="P60" t="str">
            <v>Overall survival (OS)</v>
          </cell>
          <cell r="T60" t="str">
            <v>Multivariate Cox confirmed risk score as independent prognostic factor (P&lt;0.05); nomogram included risk score + stage + postoperative treatment</v>
          </cell>
          <cell r="U60" t="str">
            <v>Adjusted for clinical variables: age, gender, tumor grade, stage, treatment, comorbidities, lifestyle factors (full list tested; 3 retained)</v>
          </cell>
          <cell r="AB60" t="str">
            <v>yes</v>
          </cell>
          <cell r="AC60" t="str">
            <v>yes</v>
          </cell>
        </row>
        <row r="61">
          <cell r="A61">
            <v>60</v>
          </cell>
          <cell r="K61" t="str">
            <v>Bulk transcriptomics; scRNA-seq; methylation; somatic mutation/TMB; immune deconvolution; protein and serum validation</v>
          </cell>
          <cell r="M61" t="str">
            <v>SERPINE1</v>
          </cell>
          <cell r="P61" t="str">
            <v>Overall survival (OS)</v>
          </cell>
          <cell r="T61" t="str">
            <v>Age, lymph node metastasis, and SERPINE1 remained independent prognostic factors in multivariable Cox</v>
          </cell>
          <cell r="U61" t="str">
            <v>Age and lymph node metastasis explicitly reported with SERPINE1 in final nomogram</v>
          </cell>
          <cell r="AB61" t="str">
            <v>yes</v>
          </cell>
          <cell r="AC61" t="str">
            <v>yes</v>
          </cell>
        </row>
        <row r="62">
          <cell r="A62">
            <v>61</v>
          </cell>
          <cell r="K62" t="str">
            <v>Clinical coagulation markers + single-cell transcriptomics + public bulk transcriptomic/proteomic validation</v>
          </cell>
          <cell r="M62" t="str">
            <v>F3 (coagulation factor 3 / tissue factor)</v>
          </cell>
          <cell r="P62" t="str">
            <v>Association of F3 with PDAC hypercoagulability and prognosis</v>
          </cell>
          <cell r="T62" t="str">
            <v>Not reported as a multivariable prognostic model for F3 alone; no adjusted Cox model clearly presented for independent prognostic status</v>
          </cell>
          <cell r="U62" t="str">
            <v>Not clearly reported</v>
          </cell>
          <cell r="AB62" t="str">
            <v>no</v>
          </cell>
          <cell r="AC62" t="str">
            <v>NA</v>
          </cell>
        </row>
        <row r="63">
          <cell r="A63">
            <v>62</v>
          </cell>
          <cell r="K63" t="str">
            <v>Bulk transcriptomics (RNA expression)</v>
          </cell>
          <cell r="M63" t="str">
            <v>6-gene PCD-related signature: ITGA3, CDCP1, IL1RAP, CLU, PBK, PLAU</v>
          </cell>
          <cell r="P63" t="str">
            <v>Overall survival (OS)</v>
          </cell>
          <cell r="T63" t="str">
            <v>Multivariate Cox: risk score independently associated with OS along with grade, T stage, N stage, tumor position</v>
          </cell>
          <cell r="U63" t="str">
            <v>Grade, T stage, N stage, tumor position, risk score</v>
          </cell>
          <cell r="AB63" t="str">
            <v>yes</v>
          </cell>
          <cell r="AC63" t="str">
            <v>yes</v>
          </cell>
        </row>
        <row r="64">
          <cell r="A64">
            <v>63</v>
          </cell>
          <cell r="K64" t="str">
            <v>Transcriptomics (tumor RNA-seq), differential expression / GO analysis</v>
          </cell>
          <cell r="M64" t="str">
            <v>Diabetes status, especially new-onset diabetes (NOD), evaluated against molecular subtype; PurIST used as main subtype endpoint</v>
          </cell>
          <cell r="P64" t="str">
            <v>Association of diabetes status with molecular subtype (especially PurIST)</v>
          </cell>
          <cell r="T64" t="str">
            <v>After adjustment, NOD was not a significant predictor of PurIST subtype: NOD OR 2.85 (95% CI 0.34–24.2), p=0.3367; longstanding DM OR 2.71 (95% CI 0.30–24.6), p=0.3768</v>
          </cell>
          <cell r="U64" t="str">
            <v>Age, sex, race, BMI, tobacco history</v>
          </cell>
          <cell r="AB64" t="str">
            <v>yes</v>
          </cell>
          <cell r="AC64" t="str">
            <v>no</v>
          </cell>
        </row>
        <row r="65">
          <cell r="A65">
            <v>64</v>
          </cell>
          <cell r="K65" t="str">
            <v>Transcriptomics, proteomics, single-cell RNA-seq, spatial transcriptomics, CRISPR functional data</v>
          </cell>
          <cell r="M65" t="str">
            <v>SH3KBP1 (single-gene biomarker, also part of ML model with OR7E31P, PCDH8B, USR1, CAPZA3)</v>
          </cell>
          <cell r="P65" t="str">
            <v>Prognostic prediction (OS, DSS, PFI) and diagnostic performance</v>
          </cell>
          <cell r="T65" t="str">
            <v>no</v>
          </cell>
          <cell r="U65" t="str">
            <v>-</v>
          </cell>
          <cell r="AB65" t="str">
            <v>no</v>
          </cell>
          <cell r="AC65" t="str">
            <v>NA</v>
          </cell>
        </row>
        <row r="66">
          <cell r="A66">
            <v>65</v>
          </cell>
          <cell r="K66" t="str">
            <v>Transcriptomics (single-cell RNA sequencing) with prognostic validation in bulk transcriptomics</v>
          </cell>
          <cell r="M66" t="str">
            <v>Liver-metastasis-associated cancer-cell gene signature ("high-risk" signature); exhausted CD8+ T cell prevalence; complement-pathway genes in immunosuppressive tumour-associated macrophages; UPP1 and other metabolic genes in cancer-associated fibroblasts</v>
          </cell>
          <cell r="P66" t="str">
            <v>Overall survival (in the TCGA-PAAD validation cohort)</v>
          </cell>
          <cell r="T66" t="str">
            <v>Not reported</v>
          </cell>
          <cell r="U66" t="str">
            <v>-</v>
          </cell>
          <cell r="AB66" t="str">
            <v>no</v>
          </cell>
          <cell r="AC66" t="str">
            <v>NA</v>
          </cell>
        </row>
        <row r="67">
          <cell r="A67">
            <v>66</v>
          </cell>
          <cell r="K67" t="str">
            <v>Proteomics, transcriptomics, mutation analysis</v>
          </cell>
          <cell r="M67" t="str">
            <v>KRAS protein level, KRAS mRNA expression, KRAS mutation status/subtype</v>
          </cell>
          <cell r="P67" t="str">
            <v>Overall survival (OS)</v>
          </cell>
          <cell r="T67" t="str">
            <v>KRAS protein level and KRAS mutation status were independently associated with OS in Cox model; KRAS mRNA was not</v>
          </cell>
          <cell r="U67" t="str">
            <v>Clinicopathological variables considered included age, sex, blood type, CA19-9, surgery type, tumor size, TNM, differentiation grade, resection margin status</v>
          </cell>
          <cell r="AB67" t="str">
            <v>yes</v>
          </cell>
          <cell r="AC67" t="str">
            <v>yes</v>
          </cell>
        </row>
        <row r="68">
          <cell r="A68">
            <v>67</v>
          </cell>
          <cell r="K68" t="str">
            <v>Spatial transcriptomics, spatial proteomics (IMC), BCR sequencing, histology ML integration</v>
          </cell>
          <cell r="M68" t="str">
            <v>TLS maturation gene expression signature (Pattern 9), immunoglobulin gene expression (IgG/IgA), plasma cell markers, spatial immune patterns</v>
          </cell>
          <cell r="P68" t="str">
            <v>Overall survival (TCGA projection), pathologic response to immunotherapy</v>
          </cell>
          <cell r="T68" t="str">
            <v>No formal multivariable Cox reported for PDAC cohort; TCGA analysis mainly univariable</v>
          </cell>
          <cell r="U68" t="str">
            <v>Not clearly defined</v>
          </cell>
          <cell r="AB68" t="str">
            <v>no</v>
          </cell>
          <cell r="AC68" t="str">
            <v>NA</v>
          </cell>
        </row>
        <row r="69">
          <cell r="A69">
            <v>68</v>
          </cell>
          <cell r="K69" t="str">
            <v>Transcriptomics + functional assays (cell cycle, apoptosis, proliferation)</v>
          </cell>
          <cell r="M69" t="str">
            <v>ARHGAP11A</v>
          </cell>
          <cell r="P69" t="str">
            <v>Overall survival / prognosis</v>
          </cell>
          <cell r="T69" t="str">
            <v>Not clearly reported</v>
          </cell>
          <cell r="U69" t="str">
            <v>Not clearly reported</v>
          </cell>
          <cell r="AB69" t="str">
            <v>unclear</v>
          </cell>
          <cell r="AC69" t="str">
            <v>unclear</v>
          </cell>
        </row>
        <row r="70">
          <cell r="A70">
            <v>69</v>
          </cell>
          <cell r="K70" t="str">
            <v>Single-cell transcriptomics, bulk transcriptomics, computational deconvolution, pathway analysis, cell–cell communication analysis, limited functional validation</v>
          </cell>
          <cell r="M70" t="str">
            <v>Metastasis-associated epithelial, fibroblast, and macrophage subpopulations; integrated prognostic signature; PTK6 as candidate driver gene</v>
          </cell>
          <cell r="P70" t="str">
            <v>Identification of metastasis-associated tumor-microenvironment programs and development of a prognostic signature for survival stratification in PAAD</v>
          </cell>
          <cell r="T70" t="str">
            <v>A prognostic model/signature was developed with strong reported performance, but a specific multivariable Cox result for PTK6 alone or for individual cell subsets was not clearly reported in the provided text</v>
          </cell>
          <cell r="U70" t="str">
            <v>Not clearly reported in the provided text</v>
          </cell>
          <cell r="AB70" t="str">
            <v>unclear</v>
          </cell>
          <cell r="AC70" t="str">
            <v>unclear</v>
          </cell>
        </row>
        <row r="71">
          <cell r="A71">
            <v>70</v>
          </cell>
          <cell r="K71" t="str">
            <v>Bulk transcriptomics, LCM-based cell-specific transcriptomics, RT-qPCR, proteomics (IHC)</v>
          </cell>
          <cell r="M71" t="str">
            <v>RAD51AP1 (DNA repair–associated protein)</v>
          </cell>
          <cell r="P71" t="str">
            <v>Overall survival (OS)</v>
          </cell>
          <cell r="T71" t="str">
            <v>High nuclear RAD51AP1 identified as independent risk factor for DSS (multivariable Cox)</v>
          </cell>
          <cell r="U71" t="str">
            <v>Age, TNM stage, tumor size, metastasis, histological grade</v>
          </cell>
          <cell r="AB71" t="str">
            <v>yes</v>
          </cell>
          <cell r="AC71" t="str">
            <v>yes</v>
          </cell>
        </row>
        <row r="72">
          <cell r="A72">
            <v>71</v>
          </cell>
          <cell r="K72" t="str">
            <v>Transcriptomics + proteomics + functional assays</v>
          </cell>
          <cell r="M72" t="str">
            <v>DDX10 (RNA helicase)</v>
          </cell>
          <cell r="P72" t="str">
            <v>Overall survival (OS)</v>
          </cell>
          <cell r="T72" t="str">
            <v>❌ No multivariable Cox analysis reported</v>
          </cell>
          <cell r="U72" t="str">
            <v>Not reported</v>
          </cell>
          <cell r="AB72" t="str">
            <v>no</v>
          </cell>
          <cell r="AC72" t="str">
            <v>NA</v>
          </cell>
        </row>
        <row r="73">
          <cell r="A73">
            <v>72</v>
          </cell>
          <cell r="K73" t="str">
            <v>Transcriptomics, proteomics, functional molecular assays</v>
          </cell>
          <cell r="M73" t="str">
            <v>DDX10</v>
          </cell>
          <cell r="P73" t="str">
            <v>Overall survival (OS)</v>
          </cell>
          <cell r="T73" t="str">
            <v>Not reported; no multivariable Cox regression described</v>
          </cell>
          <cell r="U73" t="str">
            <v>Not reported</v>
          </cell>
          <cell r="AB73" t="str">
            <v>no</v>
          </cell>
          <cell r="AC73" t="str">
            <v>NA</v>
          </cell>
        </row>
        <row r="74">
          <cell r="A74">
            <v>73</v>
          </cell>
          <cell r="K74" t="str">
            <v>Bulk transcriptomics, single-cell transcriptomics, immunohistochemistry, functional molecular assays, mitochondrial phenotyping</v>
          </cell>
          <cell r="M74" t="str">
            <v>Mitochondria-related 12-gene prognostic signature; mechanistic emphasis on CAMK2A and THEM4</v>
          </cell>
          <cell r="P74" t="str">
            <v>Overall survival</v>
          </cell>
          <cell r="T74" t="str">
            <v>The signature remained an independent prognostic factor in multivariate Cox regression (p &lt; 0.001); CAMK2A and THEM4 also provided independent survival information in multivariable analysis of the IHC cohort</v>
          </cell>
          <cell r="U74" t="str">
            <v>Age, sex, and pathological TNM stage for the signature model; other clinical indicators included in CAMK2A/THEM4 multivariable analysis, exact full list not fully detailed in the provided text</v>
          </cell>
          <cell r="AB74" t="str">
            <v>yes</v>
          </cell>
          <cell r="AC74" t="str">
            <v>yes</v>
          </cell>
        </row>
        <row r="75">
          <cell r="A75">
            <v>74</v>
          </cell>
          <cell r="K75" t="str">
            <v>Proteomics + protein expression + functional assays</v>
          </cell>
          <cell r="M75" t="str">
            <v>S100P and CTSE proteins</v>
          </cell>
          <cell r="P75" t="str">
            <v>log2FC</v>
          </cell>
          <cell r="T75" t="str">
            <v>Wilcoxon rank-sum test, chi-square test, Kaplan–Meier survival, log-rank test, univariate and multivariate Cox regression, ANOVA</v>
          </cell>
          <cell r="U75" t="str">
            <v>S100P high expression associated with worse OS (p=0.024); CTSE associated with OS (p=0.012); tumor size, N stage, TNM also significant</v>
          </cell>
          <cell r="AB75" t="str">
            <v>yes</v>
          </cell>
          <cell r="AC75" t="str">
            <v>unclear</v>
          </cell>
        </row>
        <row r="76">
          <cell r="A76">
            <v>75</v>
          </cell>
          <cell r="K76" t="str">
            <v>Bulk transcriptomics, immunogenomic analyses, limited experimental validation</v>
          </cell>
          <cell r="M76" t="str">
            <v>ICD-related 11-gene hub signature (MSN, NOTCH2, CHST11, C1QB, CELF2, CD1D, IL10RA, ADA2, ARRB2, FYN, AJM1); mechanistic focus on AJM1</v>
          </cell>
          <cell r="P76" t="str">
            <v>Overall survival</v>
          </cell>
          <cell r="T76" t="str">
            <v>Signature score remained independently associated with prognosis in multivariate Cox analysis; p &lt; 0.05 reported</v>
          </cell>
          <cell r="U76" t="str">
            <v>Clinical variables including tumor stage, age, sex, tumor status, and histological subtype were considered; exact final multivariable covariate set not fully detailed in the provided text</v>
          </cell>
          <cell r="AB76" t="str">
            <v>yes</v>
          </cell>
          <cell r="AC76" t="str">
            <v>yes</v>
          </cell>
        </row>
        <row r="77">
          <cell r="A77">
            <v>76</v>
          </cell>
          <cell r="K77" t="str">
            <v>Bulk transcriptomics + scRNA-seq + immunogenomics</v>
          </cell>
          <cell r="M77" t="str">
            <v>Innate immune barrier gene signature (84 genes); key genes: UBASH3B, ITGB6, COL17A1, MMP28, DIAPH3 (focus on UBASH3B)</v>
          </cell>
          <cell r="P77" t="str">
            <v>Overall survival (OS)</v>
          </cell>
          <cell r="T77" t="str">
            <v>Riskscore independently predicted OS (HR=1.114, p&lt;0.001); UBASH3B and other genes confirmed as independent prognostic factors (p&lt;0.001)</v>
          </cell>
          <cell r="U77" t="str">
            <v>Clinical variables included stage, tumor status, and other clinicopathologic features (exact final covariate list not fully detailed)</v>
          </cell>
          <cell r="AB77" t="str">
            <v>yes</v>
          </cell>
          <cell r="AC77" t="str">
            <v>yes</v>
          </cell>
        </row>
        <row r="78">
          <cell r="A78">
            <v>77</v>
          </cell>
          <cell r="K78" t="str">
            <v>Single-cell transcriptomics + spatial transcriptomics + functional validation</v>
          </cell>
          <cell r="M78" t="str">
            <v>CRABP2; SPP1 (osteopontin)</v>
          </cell>
          <cell r="P78" t="str">
            <v>Overall survival (CRABP2)</v>
          </cell>
          <cell r="AB78" t="str">
            <v>no</v>
          </cell>
          <cell r="AC78" t="str">
            <v>NA</v>
          </cell>
        </row>
        <row r="79">
          <cell r="A79">
            <v>78</v>
          </cell>
          <cell r="K79" t="str">
            <v>Protein (IHC) + transcriptomics (TCGA) + functional assays</v>
          </cell>
          <cell r="M79" t="str">
            <v>ANP32E</v>
          </cell>
          <cell r="P79" t="str">
            <v>Overall survival (OS)</v>
          </cell>
          <cell r="T79" t="str">
            <v>High ANP32E independently associated with poorer survival in TCGA and clinical cohorts (HR≈0.41–0.49, p&lt;0.01)</v>
          </cell>
          <cell r="U79" t="str">
            <v>Adjusted covariates include age, sex, BMI, TNM stage, tumor markers (CEA, CA19-9, CA242), clinical features</v>
          </cell>
          <cell r="AB79" t="str">
            <v>yes</v>
          </cell>
          <cell r="AC79" t="str">
            <v>yes</v>
          </cell>
        </row>
        <row r="80">
          <cell r="A80">
            <v>79</v>
          </cell>
          <cell r="K80" t="str">
            <v>Transcriptomics + protein expression + functional assays</v>
          </cell>
          <cell r="M80" t="str">
            <v>Noggin (NOG)</v>
          </cell>
          <cell r="P80" t="str">
            <v>Overall survival (OS)</v>
          </cell>
          <cell r="T80" t="str">
            <v>Not reported; no multivariable Cox regression described in the provided text</v>
          </cell>
          <cell r="U80" t="str">
            <v>Not reported</v>
          </cell>
          <cell r="AB80" t="str">
            <v>no</v>
          </cell>
          <cell r="AC80" t="str">
            <v>NA</v>
          </cell>
        </row>
        <row r="81">
          <cell r="A81">
            <v>80</v>
          </cell>
          <cell r="K81" t="str">
            <v>Bulk transcriptomics, RNA-seq, immunogenomic inference, limited functional validation</v>
          </cell>
          <cell r="M81" t="str">
            <v>NEK7-specific pyroptosis gene set (NEK7-SPGS: CARF, EEF1A1P16, GOLM2, MEMO1P1, SCAMP1, TNFSF13, ZSCAN31); downstream prognostic signature; SCAMP1 functional focus</v>
          </cell>
          <cell r="P81" t="str">
            <v>Overall survival</v>
          </cell>
          <cell r="T81" t="str">
            <v>Prognostic signature retained predictive performance in total, training, and testing TCGA cohorts; exact multivariable Cox analysis not clearly described in the excerpt</v>
          </cell>
          <cell r="U81" t="str">
            <v>Not clearly reported in the excerpt</v>
          </cell>
          <cell r="AB81" t="str">
            <v>unclear</v>
          </cell>
          <cell r="AC81" t="str">
            <v>unclear</v>
          </cell>
        </row>
        <row r="82">
          <cell r="A82">
            <v>81</v>
          </cell>
          <cell r="K82" t="str">
            <v>Multi-omics: bulk RNA-seq, scRNA-seq, spatial transcriptomics, lipidomics, methylation, CNV/SNV</v>
          </cell>
          <cell r="M82" t="str">
            <v>Glycerolipid metabolism-related genes (GMRGs); core biomarker: ALDH2</v>
          </cell>
          <cell r="P82" t="str">
            <v>Overall survival (OS)</v>
          </cell>
          <cell r="T82" t="str">
            <v>Multivariable Cox not clearly described; prognostic value validated across multiple datasets (BEST), but adjustment details unclear</v>
          </cell>
          <cell r="U82" t="str">
            <v>Not clearly reported</v>
          </cell>
          <cell r="AB82" t="str">
            <v>unclear</v>
          </cell>
          <cell r="AC82" t="str">
            <v>unclear</v>
          </cell>
        </row>
        <row r="83">
          <cell r="A83">
            <v>82</v>
          </cell>
          <cell r="K83" t="str">
            <v>scRNA-seq + bulk RNA-seq</v>
          </cell>
          <cell r="M83" t="str">
            <v>Epithelial-cell heterogeneity markers; 5-gene prognostic model (MEIG1, EDN2, DGCR5, CXCL11, KLF6); key candidate biomarker: KLF6</v>
          </cell>
          <cell r="P83" t="str">
            <v>Overall survival</v>
          </cell>
          <cell r="T83" t="str">
            <v>Multivariable Cox not clearly reported for final 5-gene model in the excerpt</v>
          </cell>
          <cell r="U83" t="str">
            <v>Not clearly stated</v>
          </cell>
          <cell r="AB83" t="str">
            <v>unclear</v>
          </cell>
          <cell r="AC83" t="str">
            <v>unclear</v>
          </cell>
        </row>
        <row r="84">
          <cell r="A84">
            <v>83</v>
          </cell>
          <cell r="K84" t="str">
            <v>snRNA-seq + spatial transcriptomics + bulk RNA-seq</v>
          </cell>
          <cell r="M84" t="str">
            <v>CITED4 (primary); MDRG signature (MT-CO3, CIRBP, PDGFC, MT2A, CITED4, MT-CO2, CLDN1); SPP1 (microenvironment-related)</v>
          </cell>
          <cell r="P84" t="str">
            <v>Overall survival (OS) and disease-specific survival (DSS)</v>
          </cell>
          <cell r="T84" t="str">
            <v>CITED4 and CIRBP identified as independent prognostic factors (multivariable Cox)</v>
          </cell>
          <cell r="U84" t="str">
            <v>Not clearly specified (likely clinical variables such as stage, age)</v>
          </cell>
          <cell r="AB84" t="str">
            <v>yes</v>
          </cell>
          <cell r="AC84" t="str">
            <v>yes</v>
          </cell>
        </row>
        <row r="85">
          <cell r="A85">
            <v>84</v>
          </cell>
          <cell r="K85" t="str">
            <v>Transcriptomics (RNA-seq)</v>
          </cell>
          <cell r="M85" t="str">
            <v>P4HA1; CCDC148; UCA1; TMPRSS11E + tumor stage</v>
          </cell>
          <cell r="P85" t="str">
            <v>Overall Survival (5-year OS)</v>
          </cell>
          <cell r="T85" t="str">
            <v>Risk score = 0.268×P4HA1 − 0.168×CCDC148 + 0.094×UCA1 + 0.054×TMPRSS11E + 0.31×Stage; HR=2.35 (training); HR=2.73 (validation)</v>
          </cell>
          <cell r="U85" t="str">
            <v>Tumor stage (early vs late)</v>
          </cell>
          <cell r="AB85" t="str">
            <v>yes</v>
          </cell>
          <cell r="AC85" t="str">
            <v>yes</v>
          </cell>
        </row>
        <row r="86">
          <cell r="A86">
            <v>85</v>
          </cell>
          <cell r="K86" t="str">
            <v>Transcriptomics, single-cell transcriptomics, spatial transcriptomics, CNV, mutation, eQTL/MR, in silico drug sensitivity, qPCR, and IHC</v>
          </cell>
          <cell r="M86" t="str">
            <v>Seven-gene necroptosis-associated prognostic signature: CHST11, SLC16A1, RHOF, ANO6, PAH, MAN1C1, SPRR1B; key highlighted biomarker: CHST11</v>
          </cell>
          <cell r="P86" t="str">
            <v>Overall survival (OS)</v>
          </cell>
          <cell r="T86" t="str">
            <v>Seven-gene risk model constructed by LASSO plus multivariable Cox; high-risk group had significantly worse OS; AUCs in training cohort were 0.827 (1-year), 0.864 (3-year), and 0.900 (5-year); CHST11, SLC16A1, RHOF, ANO6, and SPRR1B associated with poor prognosis, whereas MAN1C1 was favorable</v>
          </cell>
          <cell r="U86" t="str">
            <v>Nomogram incorporated risk score, tumor stage, and grade</v>
          </cell>
          <cell r="AB86" t="str">
            <v>yes</v>
          </cell>
          <cell r="AC86" t="str">
            <v>unclear</v>
          </cell>
        </row>
        <row r="87">
          <cell r="A87">
            <v>86</v>
          </cell>
          <cell r="K87" t="str">
            <v>Transcriptomics (bulk RNA-seq) + single-cell RNA-seq + functional assays</v>
          </cell>
          <cell r="M87" t="str">
            <v>4-gene DC-related prognostic signature: CD81, KCTD14, GBP1, MYEOV (key gene: KCTD14)</v>
          </cell>
          <cell r="P87" t="str">
            <v>Overall Survival (OS)</v>
          </cell>
          <cell r="T87" t="str">
            <v>Final model: Risk score = −0.806×CD81 + 0.739×KCTD14 + 0.415×GBP1 + 0.176×MYEOV; high-risk associated with worse OS; AUC: 0.727, 0.694, 0.824 (training); 0.651, 0.684, 0.671 (validation)</v>
          </cell>
          <cell r="U87" t="str">
            <v>Not clearly specified (likely none or limited clinical adjustment beyond gene model)</v>
          </cell>
          <cell r="AB87" t="str">
            <v>yes</v>
          </cell>
          <cell r="AC87" t="str">
            <v>unclear</v>
          </cell>
        </row>
        <row r="88">
          <cell r="A88">
            <v>87</v>
          </cell>
          <cell r="K88" t="str">
            <v>Proteomics-by-IHC plus transcriptomics (bulk RNA-seq and scRNA-seq) with immune deconvolution and pathway analysis</v>
          </cell>
          <cell r="M88" t="str">
            <v>MSLN (mesothelin) expression at protein and transcript levels</v>
          </cell>
          <cell r="P88" t="str">
            <v>Relapse-free survival (RFS) in Australian TMA cohort</v>
          </cell>
          <cell r="T88" t="str">
            <v>Multivariable Cox for RFS adjusted for age, sex, and tumor stage showed non-significant trend favoring MSLN-high tumors (HR 0.618, 95% CI 0.332–1.147, p=0.127); no significant OS/RFS association in RNA-seq cohorts</v>
          </cell>
          <cell r="U88" t="str">
            <v>Age, sex, and tumor stage</v>
          </cell>
          <cell r="AB88" t="str">
            <v>yes</v>
          </cell>
          <cell r="AC88" t="str">
            <v>no</v>
          </cell>
        </row>
        <row r="89">
          <cell r="A89">
            <v>88</v>
          </cell>
          <cell r="K89" t="str">
            <v>Transcriptomics + functional assays</v>
          </cell>
          <cell r="M89" t="str">
            <v>BNC2 (Basonuclin 2); COL3A1</v>
          </cell>
          <cell r="P89" t="str">
            <v>Overall survival / prognosis</v>
          </cell>
          <cell r="T89" t="str">
            <v>Not clearly reported</v>
          </cell>
          <cell r="U89" t="str">
            <v>Not clearly reported</v>
          </cell>
          <cell r="AB89" t="str">
            <v>unclear</v>
          </cell>
          <cell r="AC89" t="str">
            <v>unclear</v>
          </cell>
        </row>
        <row r="90">
          <cell r="A90">
            <v>89</v>
          </cell>
          <cell r="K90" t="str">
            <v>Transcriptomics / gene-expression classifier validation</v>
          </cell>
          <cell r="M90" t="str">
            <v>PurIST molecular subtype classifier (basal-like vs classical) based on 8 top-scoring gene pairs</v>
          </cell>
          <cell r="P90" t="str">
            <v>Overall survival (OS) and analytical agreement of subtype classification across platforms</v>
          </cell>
          <cell r="T90" t="str">
            <v>Not a clinicopathologic multivariable prognostic biomarker model; Cox analyses evaluated subtype-associated mortality risk rather than an adjusted molecular model</v>
          </cell>
          <cell r="U90" t="str">
            <v>None clearly specified for subtype prognostic comparisons beyond platform-based analyses; tumor purity assessed separately by ESTIMATE/DECODER</v>
          </cell>
          <cell r="AB90" t="str">
            <v>no</v>
          </cell>
          <cell r="AC90" t="str">
            <v>NA</v>
          </cell>
        </row>
        <row r="91">
          <cell r="A91">
            <v>90</v>
          </cell>
          <cell r="K91" t="str">
            <v>Genomics + transcriptomics (WGS + bulk RNA-seq)</v>
          </cell>
          <cell r="M91" t="str">
            <v>KRAS mutational status as key biomarker; integrated molecular classifier of KRAS wild-type vs KRAS-mutant classical vs KRAS-mutant basal-like; exploratory HRD and other somatic mutations</v>
          </cell>
          <cell r="P91" t="str">
            <v>Overall survival (OS) from start of FOLFIRINOX</v>
          </cell>
          <cell r="T91" t="str">
            <v>Multivariable Cox showed molecular subgroup remained independently associated with OS: KRAS-mutant classical vs KRAS-mutant basal-like HR 0.41 (95% CI 0.20–0.85, p=0.0169); KRAS wild-type vs KRAS-mutant basal-like HR 0.19 (95% CI 0.06–0.57, p=0.0032); HRD did not improve the model</v>
          </cell>
          <cell r="U91" t="str">
            <v>Age, sex, stage, only lymph node metastases, peritoneal metastases, liver metastases, number of metastatic sites</v>
          </cell>
          <cell r="AB91" t="str">
            <v>yes</v>
          </cell>
          <cell r="AC91" t="str">
            <v>yes</v>
          </cell>
        </row>
        <row r="92">
          <cell r="A92">
            <v>91</v>
          </cell>
          <cell r="K92" t="str">
            <v>Genomics + transcriptomics + immunogenomics</v>
          </cell>
          <cell r="M92" t="str">
            <v>Complement system-related genes (111 genes); key findings: FCN1, PLAT (risk); IGHG3, IGHM, IGKC, F2R, F2RL2, CFI, A2M, C4A (favorable prognosis); FGA, FGG, SERPINE1, F3 (poor prognosis); derived gene signatures (Signature 1 protective, Signature 2 adverse)</v>
          </cell>
          <cell r="P92" t="str">
            <v>Overall survival (OS) in PDAC patients</v>
          </cell>
          <cell r="T92" t="str">
            <v>Multivariable Cox not explicitly emphasized; meta-analysis Cox models showed significant association between gene expression and OS: protective signature HR=0.68 (P=4.0e-4); adverse genes associated with worse OS (e.g., SERPINE1, FGA, FGG, F3)</v>
          </cell>
          <cell r="U92" t="str">
            <v>Adjusted for age, sex, tumor stage, ancestry principal components, region (PanGenEU), genotyping variables (UKB)</v>
          </cell>
          <cell r="AB92" t="str">
            <v>unclear</v>
          </cell>
          <cell r="AC92" t="str">
            <v>unclear</v>
          </cell>
        </row>
        <row r="93">
          <cell r="A93">
            <v>92</v>
          </cell>
          <cell r="K93" t="str">
            <v>Protein expression by immunohistochemistry with transcript/protein in silico validation</v>
          </cell>
          <cell r="M93" t="str">
            <v>PAUF (pancreatic adenocarcinoma upregulated factor; ZG16B-related protein product)</v>
          </cell>
          <cell r="P93" t="str">
            <v>Overall survival (OS)</v>
          </cell>
          <cell r="T93" t="str">
            <v>Multivariable Cox: high PAUF independently associated with poorer OS (HR 2.05, 95% CI 1.19–3.53, P=0.009); poorly differentiated histology HR 2.47 (P=0.004); adjuvant therapy protective HR 0.39 (P=0.001)</v>
          </cell>
          <cell r="U93" t="str">
            <v>Age, tumor location, stage (RPC vs BRPC), histology, resection margin, nodal status, adjuvant therapy, CA19-9</v>
          </cell>
          <cell r="AB93" t="str">
            <v>yes</v>
          </cell>
          <cell r="AC93" t="str">
            <v>yes</v>
          </cell>
        </row>
        <row r="94">
          <cell r="A94">
            <v>93</v>
          </cell>
          <cell r="K94" t="str">
            <v>Transcriptomics (bulk RNA-seq), single-cell RNA-seq, in silico multi-omics, RT-qPCR validation</v>
          </cell>
          <cell r="M94" t="str">
            <v>Six BA-related prognostic genes: SERPINB5, CALU, TFRC, LY6D, SFRP1, GBP2</v>
          </cell>
          <cell r="P94" t="str">
            <v>Overall survival (OS)</v>
          </cell>
          <cell r="T94" t="str">
            <v>Multivariable Cox: RS (HR=3.567, p&lt;0.05) and N stage (HR=1.69, p&lt;0.05) independent prognostic factors; RS strongly predictive of OS</v>
          </cell>
          <cell r="U94" t="str">
            <v>Age, gender, stage, T stage, N stage</v>
          </cell>
          <cell r="AB94" t="str">
            <v>yes</v>
          </cell>
          <cell r="AC94" t="str">
            <v>yes</v>
          </cell>
        </row>
        <row r="95">
          <cell r="A95">
            <v>94</v>
          </cell>
          <cell r="K95" t="str">
            <v>Transcriptomics, single-cell RNA-seq, Mendelian randomization, functional assays (in vitro/in vivo)</v>
          </cell>
          <cell r="M95" t="str">
            <v>TIPARP (PARP7) expression</v>
          </cell>
          <cell r="P95" t="str">
            <v>Overall survival (OS)</v>
          </cell>
          <cell r="T95" t="str">
            <v>Multivariable: TIPARP independent prognostic factor (adjusted for age, sex, grade, stage); included in nomogram (C-index=0.606)</v>
          </cell>
          <cell r="U95" t="str">
            <v>Age, sex, tumor grade, stage, pN stage</v>
          </cell>
          <cell r="AB95" t="str">
            <v>yes</v>
          </cell>
          <cell r="AC95" t="str">
            <v>yes</v>
          </cell>
        </row>
        <row r="96">
          <cell r="A96">
            <v>95</v>
          </cell>
          <cell r="K96" t="str">
            <v>Single-cell transcriptomics + bulk transcriptomics + in vitro molecular validation</v>
          </cell>
          <cell r="M96" t="str">
            <v>Six-gene GSH metabolism-related prognostic signature: GSTA5, PGD, IDH2, GSTA4, GPX2, GPX3; key highlighted gene: GSTA4</v>
          </cell>
          <cell r="P96" t="str">
            <v>Overall survival (OS)</v>
          </cell>
          <cell r="T96" t="str">
            <v>Six-gene prognostic model validated across cohorts; 3-year AUC in training cohort 0.714 and &gt;0.6 in validation sets; model stratified patients into high- and low-risk groups with significant survival differences</v>
          </cell>
          <cell r="U96" t="str">
            <v>Not clearly specified as a clinicopathologic multivariable model; model-focused validation emphasized rather than explicit adjusted clinical Cox for each gene</v>
          </cell>
          <cell r="AB96" t="str">
            <v>unclear</v>
          </cell>
          <cell r="AC96" t="str">
            <v>unclear</v>
          </cell>
        </row>
        <row r="97">
          <cell r="A97">
            <v>96</v>
          </cell>
          <cell r="K97" t="str">
            <v>Transcriptomics + in silico structural biology / drug repurposing</v>
          </cell>
          <cell r="M97" t="str">
            <v>ANKRD22 (key target gene); exploratory drug candidate: fostamatinib via RIPK4/SYK-related network</v>
          </cell>
          <cell r="P97" t="str">
            <v>Overall survival (OS)</v>
          </cell>
          <cell r="T97" t="str">
            <v>No formal multivariable Cox model reported; prognostic evidence based on Kaplan-Meier/HR from public cohort and co-expression subgroup analyses</v>
          </cell>
          <cell r="U97" t="str">
            <v>Not clearly adjusted for clinicopathologic covariates</v>
          </cell>
          <cell r="AB97" t="str">
            <v>no</v>
          </cell>
          <cell r="AC97" t="str">
            <v>NA</v>
          </cell>
        </row>
        <row r="98">
          <cell r="A98">
            <v>97</v>
          </cell>
          <cell r="K98" t="str">
            <v>Histopathology, immunohistochemistry, bulk RNA-seq bioinformatics, immune deconvolution, mutation analysis, drug sensitivity analysis</v>
          </cell>
          <cell r="M98" t="str">
            <v>Tertiary lymphoid structures (TLS), specifically intratumoral TLS (iTLS)</v>
          </cell>
          <cell r="P98" t="str">
            <v>Overall survival (OS)</v>
          </cell>
          <cell r="T98" t="str">
            <v>Multivariate Cox: CQMU OS HR 0.407 (95% CI 0.180–0.921, p=0.031); CQMU RFS HR 0.407 (95% CI 0.145–0.738, p=0.007); TCGA OS HR 0.528 (95% CI 0.307–0.908, p=0.021)</v>
          </cell>
          <cell r="U98" t="str">
            <v>Adjusted for clinicopathologic covariates in multivariable Cox (including nodal status/resection-related factors depending on cohort)</v>
          </cell>
          <cell r="AB98" t="str">
            <v>yes</v>
          </cell>
          <cell r="AC98" t="str">
            <v>yes</v>
          </cell>
          <cell r="AG98" t="str">
            <v>Excluded — biomarker modality: main prognostic marker is tertiary lymphoid structures (histopathology/IHC finding); the accompanying transcriptomic analysis does not make the marker transcriptomic</v>
          </cell>
        </row>
        <row r="99">
          <cell r="A99">
            <v>98</v>
          </cell>
          <cell r="K99" t="str">
            <v>Targeted genomics, bulk transcriptomics, immunohistochemistry, bioinformatics</v>
          </cell>
          <cell r="M99" t="str">
            <v>KRAS mutation subtype, especially KRAS G12R, and downstream hub gene SERPINA3</v>
          </cell>
          <cell r="P99" t="str">
            <v>Progression-free survival (PFS)</v>
          </cell>
          <cell r="T99" t="str">
            <v>No multivariable Cox model reported; prognostic conclusions were based mainly on Kaplan-Meier analyses and correlation analyses</v>
          </cell>
          <cell r="U99" t="str">
            <v>Not reported</v>
          </cell>
          <cell r="AB99" t="str">
            <v>no</v>
          </cell>
          <cell r="AC99" t="str">
            <v>NA</v>
          </cell>
        </row>
        <row r="100">
          <cell r="A100">
            <v>99</v>
          </cell>
          <cell r="K100" t="str">
            <v>Digital spatial transcriptomics, immunohistochemistry, immune deconvolution, clinicopathologic survival analysis</v>
          </cell>
          <cell r="M100" t="str">
            <v>Microenvironmental/stromal and immune markers including MFAP4, EGR3, KRT8, monocyte infiltration, CD68+ macrophages, CD3/CD4/CD8 T-cell infiltration</v>
          </cell>
          <cell r="P100" t="str">
            <v>Overall survival (OS)</v>
          </cell>
          <cell r="T100" t="str">
            <v>Multivariate Cox: high monocyte infiltration independently predicted worse OS and PFS overall; high CD68+ cell infiltration independently predicted OS; in NAT subgroup high plasma-cell infiltration predicted worse OS/PFS and high M0 macrophage infiltration predicted better OS</v>
          </cell>
          <cell r="U100" t="str">
            <v>Age, sex, pT/pN, differentiation, resection margin, invasion variables, CA19-9, treatment group, multiple DSP-derived immune fractions, and IHC markers were examined; exact final adjusted covariates differed by endpoint and subgroup</v>
          </cell>
          <cell r="AB100" t="str">
            <v>yes</v>
          </cell>
          <cell r="AC100" t="str">
            <v>yes</v>
          </cell>
        </row>
        <row r="101">
          <cell r="A101">
            <v>100</v>
          </cell>
          <cell r="K101" t="str">
            <v>Transcriptomics (bulk RNA-seq), single-cell RNA-seq, spatial transcriptomics, mutation analysis, immune profiling</v>
          </cell>
          <cell r="M101" t="str">
            <v>IGFBP family (IGFBP1–7), especially IGFBP3; multi-gene prognostic signature (8 genes from LASSO)</v>
          </cell>
          <cell r="P101" t="str">
            <v>Overall survival (OS)</v>
          </cell>
          <cell r="T101" t="str">
            <v>Multivariate Cox confirmed prognostic value of risk score (model-based); IGFBP3 showed strongest prognostic association (HR≈1.205; additional HR≈4.18 in validation)</v>
          </cell>
          <cell r="U101" t="str">
            <v>Clinical variables + risk score included in multivariate models; exact covariates not fully detailed but include standard TCGA clinical parameters and immune/TMB features</v>
          </cell>
          <cell r="AB101" t="str">
            <v>yes</v>
          </cell>
          <cell r="AC101" t="str">
            <v>yes</v>
          </cell>
        </row>
        <row r="102">
          <cell r="A102">
            <v>101</v>
          </cell>
          <cell r="K102" t="str">
            <v>Transcriptomics (platelet RNA-seq), functional assays, in vivo xenografts, correlation with clinical data</v>
          </cell>
          <cell r="M102" t="str">
            <v>Platelet-derived α-defensins (DEFA1/3); Defensin-Rich Platelets (DRPs)</v>
          </cell>
          <cell r="P102" t="str">
            <v>Overall survival (OS)</v>
          </cell>
          <cell r="T102" t="str">
            <v>No formal multivariable Cox clearly reported → mainly Kaplan-Meier + correlation analyses (limitation)</v>
          </cell>
          <cell r="U102" t="str">
            <v>Limited adjustment (no clear multivariable model with covariates like age, stage)</v>
          </cell>
          <cell r="AB102" t="str">
            <v>no</v>
          </cell>
          <cell r="AC102" t="str">
            <v>NA</v>
          </cell>
        </row>
        <row r="103">
          <cell r="A103">
            <v>102</v>
          </cell>
          <cell r="K103" t="str">
            <v>Transcriptomics, proteomics, cfDNA, multi-omics integration</v>
          </cell>
          <cell r="M103" t="str">
            <v>Cuproptosis-related genes (CGs); signature genes: MIR3677, AC068620.2, UPK2, LDHAP7, FAM83A</v>
          </cell>
          <cell r="P103" t="str">
            <v>Overall survival (OS)</v>
          </cell>
          <cell r="T103" t="str">
            <v>YES → multivariable Cox confirms risk score as independent prognostic factor</v>
          </cell>
          <cell r="U103" t="str">
            <v>Adjusted for clinical covariates (age, sex, grade etc.)</v>
          </cell>
          <cell r="AB103" t="str">
            <v>yes</v>
          </cell>
          <cell r="AC103" t="str">
            <v>yes</v>
          </cell>
        </row>
        <row r="104">
          <cell r="A104">
            <v>103</v>
          </cell>
          <cell r="K104" t="str">
            <v>Multi-omics (mRNA, miRNA, lncRNA, DNA methylation, mutations) + single-cell + spatial transcriptomics</v>
          </cell>
          <cell r="M104" t="str">
            <v>Molecular subtypes (CS1 vs CS2); prognostic genes (23 genes); key biomarker: A2ML1</v>
          </cell>
          <cell r="P104" t="str">
            <v>Overall survival (OS)</v>
          </cell>
          <cell r="T104" t="str">
            <v>YES → multivariable Cox confirms risk score as independent prognostic factor</v>
          </cell>
          <cell r="U104" t="str">
            <v>Adjusted for age, grade, therapy, TNM, etc.</v>
          </cell>
          <cell r="AB104" t="str">
            <v>yes</v>
          </cell>
          <cell r="AC104" t="str">
            <v>yes</v>
          </cell>
        </row>
        <row r="105">
          <cell r="A105">
            <v>104</v>
          </cell>
          <cell r="K105" t="str">
            <v>Transcriptomics + single-cell transcriptomics + functional validation</v>
          </cell>
          <cell r="M105" t="str">
            <v>BM-related gene signature (including LAMA3, ITGA3, ITGB6); SPP1+ TAMs</v>
          </cell>
          <cell r="P105" t="str">
            <v>Overall survival (prognostic signature)</v>
          </cell>
          <cell r="T105" t="str">
            <v>Yes (signature constructed and validated across cohorts)</v>
          </cell>
          <cell r="U105" t="str">
            <v>Not clearly reported</v>
          </cell>
          <cell r="AB105" t="str">
            <v>yes</v>
          </cell>
          <cell r="AC105" t="str">
            <v>yes</v>
          </cell>
        </row>
        <row r="106">
          <cell r="A106">
            <v>105</v>
          </cell>
          <cell r="K106" t="str">
            <v>scRNA-seq + bulk RNA-seq (hypoxia hallmark genes from MSigDB)</v>
          </cell>
          <cell r="M106" t="str">
            <v>Hypoxia score; 13-gene signature (LYZ, PLAU, INSIG2, KRTCAP2 etc.)</v>
          </cell>
          <cell r="P106" t="str">
            <v>Overall survival (OS); PFS</v>
          </cell>
          <cell r="T106" t="str">
            <v>YES → hypoxia score independent prognostic factor</v>
          </cell>
          <cell r="U106" t="str">
            <v>Adjusted for clinicopathologic variables (age, TNM, etc.)</v>
          </cell>
          <cell r="AB106" t="str">
            <v>yes</v>
          </cell>
          <cell r="AC106" t="str">
            <v>yes</v>
          </cell>
        </row>
        <row r="107">
          <cell r="A107">
            <v>106</v>
          </cell>
          <cell r="K107" t="str">
            <v>Transcriptomics + functional validation</v>
          </cell>
          <cell r="M107" t="str">
            <v>Four-TF ER stress-related signature (STAT1, IRF6, NRF1, RXRA); key gene IRF6</v>
          </cell>
          <cell r="P107" t="str">
            <v>Overall survival</v>
          </cell>
          <cell r="T107" t="str">
            <v>Yes (multivariate Cox used for model construction)</v>
          </cell>
          <cell r="U107" t="str">
            <v>Not clearly reported</v>
          </cell>
          <cell r="AB107" t="str">
            <v>yes</v>
          </cell>
          <cell r="AC107" t="str">
            <v>yes</v>
          </cell>
        </row>
        <row r="108">
          <cell r="A108">
            <v>107</v>
          </cell>
          <cell r="K108" t="str">
            <v>Transcriptomics (microarray-based DEG analysis)</v>
          </cell>
          <cell r="M108" t="str">
            <v>Hub genes: ASPM, CENPF, BIRC5, TTK, DLGAP5, TOP2A (from 659 DEGs)</v>
          </cell>
          <cell r="P108" t="str">
            <v>Overall survival (Kaplan-Meier)</v>
          </cell>
          <cell r="T108" t="str">
            <v>Not performed</v>
          </cell>
          <cell r="U108" t="str">
            <v>Not reported</v>
          </cell>
          <cell r="AB108" t="str">
            <v>no</v>
          </cell>
          <cell r="AC108" t="str">
            <v>NA</v>
          </cell>
        </row>
        <row r="109">
          <cell r="A109">
            <v>108</v>
          </cell>
          <cell r="K109" t="str">
            <v>scRNA-seq + bulk RNA-seq + machine learning</v>
          </cell>
          <cell r="M109" t="str">
            <v>SHCBP1, CEP55, GMNN, CDCA5, FAM111B (CSCLPI genes)</v>
          </cell>
          <cell r="P109" t="str">
            <v>Overall survival (OS)</v>
          </cell>
          <cell r="T109" t="str">
            <v>YES (independent prognostic index)</v>
          </cell>
          <cell r="U109" t="str">
            <v>Adjusted (clinical covariates in Cox)</v>
          </cell>
          <cell r="AB109" t="str">
            <v>yes</v>
          </cell>
          <cell r="AC109" t="str">
            <v>yes</v>
          </cell>
        </row>
        <row r="110">
          <cell r="A110">
            <v>109</v>
          </cell>
          <cell r="K110" t="str">
            <v>Bulk RNA-seq / immunogenomic signature analysis</v>
          </cell>
          <cell r="M110" t="str">
            <v>23 ISGS-based features in RS model</v>
          </cell>
          <cell r="P110" t="str">
            <v>Overall survival (OS)</v>
          </cell>
          <cell r="T110" t="str">
            <v>YES (RS independent in multivariable Cox)</v>
          </cell>
          <cell r="U110" t="str">
            <v>Stage_N and RS in nomogram</v>
          </cell>
          <cell r="AB110" t="str">
            <v>yes</v>
          </cell>
          <cell r="AC110" t="str">
            <v>yes</v>
          </cell>
        </row>
        <row r="111">
          <cell r="A111">
            <v>110</v>
          </cell>
          <cell r="K111" t="str">
            <v>Transcriptomics focused on cuproptosis-related lncRNAs</v>
          </cell>
          <cell r="M111" t="str">
            <v>Cuproptosis-related lncRNA prognostic model; key lncRNAs LINC00900 and AC078820.1</v>
          </cell>
          <cell r="P111" t="str">
            <v>Overall survival</v>
          </cell>
          <cell r="T111" t="str">
            <v>Yes, multivariate Cox model used and authors state LINC00900 and AC078820.1 were identified as independent prognostic biomarkers</v>
          </cell>
          <cell r="U111" t="str">
            <v>Not clearly detailed in excerpt</v>
          </cell>
          <cell r="AB111" t="str">
            <v>yes</v>
          </cell>
          <cell r="AC111" t="str">
            <v>yes</v>
          </cell>
        </row>
        <row r="112">
          <cell r="A112">
            <v>111</v>
          </cell>
          <cell r="K112" t="str">
            <v>Transcriptomics (lncRNA)</v>
          </cell>
          <cell r="M112" t="str">
            <v>SCAMP1 (lncRNA)</v>
          </cell>
          <cell r="P112" t="str">
            <v>Overall survival (OS)</v>
          </cell>
          <cell r="T112" t="str">
            <v>Not performed</v>
          </cell>
          <cell r="U112" t="str">
            <v>—</v>
          </cell>
          <cell r="AB112" t="str">
            <v>no</v>
          </cell>
          <cell r="AC112" t="str">
            <v>NA</v>
          </cell>
        </row>
        <row r="113">
          <cell r="A113">
            <v>112</v>
          </cell>
          <cell r="K113" t="str">
            <v>Single-cell RNA-seq + bulk RNA-seq</v>
          </cell>
          <cell r="M113" t="str">
            <v>ANLN, NT5E, CTSV</v>
          </cell>
          <cell r="P113" t="str">
            <v>Overall survival (OS)</v>
          </cell>
          <cell r="T113" t="str">
            <v>Not clearly reported for the final 3-gene model as a multivariable Cox independent prognostic analysis</v>
          </cell>
          <cell r="U113" t="str">
            <v>Not clearly reported</v>
          </cell>
          <cell r="AB113" t="str">
            <v>unclear</v>
          </cell>
          <cell r="AC113" t="str">
            <v>unclear</v>
          </cell>
        </row>
        <row r="114">
          <cell r="A114">
            <v>113</v>
          </cell>
          <cell r="K114" t="str">
            <v>Lipid metabolism-related transcriptomics; bulk RNA-seq with supplementary single-cell exploration</v>
          </cell>
          <cell r="M114" t="str">
            <v>ST3GAL2, SLCO1B3, PTGES, PRKACA</v>
          </cell>
          <cell r="P114" t="str">
            <v>Progression-free interval (PFI)/postoperative recurrence</v>
          </cell>
          <cell r="T114" t="str">
            <v>Risk score remained independently associated with PFI in multivariate Cox analysis; clinical variables lost significance except risk score in the final model</v>
          </cell>
          <cell r="U114" t="str">
            <v>Tumor location, T stage/tumor size, N stage/tumor invasion, M stage/tumor metastasis, and other clinicopathologic variables considered</v>
          </cell>
          <cell r="AB114" t="str">
            <v>yes</v>
          </cell>
          <cell r="AC114" t="str">
            <v>yes</v>
          </cell>
        </row>
        <row r="115">
          <cell r="A115">
            <v>114</v>
          </cell>
          <cell r="K115" t="str">
            <v>Transcriptomics, single-cell transcriptomics, spatial transcriptomics, CNV/mutation, methylation, immune deconvolution</v>
          </cell>
          <cell r="M115" t="str">
            <v>TNFSF ligand family, with focus on TNFSF4</v>
          </cell>
          <cell r="P115" t="str">
            <v>Overall survival (OS) and progression-free survival (PFS)</v>
          </cell>
          <cell r="T115" t="str">
            <v>Not reported for TNFSF4 as an independent prognostic factor in a multivariable Cox model; logistic regression examined clinicopathologic associations rather than independent survival adjustment</v>
          </cell>
          <cell r="U115" t="str">
            <v>Not clearly reported for survival multivariable adjustment; clinicopathologic associations assessed included sex, histological stage, and T stage</v>
          </cell>
          <cell r="AB115" t="str">
            <v>no</v>
          </cell>
          <cell r="AC115" t="str">
            <v>NA</v>
          </cell>
        </row>
        <row r="116">
          <cell r="A116">
            <v>115</v>
          </cell>
          <cell r="K116" t="str">
            <v>Transcriptomics (bulk + single-cell), RNA-seq after gene knockdown, drug sensitivity omics</v>
          </cell>
          <cell r="M116" t="str">
            <v>DCBLD2, OCIAD2, SAMD9</v>
          </cell>
          <cell r="P116" t="str">
            <v>Overall survival (OS)</v>
          </cell>
          <cell r="T116" t="str">
            <v>Yes – DCBLD2, OCIAD2, SAMD9 identified as independent prognostic biomarkers in multivariable Cox model (along with age and lymph node metastasis)</v>
          </cell>
          <cell r="U116" t="str">
            <v>Age, lymph node metastasis (LNM), and gene expression variables</v>
          </cell>
          <cell r="AB116" t="str">
            <v>yes</v>
          </cell>
          <cell r="AC116" t="str">
            <v>yes</v>
          </cell>
        </row>
        <row r="117">
          <cell r="A117">
            <v>116</v>
          </cell>
          <cell r="K117" t="str">
            <v>Bulk transcriptomics, single-cell transcriptomics, spatial transcriptomics, mutation data</v>
          </cell>
          <cell r="M117" t="str">
            <v>Disulfidptosis-related prognostic signature / DPS (8-gene signature: SLC3A2, HMGA1, S100A2, DUSP5, SPRR1B, MET, CREB5, MACROD2)</v>
          </cell>
          <cell r="P117" t="str">
            <v>Overall survival (OS)</v>
          </cell>
          <cell r="T117" t="str">
            <v>Not clearly reported for individual genes; yes for DPS as multivariable prognostic factor in CPTAC and TCGA nomogram analyses</v>
          </cell>
          <cell r="U117" t="str">
            <v>Clinicopathological features including age, gender, stage / clinical variables depending on cohort</v>
          </cell>
          <cell r="AB117" t="str">
            <v>yes</v>
          </cell>
          <cell r="AC117" t="str">
            <v>yes</v>
          </cell>
        </row>
        <row r="118">
          <cell r="A118">
            <v>117</v>
          </cell>
          <cell r="K118" t="str">
            <v>Transcriptomics (bulk RNA-seq), single-cell transcriptomics, in vitro functional assays</v>
          </cell>
          <cell r="M118" t="str">
            <v>Lactate-related risk signature (4 genes: NQO1, STAT4, KCNK1, MCU); focus biomarker: MCU</v>
          </cell>
          <cell r="P118" t="str">
            <v>Overall survival (OS)</v>
          </cell>
          <cell r="T118" t="str">
            <v>NO clearly reported multivariable Cox → mainly LASSO-based model without full adjusted Cox model with covariates</v>
          </cell>
          <cell r="U118" t="str">
            <v>Not clearly reported (likely none or not specified)</v>
          </cell>
          <cell r="AB118" t="str">
            <v>no</v>
          </cell>
          <cell r="AC118" t="str">
            <v>NA</v>
          </cell>
        </row>
        <row r="119">
          <cell r="A119">
            <v>118</v>
          </cell>
          <cell r="K119" t="str">
            <v>Transcriptomics, clinicopathologic survival data, somatic mutation data, immune deconvolution, predicted drug sensitivity, tissue-level IHC/qRT-PCR, in vitro functional assays</v>
          </cell>
          <cell r="M119" t="str">
            <v>PLAAT2; additionally an 11-gene PLAAT2-derived prognostic signature (TEKT2, GALNT16, NACAD, HMGA2, RIC3, ARNT2, SLC16A11, CA8, TMEM139, NT5M, ZNF488)</v>
          </cell>
          <cell r="P119" t="str">
            <v>Overall survival (OS)</v>
          </cell>
          <cell r="T119" t="str">
            <v>PLAAT2 remained independently associated with poor OS: HR 1.71 (95% CI 1.09–2.66), P=0.019</v>
          </cell>
          <cell r="U119" t="str">
            <v>Sex, age, clinical stage, tumor grade</v>
          </cell>
          <cell r="AB119" t="str">
            <v>yes</v>
          </cell>
          <cell r="AC119" t="str">
            <v>yes</v>
          </cell>
        </row>
        <row r="120">
          <cell r="A120">
            <v>119</v>
          </cell>
          <cell r="K120" t="str">
            <v>scRNA-seq, bulk RNA expression, SNV, CNV, clinical survival data, immune infiltration, drug sensitivity prediction</v>
          </cell>
          <cell r="M120" t="str">
            <v>M2 macrophage-related 6-gene prognostic signature: CCL2, CD9, FBP1, LIMS1, LYZ, TGFBI; also M2/TAM biology and TNFRSF12A highlighted</v>
          </cell>
          <cell r="P120" t="str">
            <v>Overall survival (OS)</v>
          </cell>
          <cell r="T120" t="str">
            <v>Multivariate Cox showed risk score remained an independent prognostic factor for OS in PDAC (exact HR/CI not provided in pasted text)</v>
          </cell>
          <cell r="U120" t="str">
            <v>Not clearly specified in the pasted excerpt; multivariable analysis likely adjusted for clinicopathologic features, but exact covariates are not reported here</v>
          </cell>
          <cell r="AB120" t="str">
            <v>yes</v>
          </cell>
          <cell r="AC120" t="str">
            <v>yes</v>
          </cell>
        </row>
        <row r="121">
          <cell r="A121">
            <v>120</v>
          </cell>
          <cell r="K121" t="str">
            <v>Bulk RNA-seq + microarray; computational TME deconvolution; proteogenomics (breast dataset)</v>
          </cell>
          <cell r="M121" t="str">
            <v>DNMT3A, GMPS</v>
          </cell>
          <cell r="P121" t="str">
            <v>Overall Survival (OS)</v>
          </cell>
          <cell r="T121" t="str">
            <v>Not performed (no multivariable Cox regression reported)</v>
          </cell>
          <cell r="U121" t="str">
            <v>Not reported</v>
          </cell>
          <cell r="AB121" t="str">
            <v>no</v>
          </cell>
          <cell r="AC121" t="str">
            <v>NA</v>
          </cell>
        </row>
        <row r="122">
          <cell r="A122">
            <v>121</v>
          </cell>
          <cell r="K122" t="str">
            <v>Multi-omics (ChIP-seq, ATAC-seq, scRNA-seq, bulk RNA-seq)</v>
          </cell>
          <cell r="M122" t="str">
            <v>ITGB3; STRESS gene signature (18 genes; STRESS-Up subset)</v>
          </cell>
          <cell r="P122" t="str">
            <v>Relapse-Free Survival (RFS)</v>
          </cell>
          <cell r="T122" t="str">
            <v>Not reported</v>
          </cell>
          <cell r="U122" t="str">
            <v>Not reported</v>
          </cell>
          <cell r="AB122" t="str">
            <v>no</v>
          </cell>
          <cell r="AC122" t="str">
            <v>NA</v>
          </cell>
        </row>
        <row r="123">
          <cell r="A123">
            <v>122</v>
          </cell>
          <cell r="K123" t="str">
            <v>Transcriptomics (bulk RNA-seq)</v>
          </cell>
          <cell r="M123" t="str">
            <v>PancreasView gemcitabine predictive signature</v>
          </cell>
          <cell r="P123" t="str">
            <v>Disease-Free Survival (DFS)</v>
          </cell>
          <cell r="T123" t="str">
            <v>Not performed</v>
          </cell>
          <cell r="U123" t="str">
            <v>Not reported</v>
          </cell>
          <cell r="AB123" t="str">
            <v>no</v>
          </cell>
          <cell r="AC123" t="str">
            <v>NA</v>
          </cell>
        </row>
        <row r="124">
          <cell r="A124">
            <v>123</v>
          </cell>
          <cell r="K124" t="str">
            <v>Multi-omics: DNA methylation, transcriptomics, proteomics, single-cell RNA-seq</v>
          </cell>
          <cell r="M124" t="str">
            <v>Methylation-driven genes (MEDEGs): CD36, UGT1A1, TFF1, S100P, MUC13, CALHM3, ANKRD44; key candidates TFF1, S100P, MUC13, UGT1A1</v>
          </cell>
          <cell r="P124" t="str">
            <v>Overall survival</v>
          </cell>
          <cell r="T124" t="str">
            <v>Yes, adaptive LASSO-Cox model indicates prognostic value (CD36 highlighted)</v>
          </cell>
          <cell r="U124" t="str">
            <v>Not clearly reported</v>
          </cell>
          <cell r="AB124" t="str">
            <v>no</v>
          </cell>
          <cell r="AC124" t="str">
            <v>NA</v>
          </cell>
        </row>
        <row r="125">
          <cell r="A125">
            <v>124</v>
          </cell>
          <cell r="K125" t="str">
            <v>Transcriptomics (bulk RNA-seq)</v>
          </cell>
          <cell r="M125" t="str">
            <v>Multiple DEGs (e.g., CHST15, PARP15, NUDT16, SERPINB3, PADI1, ZNF488, LETM2)</v>
          </cell>
          <cell r="P125" t="str">
            <v>log2FC</v>
          </cell>
          <cell r="T125" t="str">
            <v>DESeq2; KEGG/GO enrichment; CIBERSORT; ssGSEA; KM survival analysis (external data)</v>
          </cell>
          <cell r="U125" t="str">
            <v>Several genes associated with poor survival (e.g., CHST15, SERPINB3, LETM2)</v>
          </cell>
          <cell r="AB125" t="str">
            <v>no</v>
          </cell>
          <cell r="AC125" t="str">
            <v>NA</v>
          </cell>
        </row>
        <row r="126">
          <cell r="A126">
            <v>125</v>
          </cell>
          <cell r="K126" t="str">
            <v>Bulk transcriptomics: mRNA, miRNA, circRNA; network biology; in silico proteomics; drug docking</v>
          </cell>
          <cell r="M126" t="str">
            <v>ceRNA-network hub genes: ADAM12, MET, QKI, SEC23A, ZEB2; also hsa_circRNA_102465, hsa_circRNA_100904 and hub miRNAs</v>
          </cell>
          <cell r="P126" t="str">
            <v>Overall survival (OS) of hub-gene expression</v>
          </cell>
          <cell r="T126" t="str">
            <v>Not reported</v>
          </cell>
          <cell r="U126" t="str">
            <v>Partial external/in silico validation only</v>
          </cell>
          <cell r="AB126" t="str">
            <v>no</v>
          </cell>
          <cell r="AC126" t="str">
            <v>NA</v>
          </cell>
        </row>
        <row r="127">
          <cell r="A127">
            <v>126</v>
          </cell>
          <cell r="K127" t="str">
            <v>Proteomics</v>
          </cell>
          <cell r="M127" t="str">
            <v>20-protein diagnostic panel; four proteomic prognostic subtypes; 18-protein prognostic risk score (PURB, SDCBP2, CD2BP2, GALM, SERPINA3, OAS3, FAN1, ZPR1, KRT2, NUDT2, SMNDC1, SERPINA4, CUTA, WDR36, POSTN, CLEC11A, PEX14, PI4KA)</v>
          </cell>
          <cell r="P127" t="str">
            <v>Overall survival (OS)</v>
          </cell>
          <cell r="T127" t="str">
            <v>18-protein risk score retained significance in multivariable Cox models and improved concordance index from 0.66 to 0.85 after adjustment for clinical covariates</v>
          </cell>
          <cell r="U127" t="str">
            <v>Clinical prognostic variables included age, stage, grade, histology, margin, recurrence-related features, and other available clinicopathologic factors; exact full multivariable covariate list not fully specified in excerpt</v>
          </cell>
          <cell r="AB127" t="str">
            <v>yes</v>
          </cell>
          <cell r="AC127" t="str">
            <v>yes</v>
          </cell>
        </row>
        <row r="128">
          <cell r="A128">
            <v>127</v>
          </cell>
          <cell r="K128" t="str">
            <v>Bulk transcriptomics with experimental cell validation</v>
          </cell>
          <cell r="M128" t="str">
            <v>COL12A1, ITGA2, MMP14, PLAU</v>
          </cell>
          <cell r="P128" t="str">
            <v>Overall survival (OS)</v>
          </cell>
          <cell r="T128" t="str">
            <v>Not performed</v>
          </cell>
          <cell r="U128" t="str">
            <v>Not reported</v>
          </cell>
          <cell r="AB128" t="str">
            <v>no</v>
          </cell>
          <cell r="AC128" t="str">
            <v>NA</v>
          </cell>
        </row>
      </sheetData>
      <sheetData sheetId="9"/>
      <sheetData sheetId="10"/>
      <sheetData sheetId="11"/>
      <sheetData sheetId="12"/>
      <sheetData sheetId="13"/>
      <sheetData sheetId="14">
        <row r="2">
          <cell r="L2" t="str">
            <v>B</v>
          </cell>
          <cell r="AA2">
            <v>5</v>
          </cell>
          <cell r="AC2" t="str">
            <v>EV-02</v>
          </cell>
        </row>
        <row r="3">
          <cell r="L3" t="str">
            <v>A-</v>
          </cell>
          <cell r="AA3">
            <v>6</v>
          </cell>
          <cell r="AC3" t="str">
            <v>EV-03</v>
          </cell>
        </row>
        <row r="4">
          <cell r="L4" t="str">
            <v>A</v>
          </cell>
          <cell r="AA4">
            <v>17</v>
          </cell>
          <cell r="AC4" t="str">
            <v>EV-04</v>
          </cell>
        </row>
        <row r="5">
          <cell r="L5" t="str">
            <v>A</v>
          </cell>
          <cell r="AA5">
            <v>22</v>
          </cell>
          <cell r="AC5" t="str">
            <v>EV-05</v>
          </cell>
        </row>
        <row r="6">
          <cell r="L6" t="str">
            <v>A-</v>
          </cell>
          <cell r="AA6">
            <v>32</v>
          </cell>
          <cell r="AC6" t="str">
            <v>EV-06</v>
          </cell>
        </row>
        <row r="7">
          <cell r="L7" t="str">
            <v>A</v>
          </cell>
          <cell r="AA7">
            <v>34</v>
          </cell>
          <cell r="AC7" t="str">
            <v>EV-07</v>
          </cell>
        </row>
        <row r="8">
          <cell r="L8" t="str">
            <v>A</v>
          </cell>
          <cell r="AA8">
            <v>40</v>
          </cell>
          <cell r="AC8" t="str">
            <v>EV-09</v>
          </cell>
        </row>
        <row r="9">
          <cell r="L9" t="str">
            <v>B</v>
          </cell>
          <cell r="AA9">
            <v>44</v>
          </cell>
          <cell r="AC9" t="str">
            <v>EV-10</v>
          </cell>
        </row>
        <row r="10">
          <cell r="L10" t="str">
            <v>A</v>
          </cell>
          <cell r="AA10">
            <v>49</v>
          </cell>
          <cell r="AC10" t="str">
            <v>EV-11</v>
          </cell>
        </row>
        <row r="11">
          <cell r="L11" t="str">
            <v>B+</v>
          </cell>
          <cell r="AA11">
            <v>53</v>
          </cell>
          <cell r="AC11" t="str">
            <v>EV-12</v>
          </cell>
        </row>
        <row r="12">
          <cell r="L12" t="str">
            <v>A</v>
          </cell>
          <cell r="AA12">
            <v>56</v>
          </cell>
          <cell r="AC12" t="str">
            <v>EV-13</v>
          </cell>
        </row>
        <row r="13">
          <cell r="L13" t="str">
            <v>A</v>
          </cell>
          <cell r="AA13">
            <v>59</v>
          </cell>
          <cell r="AC13" t="str">
            <v>EV-14</v>
          </cell>
        </row>
        <row r="14">
          <cell r="L14" t="str">
            <v>A</v>
          </cell>
          <cell r="AA14">
            <v>60</v>
          </cell>
          <cell r="AC14" t="str">
            <v>EV-15</v>
          </cell>
        </row>
        <row r="15">
          <cell r="L15" t="str">
            <v>A</v>
          </cell>
          <cell r="AA15">
            <v>63</v>
          </cell>
          <cell r="AC15" t="str">
            <v>EV-16</v>
          </cell>
        </row>
        <row r="16">
          <cell r="L16" t="str">
            <v>A</v>
          </cell>
          <cell r="AA16">
            <v>76</v>
          </cell>
          <cell r="AC16" t="str">
            <v>EV-17</v>
          </cell>
        </row>
        <row r="17">
          <cell r="L17" t="str">
            <v>A-</v>
          </cell>
          <cell r="AA17">
            <v>84</v>
          </cell>
          <cell r="AC17" t="str">
            <v>EV-18</v>
          </cell>
        </row>
        <row r="18">
          <cell r="L18" t="str">
            <v>A</v>
          </cell>
          <cell r="AA18">
            <v>101</v>
          </cell>
          <cell r="AC18" t="str">
            <v>EV-19</v>
          </cell>
        </row>
        <row r="19">
          <cell r="L19" t="str">
            <v>A</v>
          </cell>
          <cell r="AA19">
            <v>104</v>
          </cell>
          <cell r="AC19" t="str">
            <v>EV-20</v>
          </cell>
        </row>
        <row r="20">
          <cell r="L20" t="str">
            <v>A</v>
          </cell>
          <cell r="AA20">
            <v>105</v>
          </cell>
          <cell r="AC20" t="str">
            <v>EV-21</v>
          </cell>
        </row>
        <row r="21">
          <cell r="L21" t="str">
            <v>A</v>
          </cell>
          <cell r="AA21">
            <v>107</v>
          </cell>
          <cell r="AC21" t="str">
            <v>EV-22</v>
          </cell>
        </row>
        <row r="22">
          <cell r="L22" t="str">
            <v>A</v>
          </cell>
          <cell r="AA22">
            <v>119</v>
          </cell>
          <cell r="AC22" t="str">
            <v>EV-23</v>
          </cell>
        </row>
        <row r="23">
          <cell r="L23" t="str">
            <v>B</v>
          </cell>
          <cell r="AA23">
            <v>7</v>
          </cell>
          <cell r="AC23" t="str">
            <v>EV-26</v>
          </cell>
        </row>
        <row r="24">
          <cell r="L24" t="str">
            <v>A-</v>
          </cell>
          <cell r="AA24">
            <v>8</v>
          </cell>
          <cell r="AC24" t="str">
            <v>EV-27</v>
          </cell>
        </row>
        <row r="25">
          <cell r="L25" t="str">
            <v>A-</v>
          </cell>
          <cell r="AA25">
            <v>13</v>
          </cell>
          <cell r="AC25" t="str">
            <v>EV-28</v>
          </cell>
        </row>
        <row r="26">
          <cell r="L26" t="str">
            <v>A</v>
          </cell>
          <cell r="AA26">
            <v>18</v>
          </cell>
          <cell r="AC26" t="str">
            <v>EV-29</v>
          </cell>
        </row>
        <row r="27">
          <cell r="L27" t="str">
            <v>A-</v>
          </cell>
          <cell r="AA27">
            <v>20</v>
          </cell>
          <cell r="AC27" t="str">
            <v>EV-30</v>
          </cell>
        </row>
        <row r="28">
          <cell r="L28" t="str">
            <v>A</v>
          </cell>
          <cell r="AA28">
            <v>26</v>
          </cell>
          <cell r="AC28" t="str">
            <v>EV-31</v>
          </cell>
        </row>
        <row r="29">
          <cell r="L29" t="str">
            <v>A-</v>
          </cell>
          <cell r="AA29">
            <v>30</v>
          </cell>
          <cell r="AC29" t="str">
            <v>EV-32</v>
          </cell>
        </row>
        <row r="30">
          <cell r="L30" t="str">
            <v>A</v>
          </cell>
          <cell r="AA30">
            <v>33</v>
          </cell>
          <cell r="AC30" t="str">
            <v>EV-33</v>
          </cell>
        </row>
        <row r="31">
          <cell r="L31" t="str">
            <v>A</v>
          </cell>
          <cell r="AA31">
            <v>36</v>
          </cell>
          <cell r="AC31" t="str">
            <v>EV-34</v>
          </cell>
        </row>
        <row r="32">
          <cell r="L32" t="str">
            <v>A</v>
          </cell>
          <cell r="AA32">
            <v>39</v>
          </cell>
          <cell r="AC32" t="str">
            <v>EV-35</v>
          </cell>
        </row>
        <row r="33">
          <cell r="L33" t="str">
            <v>A</v>
          </cell>
          <cell r="AA33">
            <v>41</v>
          </cell>
          <cell r="AC33" t="str">
            <v>EV-36</v>
          </cell>
        </row>
        <row r="34">
          <cell r="L34" t="str">
            <v>A</v>
          </cell>
          <cell r="AA34">
            <v>61</v>
          </cell>
          <cell r="AC34" t="str">
            <v>EV-39</v>
          </cell>
        </row>
        <row r="35">
          <cell r="L35" t="str">
            <v>B</v>
          </cell>
          <cell r="AA35">
            <v>67</v>
          </cell>
          <cell r="AC35" t="str">
            <v>EV-41</v>
          </cell>
        </row>
        <row r="36">
          <cell r="L36" t="str">
            <v>A-</v>
          </cell>
          <cell r="AA36">
            <v>71</v>
          </cell>
          <cell r="AC36" t="str">
            <v>EV-42</v>
          </cell>
        </row>
        <row r="37">
          <cell r="L37" t="str">
            <v>A</v>
          </cell>
          <cell r="AA37">
            <v>74</v>
          </cell>
          <cell r="AC37" t="str">
            <v>EV-43</v>
          </cell>
        </row>
        <row r="38">
          <cell r="L38" t="str">
            <v>A</v>
          </cell>
          <cell r="AA38">
            <v>77</v>
          </cell>
          <cell r="AC38" t="str">
            <v>EV-44</v>
          </cell>
        </row>
        <row r="39">
          <cell r="L39" t="str">
            <v>A</v>
          </cell>
          <cell r="AA39">
            <v>85</v>
          </cell>
          <cell r="AC39" t="str">
            <v>EV-46</v>
          </cell>
        </row>
        <row r="40">
          <cell r="L40" t="str">
            <v>B+</v>
          </cell>
          <cell r="AA40">
            <v>91</v>
          </cell>
          <cell r="AC40" t="str">
            <v>EV-47</v>
          </cell>
        </row>
        <row r="41">
          <cell r="L41" t="str">
            <v>B</v>
          </cell>
          <cell r="AA41">
            <v>93</v>
          </cell>
          <cell r="AC41" t="str">
            <v>EV-48</v>
          </cell>
        </row>
        <row r="42">
          <cell r="L42" t="str">
            <v>A-</v>
          </cell>
          <cell r="AA42">
            <v>94</v>
          </cell>
          <cell r="AC42" t="str">
            <v>EV-49</v>
          </cell>
        </row>
        <row r="43">
          <cell r="L43" t="str">
            <v>B</v>
          </cell>
          <cell r="AA43">
            <v>95</v>
          </cell>
          <cell r="AC43" t="str">
            <v>EV-50</v>
          </cell>
        </row>
        <row r="44">
          <cell r="L44" t="str">
            <v>B</v>
          </cell>
          <cell r="AA44">
            <v>100</v>
          </cell>
          <cell r="AC44" t="str">
            <v>EV-52</v>
          </cell>
        </row>
        <row r="45">
          <cell r="L45" t="str">
            <v>A</v>
          </cell>
          <cell r="AA45">
            <v>106</v>
          </cell>
          <cell r="AC45" t="str">
            <v>EV-54</v>
          </cell>
        </row>
        <row r="46">
          <cell r="L46" t="str">
            <v>B</v>
          </cell>
          <cell r="AA46">
            <v>109</v>
          </cell>
          <cell r="AC46" t="str">
            <v>EV-55</v>
          </cell>
        </row>
        <row r="47">
          <cell r="L47" t="str">
            <v>A</v>
          </cell>
          <cell r="AA47">
            <v>110</v>
          </cell>
          <cell r="AC47" t="str">
            <v>EV-56</v>
          </cell>
        </row>
        <row r="48">
          <cell r="L48" t="str">
            <v>B+</v>
          </cell>
          <cell r="AA48">
            <v>111</v>
          </cell>
          <cell r="AC48" t="str">
            <v>EV-57</v>
          </cell>
        </row>
        <row r="49">
          <cell r="L49" t="str">
            <v>A-</v>
          </cell>
          <cell r="AA49">
            <v>114</v>
          </cell>
          <cell r="AC49" t="str">
            <v>EV-58</v>
          </cell>
        </row>
        <row r="50">
          <cell r="L50" t="str">
            <v>A</v>
          </cell>
          <cell r="AA50">
            <v>116</v>
          </cell>
          <cell r="AC50" t="str">
            <v>EV-59</v>
          </cell>
        </row>
        <row r="51">
          <cell r="L51" t="str">
            <v>A</v>
          </cell>
          <cell r="AA51">
            <v>117</v>
          </cell>
          <cell r="AC51" t="str">
            <v>EV-60</v>
          </cell>
        </row>
        <row r="52">
          <cell r="L52" t="str">
            <v>B+</v>
          </cell>
          <cell r="AA52">
            <v>120</v>
          </cell>
          <cell r="AC52" t="str">
            <v>EV-61</v>
          </cell>
        </row>
        <row r="53">
          <cell r="L53" t="str">
            <v>A</v>
          </cell>
          <cell r="AA53">
            <v>127</v>
          </cell>
          <cell r="AC53" t="str">
            <v>EV-62</v>
          </cell>
        </row>
        <row r="54">
          <cell r="L54" t="str">
            <v>B+</v>
          </cell>
          <cell r="AA54">
            <v>35</v>
          </cell>
          <cell r="AC54" t="str">
            <v>EV-63</v>
          </cell>
        </row>
        <row r="55">
          <cell r="L55" t="str">
            <v>A-</v>
          </cell>
          <cell r="AA55">
            <v>55</v>
          </cell>
          <cell r="AC55" t="str">
            <v>EV-64</v>
          </cell>
        </row>
        <row r="56">
          <cell r="L56" t="str">
            <v>A</v>
          </cell>
          <cell r="AA56">
            <v>57</v>
          </cell>
          <cell r="AC56" t="str">
            <v>EV-65</v>
          </cell>
        </row>
        <row r="57">
          <cell r="L57" t="str">
            <v>A-</v>
          </cell>
          <cell r="AA57">
            <v>79</v>
          </cell>
          <cell r="AC57" t="str">
            <v>EV-67</v>
          </cell>
        </row>
        <row r="58">
          <cell r="L58" t="str">
            <v>A-</v>
          </cell>
          <cell r="AA58">
            <v>103</v>
          </cell>
          <cell r="AC58" t="str">
            <v>EV-68</v>
          </cell>
        </row>
      </sheetData>
      <sheetData sheetId="15">
        <row r="2">
          <cell r="A2" t="str">
            <v>NCT01726582</v>
          </cell>
          <cell r="B2" t="str">
            <v>Single-arm</v>
          </cell>
          <cell r="C2">
            <v>130</v>
          </cell>
          <cell r="D2" t="str">
            <v>Personalized periop (chemo/CRT/surgery)</v>
          </cell>
          <cell r="E2" t="str">
            <v>Resectable/Borderline</v>
          </cell>
          <cell r="F2" t="str">
            <v>Completion to surgery (feasibility)</v>
          </cell>
        </row>
        <row r="3">
          <cell r="A3" t="str">
            <v>NCT00536874</v>
          </cell>
          <cell r="B3" t="str">
            <v>Single-arm</v>
          </cell>
          <cell r="C3">
            <v>35</v>
          </cell>
          <cell r="D3" t="str">
            <v>Gemcitabine + Oxaliplatin (neoadjuvant)</v>
          </cell>
          <cell r="E3" t="str">
            <v>Resectable</v>
          </cell>
          <cell r="F3" t="str">
            <v>OS rate (18 mo)</v>
          </cell>
        </row>
        <row r="4">
          <cell r="A4" t="str">
            <v>NCT01926197</v>
          </cell>
          <cell r="B4" t="str">
            <v>Randomized</v>
          </cell>
          <cell r="C4" t="str">
            <v>13/12</v>
          </cell>
          <cell r="D4" t="str">
            <v>mFOLFIRINOX vs mFOLFIRINOX+SBRT</v>
          </cell>
          <cell r="E4" t="str">
            <v>Locally advanced (unresectable)</v>
          </cell>
          <cell r="F4" t="str">
            <v>PFS (median)</v>
          </cell>
        </row>
        <row r="5">
          <cell r="A5" t="str">
            <v>NCT00810719</v>
          </cell>
          <cell r="B5" t="str">
            <v>Single-arm</v>
          </cell>
          <cell r="C5">
            <v>30</v>
          </cell>
          <cell r="D5" t="str">
            <v>Gemcitabine + Erlotinib</v>
          </cell>
          <cell r="E5" t="str">
            <v>Advanced/Metastatic</v>
          </cell>
          <cell r="F5" t="str">
            <v>PFS (median)</v>
          </cell>
        </row>
        <row r="6">
          <cell r="A6" t="str">
            <v>NCT00769483</v>
          </cell>
          <cell r="B6" t="str">
            <v>Phase I/II, non-randomized, multi-arm</v>
          </cell>
          <cell r="C6" t="str">
            <v>~15/arm</v>
          </cell>
          <cell r="D6" t="str">
            <v>MK-0646 + Gem ± Erlotinib</v>
          </cell>
          <cell r="E6" t="str">
            <v>Stage IV (metastatic)</v>
          </cell>
          <cell r="F6" t="str">
            <v>MTD + PFS (time to progression/death)</v>
          </cell>
        </row>
        <row r="7">
          <cell r="A7" t="str">
            <v>NCT00365144</v>
          </cell>
          <cell r="B7" t="str">
            <v>Single-arm</v>
          </cell>
          <cell r="C7">
            <v>36</v>
          </cell>
          <cell r="D7" t="str">
            <v>Bevacizumab + Erlotinib</v>
          </cell>
          <cell r="E7" t="str">
            <v>Metastatic, gemcitabine-refractory</v>
          </cell>
          <cell r="F7" t="str">
            <v>OS rate (6 mo) + safety</v>
          </cell>
        </row>
        <row r="8">
          <cell r="A8" t="str">
            <v>NCT00550836</v>
          </cell>
          <cell r="B8" t="str">
            <v>Randomized</v>
          </cell>
          <cell r="C8" t="str">
            <v>46 / 46</v>
          </cell>
          <cell r="D8" t="str">
            <v>Gemcitabine+Erlotinib vs +Panitumumab</v>
          </cell>
          <cell r="E8" t="str">
            <v>Metastatic</v>
          </cell>
          <cell r="F8" t="str">
            <v>OS (median; Arm B vs Arm A)</v>
          </cell>
        </row>
        <row r="9">
          <cell r="A9" t="str">
            <v>NCT03941093</v>
          </cell>
          <cell r="B9" t="str">
            <v>Randomized, double-blind</v>
          </cell>
          <cell r="C9" t="str">
            <v>143 / 141</v>
          </cell>
          <cell r="D9" t="str">
            <v>Pamrevlumab + G/nab-P or FOLFIRINOX vs Placebo + G/nab-P or FOLFIRINOX</v>
          </cell>
          <cell r="E9" t="str">
            <v>Locally advanced unresectable</v>
          </cell>
          <cell r="F9" t="str">
            <v>OS</v>
          </cell>
        </row>
        <row r="10">
          <cell r="A10" t="str">
            <v>NCT00408564</v>
          </cell>
          <cell r="B10" t="str">
            <v>Single-arm</v>
          </cell>
          <cell r="C10" t="str">
            <v>38–39</v>
          </cell>
          <cell r="D10" t="str">
            <v>Gemcitabine + Oxaliplatin + Cetuximab → reassessment → surgery or RT/capecitabine</v>
          </cell>
          <cell r="E10" t="str">
            <v>Locally advanced unresectable, nonmetastatic</v>
          </cell>
          <cell r="F10" t="str">
            <v>PFS rate at 6 mo</v>
          </cell>
        </row>
        <row r="11">
          <cell r="A11" t="str">
            <v>NCT00521404</v>
          </cell>
          <cell r="B11" t="str">
            <v>Single-arm</v>
          </cell>
          <cell r="C11">
            <v>61</v>
          </cell>
          <cell r="D11" t="str">
            <v>CS-1008 (anti-DR5) + gemcitabine</v>
          </cell>
          <cell r="E11" t="str">
            <v>Unresectable / metastatic (chemo-naïve)</v>
          </cell>
          <cell r="F11" t="str">
            <v>PFS rate at 16 weeks</v>
          </cell>
        </row>
        <row r="12">
          <cell r="A12" t="str">
            <v>NCT00417976</v>
          </cell>
          <cell r="B12" t="str">
            <v>Single-arm</v>
          </cell>
          <cell r="C12" t="str">
            <v>39–40</v>
          </cell>
          <cell r="D12" t="str">
            <v>Bevacizumab + Gemcitabine + infusional 5-FU</v>
          </cell>
          <cell r="E12" t="str">
            <v>Stage III–IV</v>
          </cell>
          <cell r="F12" t="str">
            <v>PFS rate at 6 mo</v>
          </cell>
        </row>
        <row r="13">
          <cell r="A13" t="str">
            <v>NCT00499486</v>
          </cell>
          <cell r="B13" t="str">
            <v>Single-arm</v>
          </cell>
          <cell r="C13">
            <v>31</v>
          </cell>
          <cell r="D13" t="str">
            <v>Sirolimus monotherapy</v>
          </cell>
          <cell r="E13" t="str">
            <v>Advanced PDAC, post-gemcitabine (refractory)</v>
          </cell>
          <cell r="F13" t="str">
            <v>OS rate at 6 months</v>
          </cell>
        </row>
        <row r="14">
          <cell r="A14" t="str">
            <v>NCT01560949</v>
          </cell>
          <cell r="B14" t="str">
            <v>Single-arm</v>
          </cell>
          <cell r="C14">
            <v>33</v>
          </cell>
          <cell r="D14" t="str">
            <v>mFOLFIRINOX → gemcitabine-based CRT → surgery</v>
          </cell>
          <cell r="E14" t="str">
            <v>Borderline resectable / high-risk resectable</v>
          </cell>
          <cell r="F14" t="str">
            <v>Resectability rate</v>
          </cell>
        </row>
        <row r="15">
          <cell r="A15" t="str">
            <v>NCT01146054</v>
          </cell>
          <cell r="B15" t="str">
            <v>Single-arm</v>
          </cell>
          <cell r="C15">
            <v>49</v>
          </cell>
          <cell r="D15" t="str">
            <v>SBRT + Gemcitabine</v>
          </cell>
          <cell r="E15" t="str">
            <v>Locally advanced unresectable, nonmetastatic</v>
          </cell>
          <cell r="F15" t="str">
            <v>Late GI toxicity ≥Grade 2 at 1 year</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CF0FE50-E0E9-45A9-ADA9-EEE57B3834A9}">
  <we:reference id="wa200010725" version="1.0.0.1" store="en-US" storeType="OMEX"/>
  <we:alternateReferences>
    <we:reference id="WA200010725" version="1.0.0.1" store="" storeType="OMEX"/>
  </we:alternateReferences>
  <we:properties>
    <we:property name="claude.fileId" value="&quot;f35c016d-ae47-4c53-bc4a-a1c1c7d30870&quot;"/>
  </we:properties>
  <we:bindings/>
  <we:snapshot xmlns:r="http://schemas.openxmlformats.org/officeDocument/2006/relationships"/>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0525A-F9D7-4C51-AD11-EC626F6C3202}">
  <dimension ref="A1:Y312"/>
  <sheetViews>
    <sheetView tabSelected="1" zoomScale="60" zoomScaleNormal="60" workbookViewId="0">
      <pane ySplit="4" topLeftCell="A5" activePane="bottomLeft" state="frozen"/>
      <selection pane="bottomLeft"/>
    </sheetView>
  </sheetViews>
  <sheetFormatPr defaultRowHeight="14.4" x14ac:dyDescent="0.3"/>
  <cols>
    <col min="1" max="1" width="10" customWidth="1"/>
    <col min="2" max="2" width="15.5546875" customWidth="1"/>
    <col min="3" max="3" width="6.6640625" customWidth="1"/>
    <col min="4" max="4" width="61.109375" customWidth="1"/>
    <col min="5" max="5" width="28.88671875" customWidth="1"/>
    <col min="6" max="6" width="18.88671875" customWidth="1"/>
    <col min="7" max="7" width="33.33203125" customWidth="1"/>
    <col min="8" max="8" width="10" customWidth="1"/>
    <col min="9" max="10" width="13.33203125" customWidth="1"/>
    <col min="11" max="11" width="33.33203125" customWidth="1"/>
    <col min="12" max="12" width="12.21875" customWidth="1"/>
    <col min="13" max="13" width="35.5546875" customWidth="1"/>
    <col min="14" max="15" width="10" customWidth="1"/>
    <col min="16" max="16" width="22.21875" customWidth="1"/>
    <col min="17" max="17" width="33.33203125" customWidth="1"/>
    <col min="18" max="18" width="77.77734375" customWidth="1"/>
    <col min="19" max="20" width="3.33203125" customWidth="1"/>
    <col min="21" max="21" width="15.5546875" customWidth="1"/>
    <col min="22" max="22" width="44.44140625" customWidth="1"/>
    <col min="23" max="23" width="31.109375" customWidth="1"/>
    <col min="24" max="24" width="66.6640625" customWidth="1"/>
    <col min="25" max="25" width="6.6640625" customWidth="1"/>
  </cols>
  <sheetData>
    <row r="1" spans="1:25" ht="18" x14ac:dyDescent="0.35">
      <c r="A1" s="1" t="s">
        <v>0</v>
      </c>
    </row>
    <row r="2" spans="1:25" x14ac:dyDescent="0.3">
      <c r="A2" s="2" t="s">
        <v>1</v>
      </c>
    </row>
    <row r="4" spans="1:25" ht="60" customHeight="1" thickBot="1" x14ac:dyDescent="0.35">
      <c r="A4" s="3" t="s">
        <v>2</v>
      </c>
      <c r="B4" s="3" t="s">
        <v>3</v>
      </c>
      <c r="C4" s="3" t="s">
        <v>4</v>
      </c>
      <c r="D4" s="3" t="s">
        <v>5</v>
      </c>
      <c r="E4" s="3" t="s">
        <v>6</v>
      </c>
      <c r="F4" s="3" t="s">
        <v>7</v>
      </c>
      <c r="G4" s="3" t="s">
        <v>8</v>
      </c>
      <c r="H4" s="3" t="s">
        <v>9</v>
      </c>
      <c r="I4" s="3" t="s">
        <v>10</v>
      </c>
      <c r="J4" s="3" t="s">
        <v>11</v>
      </c>
      <c r="K4" s="3" t="s">
        <v>12</v>
      </c>
      <c r="L4" s="3" t="s">
        <v>13</v>
      </c>
      <c r="M4" s="3" t="s">
        <v>14</v>
      </c>
      <c r="N4" s="3" t="s">
        <v>15</v>
      </c>
      <c r="O4" s="3" t="s">
        <v>16</v>
      </c>
      <c r="P4" s="3" t="s">
        <v>17</v>
      </c>
      <c r="Q4" s="3" t="s">
        <v>18</v>
      </c>
      <c r="R4" s="3" t="s">
        <v>19</v>
      </c>
      <c r="U4" s="3" t="s">
        <v>20</v>
      </c>
      <c r="V4" s="3" t="s">
        <v>21</v>
      </c>
      <c r="W4" s="3" t="s">
        <v>22</v>
      </c>
      <c r="X4" s="3" t="s">
        <v>23</v>
      </c>
      <c r="Y4" s="3" t="s">
        <v>24</v>
      </c>
    </row>
    <row r="5" spans="1:25" ht="57.6" x14ac:dyDescent="0.3">
      <c r="A5" s="4">
        <f>'[1]Abstract review'!C5</f>
        <v>1</v>
      </c>
      <c r="B5" s="4" t="str">
        <f>IFERROR(LEFT('[1]Abstract review'!D5,FIND(";",'[1]Abstract review'!D5)-1),'[1]Abstract review'!D5)</f>
        <v>Y. Zhang</v>
      </c>
      <c r="C5" s="5" t="str">
        <f>'[1]Abstract review'!E5&amp;""</f>
        <v>2026</v>
      </c>
      <c r="D5" s="4" t="str">
        <f>'[1]Abstract review'!F5</f>
        <v>Single-Cell Analysis of Chemotherapy-induced Remodeling Reveals CD276-driven Basal-like Chemoresistance in Pancreatic Cancer</v>
      </c>
      <c r="E5" s="4" t="str">
        <f>IF('[1]Abstract review'!G5="","",'[1]Abstract review'!G5)</f>
        <v>10.1053/j.gastro.2025.09.043</v>
      </c>
      <c r="F5" s="4" t="str">
        <f>IF('[1]Abstract review'!I5="I","Include → full text",IF('[1]Abstract review'!I5="E","Exclude",IF('[1]Abstract review'!I5="DUP","Duplicate — removed",'[1]Abstract review'!I5)))</f>
        <v>Exclude</v>
      </c>
      <c r="G5" s="4" t="str">
        <f>IF('[1]Abstract review'!I5="E",'[1]Abstract review'!J5,"")</f>
        <v>No survival outcome</v>
      </c>
      <c r="H5" s="4"/>
      <c r="I5" s="4"/>
      <c r="J5" s="4"/>
      <c r="K5" s="4"/>
      <c r="L5" s="6" t="str">
        <f t="shared" ref="L5:L68" si="0">IF(H5="","",IF(K5&lt;&gt;"","Exclude",IF(J5="yes","Include","Exclude")))</f>
        <v/>
      </c>
      <c r="M5" s="6" t="str">
        <f t="shared" ref="M5:M68" si="1">IF(L5&lt;&gt;"Exclude","",IF(K5&lt;&gt;"",IF(ISNUMBER(SEARCH("biomarker modality",K5)),"Biomarker modality not transcriptomic/proteomic","Primary question not prognostic; adjustment unclear"),IF(J5="NA","No adjusted multivariable model fitted",IF(J5="no","Biomarker not independent after adjustment","Unclear whether an adjusted model was fitted"))))</f>
        <v/>
      </c>
      <c r="N5" s="6" t="str">
        <f>IF(L5="Include",IFERROR(INDEX('[1]Data extraction'!$AC$2:$AC$58,MATCH(H5+1,'[1]Data extraction'!$AA$2:$AA$58,0)),"not found"),"")</f>
        <v/>
      </c>
      <c r="O5" s="6" t="str">
        <f>IF(N5="","",IFERROR(INDEX('[1]Data extraction'!$L$2:$L$58,MATCH(N5,'[1]Data extraction'!$AC$2:$AC$58,0)),""))</f>
        <v/>
      </c>
      <c r="P5" s="7" t="str">
        <f t="shared" ref="P5:P68" si="2">IF(F5="Exclude","Excluded at title/abstract",IF(LEFT(F5,9)="Duplicate","Duplicate removed",IF(L5="Include","INCLUDED","Excluded at full text")))</f>
        <v>Excluded at title/abstract</v>
      </c>
      <c r="Q5" s="6" t="str">
        <f t="shared" ref="Q5:Q68" si="3">IF(P5="INCLUDED",$W$23,IFERROR(INDEX($W$5:$W$22,MATCH(IF(G5&lt;&gt;"",G5,M5),$V$5:$V$22,0)),IF(P5="Duplicate removed","Duplicate record","")))</f>
        <v>Outcomes</v>
      </c>
      <c r="R5" s="4"/>
      <c r="U5" s="8" t="s">
        <v>25</v>
      </c>
      <c r="V5" s="9" t="s">
        <v>26</v>
      </c>
      <c r="W5" s="9" t="s">
        <v>27</v>
      </c>
      <c r="X5" s="9" t="str">
        <f>[1]PICOS!$E$8</f>
        <v>Studies focused exclusively on non-PDAC malignancies, including pancreatic neuroendocrine neoplasms, periampullary cancers, ampullary cancers, cholangiocarcinoma, acinar cell carcinoma, or mixed pancreatic tumour populations where PDAC-specific results cannot be disaggregated</v>
      </c>
      <c r="Y5" s="8">
        <f t="shared" ref="Y5:Y16" si="4">COUNTIF($G$5:$G$294,V5)</f>
        <v>35</v>
      </c>
    </row>
    <row r="6" spans="1:25" ht="115.2" x14ac:dyDescent="0.3">
      <c r="A6" s="4">
        <f>'[1]Abstract review'!C6</f>
        <v>2</v>
      </c>
      <c r="B6" s="4" t="str">
        <f>IFERROR(LEFT('[1]Abstract review'!D6,FIND(";",'[1]Abstract review'!D6)-1),'[1]Abstract review'!D6)</f>
        <v>Hao Yang</v>
      </c>
      <c r="C6" s="5" t="str">
        <f>'[1]Abstract review'!E6&amp;""</f>
        <v>2026</v>
      </c>
      <c r="D6" s="4" t="str">
        <f>'[1]Abstract review'!F6</f>
        <v>UNC93B1 promotes pancreatic cancer progression through modulation of cGAS-STING signaling</v>
      </c>
      <c r="E6" s="4" t="str">
        <f>IF('[1]Abstract review'!G6="","",'[1]Abstract review'!G6)</f>
        <v>10.3389/fimmu.2026.1718849</v>
      </c>
      <c r="F6" s="4" t="str">
        <f>IF('[1]Abstract review'!I6="I","Include → full text",IF('[1]Abstract review'!I6="E","Exclude",IF('[1]Abstract review'!I6="DUP","Duplicate — removed",'[1]Abstract review'!I6)))</f>
        <v>Include → full text</v>
      </c>
      <c r="G6" s="4" t="str">
        <f>IF('[1]Abstract review'!I6="E",'[1]Abstract review'!J6,"")</f>
        <v/>
      </c>
      <c r="H6" s="4">
        <f>'[1]Full-text screening-extraction'!A2</f>
        <v>1</v>
      </c>
      <c r="I6" s="4" t="str">
        <f>IF('[1]Full-text screening-extraction'!AB2="","",'[1]Full-text screening-extraction'!AB2)</f>
        <v>no</v>
      </c>
      <c r="J6" s="4" t="str">
        <f>IF('[1]Full-text screening-extraction'!AC2="","",'[1]Full-text screening-extraction'!AC2)</f>
        <v>NA</v>
      </c>
      <c r="K6" s="4" t="str">
        <f>IF('[1]Full-text screening-extraction'!AG2="","",'[1]Full-text screening-extraction'!AG2)</f>
        <v/>
      </c>
      <c r="L6" s="6" t="str">
        <f t="shared" si="0"/>
        <v>Exclude</v>
      </c>
      <c r="M6" s="6" t="str">
        <f t="shared" si="1"/>
        <v>No adjusted multivariable model fitted</v>
      </c>
      <c r="N6" s="6" t="str">
        <f>IF(L6="Include",IFERROR(INDEX('[1]Data extraction'!$AC$2:$AC$58,MATCH(H6+1,'[1]Data extraction'!$AA$2:$AA$58,0)),"not found"),"")</f>
        <v/>
      </c>
      <c r="O6" s="6" t="str">
        <f>IF(N6="","",IFERROR(INDEX('[1]Data extraction'!$L$2:$L$58,MATCH(N6,'[1]Data extraction'!$AC$2:$AC$58,0)),""))</f>
        <v/>
      </c>
      <c r="P6" s="7" t="str">
        <f t="shared" si="2"/>
        <v>Excluded at full text</v>
      </c>
      <c r="Q6" s="6" t="str">
        <f t="shared" si="3"/>
        <v>Analysis &amp; synthesis eligibility</v>
      </c>
      <c r="R6" s="4" t="str">
        <f>IF(P6&lt;&gt;"INCLUDED","",'[1]Full-text screening-extraction'!M2&amp;" ("&amp;'[1]Full-text screening-extraction'!K2&amp;"); outcome: "&amp;'[1]Full-text screening-extraction'!P2&amp;"; multivariable: "&amp;LEFT('[1]Full-text screening-extraction'!T2,120)&amp;" | adjusted for: "&amp;LEFT('[1]Full-text screening-extraction'!U2,100))</f>
        <v/>
      </c>
      <c r="U6" s="8" t="s">
        <v>25</v>
      </c>
      <c r="V6" s="9" t="s">
        <v>28</v>
      </c>
      <c r="W6" s="9" t="s">
        <v>29</v>
      </c>
      <c r="X6" s="9" t="str">
        <f>[1]PICOS!$E$7</f>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
      <c r="Y6" s="8">
        <f t="shared" si="4"/>
        <v>27</v>
      </c>
    </row>
    <row r="7" spans="1:25" ht="115.2" x14ac:dyDescent="0.3">
      <c r="A7" s="4">
        <f>'[1]Abstract review'!C7</f>
        <v>3</v>
      </c>
      <c r="B7" s="4" t="str">
        <f>IFERROR(LEFT('[1]Abstract review'!D7,FIND(";",'[1]Abstract review'!D7)-1),'[1]Abstract review'!D7)</f>
        <v>K. Yamazaki</v>
      </c>
      <c r="C7" s="5" t="str">
        <f>'[1]Abstract review'!E7&amp;""</f>
        <v>2026</v>
      </c>
      <c r="D7" s="4" t="str">
        <f>'[1]Abstract review'!F7</f>
        <v>MEG3 Promoter Methylation and F11 Receptor (F11R) Overexpression Define a High-Risk Subtype of Diabetic Pancreatic Cancer</v>
      </c>
      <c r="E7" s="4" t="str">
        <f>IF('[1]Abstract review'!G7="","",'[1]Abstract review'!G7)</f>
        <v>10.1016/j.modpat.2025.100953</v>
      </c>
      <c r="F7" s="4" t="str">
        <f>IF('[1]Abstract review'!I7="I","Include → full text",IF('[1]Abstract review'!I7="E","Exclude",IF('[1]Abstract review'!I7="DUP","Duplicate — removed",'[1]Abstract review'!I7)))</f>
        <v>Include → full text</v>
      </c>
      <c r="G7" s="4" t="str">
        <f>IF('[1]Abstract review'!I7="E",'[1]Abstract review'!J7,"")</f>
        <v/>
      </c>
      <c r="H7" s="4">
        <f>'[1]Full-text screening-extraction'!A3</f>
        <v>2</v>
      </c>
      <c r="I7" s="4" t="str">
        <f>IF('[1]Full-text screening-extraction'!AB3="","",'[1]Full-text screening-extraction'!AB3)</f>
        <v>yes</v>
      </c>
      <c r="J7" s="4" t="str">
        <f>IF('[1]Full-text screening-extraction'!AC3="","",'[1]Full-text screening-extraction'!AC3)</f>
        <v>yes</v>
      </c>
      <c r="K7" s="4" t="str">
        <f>IF('[1]Full-text screening-extraction'!AG3="","",'[1]Full-text screening-extraction'!AG3)</f>
        <v>Excluded — biomarker modality: independent result is for a composite of MEG3 promoter DNA methylation (epigenetic/DNA marker) + F11R protein; not a transcriptomic/proteomic marker</v>
      </c>
      <c r="L7" s="6" t="str">
        <f t="shared" si="0"/>
        <v>Exclude</v>
      </c>
      <c r="M7" s="6" t="str">
        <f t="shared" si="1"/>
        <v>Biomarker modality not transcriptomic/proteomic</v>
      </c>
      <c r="N7" s="6" t="str">
        <f>IF(L7="Include",IFERROR(INDEX('[1]Data extraction'!$AC$2:$AC$58,MATCH(H7+1,'[1]Data extraction'!$AA$2:$AA$58,0)),"not found"),"")</f>
        <v/>
      </c>
      <c r="O7" s="6" t="str">
        <f>IF(N7="","",IFERROR(INDEX('[1]Data extraction'!$L$2:$L$58,MATCH(N7,'[1]Data extraction'!$AC$2:$AC$58,0)),""))</f>
        <v/>
      </c>
      <c r="P7" s="7" t="str">
        <f t="shared" si="2"/>
        <v>Excluded at full text</v>
      </c>
      <c r="Q7" s="6" t="str">
        <f t="shared" si="3"/>
        <v>Biomarker modality &amp; sample type</v>
      </c>
      <c r="R7" s="4" t="str">
        <f>IF(P7&lt;&gt;"INCLUDED","",'[1]Full-text screening-extraction'!M3&amp;" ("&amp;'[1]Full-text screening-extraction'!K3&amp;"); outcome: "&amp;'[1]Full-text screening-extraction'!P3&amp;"; multivariable: "&amp;LEFT('[1]Full-text screening-extraction'!T3,120)&amp;" | adjusted for: "&amp;LEFT('[1]Full-text screening-extraction'!U3,100))</f>
        <v/>
      </c>
      <c r="U7" s="8" t="s">
        <v>25</v>
      </c>
      <c r="V7" s="9" t="s">
        <v>30</v>
      </c>
      <c r="W7" s="9" t="s">
        <v>29</v>
      </c>
      <c r="X7" s="9" t="str">
        <f>[1]PICOS!$E$7</f>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
      <c r="Y7" s="8">
        <f t="shared" si="4"/>
        <v>1</v>
      </c>
    </row>
    <row r="8" spans="1:25" ht="115.2" x14ac:dyDescent="0.3">
      <c r="A8" s="4">
        <f>'[1]Abstract review'!C8</f>
        <v>4</v>
      </c>
      <c r="B8" s="4" t="str">
        <f>IFERROR(LEFT('[1]Abstract review'!D8,FIND(";",'[1]Abstract review'!D8)-1),'[1]Abstract review'!D8)</f>
        <v>Z. Xie</v>
      </c>
      <c r="C8" s="5" t="str">
        <f>'[1]Abstract review'!E8&amp;""</f>
        <v>2026</v>
      </c>
      <c r="D8" s="4" t="str">
        <f>'[1]Abstract review'!F8</f>
        <v>Integrative multi-omics and radiogenomic profiling decodes NNK-related tumor remodeling and prognostic stratification in pancreatic cancer</v>
      </c>
      <c r="E8" s="4" t="str">
        <f>IF('[1]Abstract review'!G8="","",'[1]Abstract review'!G8)</f>
        <v>10.1097/js9.0000000000004732</v>
      </c>
      <c r="F8" s="4" t="str">
        <f>IF('[1]Abstract review'!I8="I","Include → full text",IF('[1]Abstract review'!I8="E","Exclude",IF('[1]Abstract review'!I8="DUP","Duplicate — removed",'[1]Abstract review'!I8)))</f>
        <v>Exclude</v>
      </c>
      <c r="G8" s="4" t="str">
        <f>IF('[1]Abstract review'!I8="E",'[1]Abstract review'!J8,"")</f>
        <v>Diagnostic value</v>
      </c>
      <c r="H8" s="4"/>
      <c r="I8" s="4"/>
      <c r="J8" s="4"/>
      <c r="K8" s="4"/>
      <c r="L8" s="6" t="str">
        <f t="shared" si="0"/>
        <v/>
      </c>
      <c r="M8" s="6" t="str">
        <f t="shared" si="1"/>
        <v/>
      </c>
      <c r="N8" s="6" t="str">
        <f>IF(L8="Include",IFERROR(INDEX('[1]Data extraction'!$AC$2:$AC$58,MATCH(H8+1,'[1]Data extraction'!$AA$2:$AA$58,0)),"not found"),"")</f>
        <v/>
      </c>
      <c r="O8" s="6" t="str">
        <f>IF(N8="","",IFERROR(INDEX('[1]Data extraction'!$L$2:$L$58,MATCH(N8,'[1]Data extraction'!$AC$2:$AC$58,0)),""))</f>
        <v/>
      </c>
      <c r="P8" s="7" t="str">
        <f t="shared" si="2"/>
        <v>Excluded at title/abstract</v>
      </c>
      <c r="Q8" s="6" t="str">
        <f t="shared" si="3"/>
        <v>Outcomes</v>
      </c>
      <c r="R8" s="4"/>
      <c r="U8" s="8" t="s">
        <v>25</v>
      </c>
      <c r="V8" s="9" t="s">
        <v>31</v>
      </c>
      <c r="W8" s="9" t="s">
        <v>29</v>
      </c>
      <c r="X8" s="9" t="str">
        <f>[1]PICOS!$E$7</f>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
      <c r="Y8" s="8">
        <f t="shared" si="4"/>
        <v>36</v>
      </c>
    </row>
    <row r="9" spans="1:25" ht="43.2" x14ac:dyDescent="0.3">
      <c r="A9" s="4">
        <f>'[1]Abstract review'!C9</f>
        <v>5</v>
      </c>
      <c r="B9" s="4" t="str">
        <f>IFERROR(LEFT('[1]Abstract review'!D9,FIND(";",'[1]Abstract review'!D9)-1),'[1]Abstract review'!D9)</f>
        <v>F. Wu</v>
      </c>
      <c r="C9" s="5" t="str">
        <f>'[1]Abstract review'!E9&amp;""</f>
        <v>2026</v>
      </c>
      <c r="D9" s="4" t="str">
        <f>'[1]Abstract review'!F9</f>
        <v>Integrative immunogenomic profiling identifies CALU as a brown adipocyte-linked modulator of progression and treatment response in pancreatic cancer</v>
      </c>
      <c r="E9" s="4" t="str">
        <f>IF('[1]Abstract review'!G9="","",'[1]Abstract review'!G9)</f>
        <v>10.1007/s12672-025-04309-x</v>
      </c>
      <c r="F9" s="4" t="str">
        <f>IF('[1]Abstract review'!I9="I","Include → full text",IF('[1]Abstract review'!I9="E","Exclude",IF('[1]Abstract review'!I9="DUP","Duplicate — removed",'[1]Abstract review'!I9)))</f>
        <v>Include → full text</v>
      </c>
      <c r="G9" s="4" t="str">
        <f>IF('[1]Abstract review'!I9="E",'[1]Abstract review'!J9,"")</f>
        <v/>
      </c>
      <c r="H9" s="4">
        <f>'[1]Full-text screening-extraction'!A4</f>
        <v>3</v>
      </c>
      <c r="I9" s="4" t="str">
        <f>IF('[1]Full-text screening-extraction'!AB4="","",'[1]Full-text screening-extraction'!AB4)</f>
        <v>no</v>
      </c>
      <c r="J9" s="4" t="str">
        <f>IF('[1]Full-text screening-extraction'!AC4="","",'[1]Full-text screening-extraction'!AC4)</f>
        <v>NA</v>
      </c>
      <c r="K9" s="4" t="str">
        <f>IF('[1]Full-text screening-extraction'!AG4="","",'[1]Full-text screening-extraction'!AG4)</f>
        <v/>
      </c>
      <c r="L9" s="6" t="str">
        <f t="shared" si="0"/>
        <v>Exclude</v>
      </c>
      <c r="M9" s="6" t="str">
        <f t="shared" si="1"/>
        <v>No adjusted multivariable model fitted</v>
      </c>
      <c r="N9" s="6" t="str">
        <f>IF(L9="Include",IFERROR(INDEX('[1]Data extraction'!$AC$2:$AC$58,MATCH(H9+1,'[1]Data extraction'!$AA$2:$AA$58,0)),"not found"),"")</f>
        <v/>
      </c>
      <c r="O9" s="6" t="str">
        <f>IF(N9="","",IFERROR(INDEX('[1]Data extraction'!$L$2:$L$58,MATCH(N9,'[1]Data extraction'!$AC$2:$AC$58,0)),""))</f>
        <v/>
      </c>
      <c r="P9" s="7" t="str">
        <f t="shared" si="2"/>
        <v>Excluded at full text</v>
      </c>
      <c r="Q9" s="6" t="str">
        <f t="shared" si="3"/>
        <v>Analysis &amp; synthesis eligibility</v>
      </c>
      <c r="R9" s="4" t="str">
        <f>IF(P9&lt;&gt;"INCLUDED","",'[1]Full-text screening-extraction'!M4&amp;" ("&amp;'[1]Full-text screening-extraction'!K4&amp;"); outcome: "&amp;'[1]Full-text screening-extraction'!P4&amp;"; multivariable: "&amp;LEFT('[1]Full-text screening-extraction'!T4,120)&amp;" | adjusted for: "&amp;LEFT('[1]Full-text screening-extraction'!U4,100))</f>
        <v/>
      </c>
      <c r="U9" s="8" t="s">
        <v>25</v>
      </c>
      <c r="V9" s="9" t="s">
        <v>32</v>
      </c>
      <c r="W9" s="9" t="s">
        <v>33</v>
      </c>
      <c r="X9" s="9" t="str">
        <f>[1]PICOS!$E$11</f>
        <v>Studies not reporting survival, recurrence, or other prognostic time-to-event outcomes; studies reporting only treatment response without survival correlation</v>
      </c>
      <c r="Y9" s="8">
        <f t="shared" si="4"/>
        <v>16</v>
      </c>
    </row>
    <row r="10" spans="1:25" ht="43.2" x14ac:dyDescent="0.3">
      <c r="A10" s="4">
        <f>'[1]Abstract review'!C10</f>
        <v>6</v>
      </c>
      <c r="B10" s="4" t="str">
        <f>IFERROR(LEFT('[1]Abstract review'!D10,FIND(";",'[1]Abstract review'!D10)-1),'[1]Abstract review'!D10)</f>
        <v>X. Wang</v>
      </c>
      <c r="C10" s="5" t="str">
        <f>'[1]Abstract review'!E10&amp;""</f>
        <v>2026</v>
      </c>
      <c r="D10" s="4" t="str">
        <f>'[1]Abstract review'!F10</f>
        <v>Transgelin defines pro-tumorigenic cancer-associated fibroblasts in pancreatic cancer</v>
      </c>
      <c r="E10" s="4" t="str">
        <f>IF('[1]Abstract review'!G10="","",'[1]Abstract review'!G10)</f>
        <v>10.1038/s41416-025-03299-5</v>
      </c>
      <c r="F10" s="4" t="str">
        <f>IF('[1]Abstract review'!I10="I","Include → full text",IF('[1]Abstract review'!I10="E","Exclude",IF('[1]Abstract review'!I10="DUP","Duplicate — removed",'[1]Abstract review'!I10)))</f>
        <v>Exclude</v>
      </c>
      <c r="G10" s="4" t="str">
        <f>IF('[1]Abstract review'!I10="E",'[1]Abstract review'!J10,"")</f>
        <v>Preclinical studies</v>
      </c>
      <c r="H10" s="4"/>
      <c r="I10" s="4"/>
      <c r="J10" s="4"/>
      <c r="K10" s="4"/>
      <c r="L10" s="6" t="str">
        <f t="shared" si="0"/>
        <v/>
      </c>
      <c r="M10" s="6" t="str">
        <f t="shared" si="1"/>
        <v/>
      </c>
      <c r="N10" s="6" t="str">
        <f>IF(L10="Include",IFERROR(INDEX('[1]Data extraction'!$AC$2:$AC$58,MATCH(H10+1,'[1]Data extraction'!$AA$2:$AA$58,0)),"not found"),"")</f>
        <v/>
      </c>
      <c r="O10" s="6" t="str">
        <f>IF(N10="","",IFERROR(INDEX('[1]Data extraction'!$L$2:$L$58,MATCH(N10,'[1]Data extraction'!$AC$2:$AC$58,0)),""))</f>
        <v/>
      </c>
      <c r="P10" s="7" t="str">
        <f t="shared" si="2"/>
        <v>Excluded at title/abstract</v>
      </c>
      <c r="Q10" s="6" t="str">
        <f t="shared" si="3"/>
        <v>Study design</v>
      </c>
      <c r="R10" s="4"/>
      <c r="U10" s="8" t="s">
        <v>25</v>
      </c>
      <c r="V10" s="9" t="s">
        <v>34</v>
      </c>
      <c r="W10" s="9" t="s">
        <v>33</v>
      </c>
      <c r="X10" s="9" t="str">
        <f>[1]PICOS!$E$11</f>
        <v>Studies not reporting survival, recurrence, or other prognostic time-to-event outcomes; studies reporting only treatment response without survival correlation</v>
      </c>
      <c r="Y10" s="8">
        <f t="shared" si="4"/>
        <v>14</v>
      </c>
    </row>
    <row r="11" spans="1:25" ht="43.2" x14ac:dyDescent="0.3">
      <c r="A11" s="4">
        <f>'[1]Abstract review'!C11</f>
        <v>7</v>
      </c>
      <c r="B11" s="4" t="str">
        <f>IFERROR(LEFT('[1]Abstract review'!D11,FIND(";",'[1]Abstract review'!D11)-1),'[1]Abstract review'!D11)</f>
        <v>J. Wang</v>
      </c>
      <c r="C11" s="5" t="str">
        <f>'[1]Abstract review'!E11&amp;""</f>
        <v>2026</v>
      </c>
      <c r="D11" s="4" t="str">
        <f>'[1]Abstract review'!F11</f>
        <v>Identifying of Ubiquitin-Fold Modifier 1 as a Potential Prognostic Biomarker for Unresectable Pancreatic Cancer by Proteomics Analysis</v>
      </c>
      <c r="E11" s="4" t="str">
        <f>IF('[1]Abstract review'!G11="","",'[1]Abstract review'!G11)</f>
        <v>10.2147/cmar.S573143</v>
      </c>
      <c r="F11" s="4" t="str">
        <f>IF('[1]Abstract review'!I11="I","Include → full text",IF('[1]Abstract review'!I11="E","Exclude",IF('[1]Abstract review'!I11="DUP","Duplicate — removed",'[1]Abstract review'!I11)))</f>
        <v>Include → full text</v>
      </c>
      <c r="G11" s="4" t="str">
        <f>IF('[1]Abstract review'!I11="E",'[1]Abstract review'!J11,"")</f>
        <v/>
      </c>
      <c r="H11" s="4">
        <f>'[1]Full-text screening-extraction'!A5</f>
        <v>4</v>
      </c>
      <c r="I11" s="4" t="str">
        <f>IF('[1]Full-text screening-extraction'!AB5="","",'[1]Full-text screening-extraction'!AB5)</f>
        <v>yes</v>
      </c>
      <c r="J11" s="4" t="str">
        <f>IF('[1]Full-text screening-extraction'!AC5="","",'[1]Full-text screening-extraction'!AC5)</f>
        <v>yes</v>
      </c>
      <c r="K11" s="4" t="str">
        <f>IF('[1]Full-text screening-extraction'!AG5="","",'[1]Full-text screening-extraction'!AG5)</f>
        <v/>
      </c>
      <c r="L11" s="6" t="str">
        <f t="shared" si="0"/>
        <v>Include</v>
      </c>
      <c r="M11" s="6" t="str">
        <f t="shared" si="1"/>
        <v/>
      </c>
      <c r="N11" s="6" t="str">
        <f>IF(L11="Include",IFERROR(INDEX('[1]Data extraction'!$AC$2:$AC$58,MATCH(H11+1,'[1]Data extraction'!$AA$2:$AA$58,0)),"not found"),"")</f>
        <v>EV-02</v>
      </c>
      <c r="O11" s="6" t="str">
        <f>IF(N11="","",IFERROR(INDEX('[1]Data extraction'!$L$2:$L$58,MATCH(N11,'[1]Data extraction'!$AC$2:$AC$58,0)),""))</f>
        <v>B</v>
      </c>
      <c r="P11" s="7" t="str">
        <f t="shared" si="2"/>
        <v>INCLUDED</v>
      </c>
      <c r="Q11" s="6" t="str">
        <f t="shared" si="3"/>
        <v>All PICOS rows + Independent prognostic value</v>
      </c>
      <c r="R11" s="4" t="str">
        <f>IF(P11&lt;&gt;"INCLUDED","",'[1]Full-text screening-extraction'!M5&amp;" ("&amp;'[1]Full-text screening-extraction'!K5&amp;"); outcome: "&amp;'[1]Full-text screening-extraction'!P5&amp;"; multivariable: "&amp;LEFT('[1]Full-text screening-extraction'!T5,120)&amp;" | adjusted for: "&amp;LEFT('[1]Full-text screening-extraction'!U5,100))</f>
        <v>UFM1 protein expression (Proteomics); outcome: PFS and OS; multivariable: PFS: HR 0.343, 95% CI 0.207-0.567, P &lt; 0.001
OS: HR 0.304, 95% CI 0.182-0.510, P &lt; 0.001 | adjusted for: For PFS: TNM stage, UFM1 expression
For OS: TNM stage, treatment regimen, UFM1 expression</v>
      </c>
      <c r="U11" s="8" t="s">
        <v>25</v>
      </c>
      <c r="V11" s="9" t="s">
        <v>35</v>
      </c>
      <c r="W11" s="9" t="s">
        <v>33</v>
      </c>
      <c r="X11" s="9" t="str">
        <f>[1]PICOS!$E$11</f>
        <v>Studies not reporting survival, recurrence, or other prognostic time-to-event outcomes; studies reporting only treatment response without survival correlation</v>
      </c>
      <c r="Y11" s="8">
        <f t="shared" si="4"/>
        <v>7</v>
      </c>
    </row>
    <row r="12" spans="1:25" ht="43.2" x14ac:dyDescent="0.3">
      <c r="A12" s="4">
        <f>'[1]Abstract review'!C12</f>
        <v>8</v>
      </c>
      <c r="B12" s="4" t="str">
        <f>IFERROR(LEFT('[1]Abstract review'!D12,FIND(";",'[1]Abstract review'!D12)-1),'[1]Abstract review'!D12)</f>
        <v>J. Wang</v>
      </c>
      <c r="C12" s="5" t="str">
        <f>'[1]Abstract review'!E12&amp;""</f>
        <v>2026</v>
      </c>
      <c r="D12" s="4" t="str">
        <f>'[1]Abstract review'!F12</f>
        <v>Integrated bioinformatics and pharmacology reveal esculin's mechanism against pancreatic adenocarcinoma drug resistance</v>
      </c>
      <c r="E12" s="4" t="str">
        <f>IF('[1]Abstract review'!G12="","",'[1]Abstract review'!G12)</f>
        <v>10.1016/j.phymed.2025.157583</v>
      </c>
      <c r="F12" s="4" t="str">
        <f>IF('[1]Abstract review'!I12="I","Include → full text",IF('[1]Abstract review'!I12="E","Exclude",IF('[1]Abstract review'!I12="DUP","Duplicate — removed",'[1]Abstract review'!I12)))</f>
        <v>Include → full text</v>
      </c>
      <c r="G12" s="4" t="str">
        <f>IF('[1]Abstract review'!I12="E",'[1]Abstract review'!J12,"")</f>
        <v/>
      </c>
      <c r="H12" s="4">
        <f>'[1]Full-text screening-extraction'!A6</f>
        <v>5</v>
      </c>
      <c r="I12" s="4" t="str">
        <f>IF('[1]Full-text screening-extraction'!AB6="","",'[1]Full-text screening-extraction'!AB6)</f>
        <v>yes</v>
      </c>
      <c r="J12" s="4" t="str">
        <f>IF('[1]Full-text screening-extraction'!AC6="","",'[1]Full-text screening-extraction'!AC6)</f>
        <v>yes</v>
      </c>
      <c r="K12" s="4" t="str">
        <f>IF('[1]Full-text screening-extraction'!AG6="","",'[1]Full-text screening-extraction'!AG6)</f>
        <v/>
      </c>
      <c r="L12" s="6" t="str">
        <f t="shared" si="0"/>
        <v>Include</v>
      </c>
      <c r="M12" s="6" t="str">
        <f t="shared" si="1"/>
        <v/>
      </c>
      <c r="N12" s="6" t="str">
        <f>IF(L12="Include",IFERROR(INDEX('[1]Data extraction'!$AC$2:$AC$58,MATCH(H12+1,'[1]Data extraction'!$AA$2:$AA$58,0)),"not found"),"")</f>
        <v>EV-03</v>
      </c>
      <c r="O12" s="6" t="str">
        <f>IF(N12="","",IFERROR(INDEX('[1]Data extraction'!$L$2:$L$58,MATCH(N12,'[1]Data extraction'!$AC$2:$AC$58,0)),""))</f>
        <v>A-</v>
      </c>
      <c r="P12" s="7" t="str">
        <f t="shared" si="2"/>
        <v>INCLUDED</v>
      </c>
      <c r="Q12" s="6" t="str">
        <f t="shared" si="3"/>
        <v>All PICOS rows + Independent prognostic value</v>
      </c>
      <c r="R12" s="4" t="str">
        <f>IF(P12&lt;&gt;"INCLUDED","",'[1]Full-text screening-extraction'!M6&amp;" ("&amp;'[1]Full-text screening-extraction'!K6&amp;"); outcome: "&amp;'[1]Full-text screening-extraction'!P6&amp;"; multivariable: "&amp;LEFT('[1]Full-text screening-extraction'!T6,120)&amp;" | adjusted for: "&amp;LEFT('[1]Full-text screening-extraction'!U6,100))</f>
        <v>Nine-gene prognostic signature derived from 20 hub genes; hub targets include TP53, EP300, PIAS1; therapeutic compound: esculin (Transcriptomics (scRNA-seq + bulk RNA-seq) + bioinformatics + pharmacology + experimental validation); outcome: Overall survival (OS); multivariable: Nine-gene model demonstrated strong independent prognostic predictive capability (validated across external cohorts); sp | adjusted for: LASSO inherently adjusts for gene interactions; exact clinical covariates not clearly described</v>
      </c>
      <c r="U12" s="8" t="s">
        <v>25</v>
      </c>
      <c r="V12" s="9" t="s">
        <v>36</v>
      </c>
      <c r="W12" s="9" t="s">
        <v>33</v>
      </c>
      <c r="X12" s="9" t="str">
        <f>[1]PICOS!$E$11</f>
        <v>Studies not reporting survival, recurrence, or other prognostic time-to-event outcomes; studies reporting only treatment response without survival correlation</v>
      </c>
      <c r="Y12" s="8">
        <f t="shared" si="4"/>
        <v>3</v>
      </c>
    </row>
    <row r="13" spans="1:25" ht="144" x14ac:dyDescent="0.3">
      <c r="A13" s="4">
        <f>'[1]Abstract review'!C13</f>
        <v>9</v>
      </c>
      <c r="B13" s="4" t="str">
        <f>IFERROR(LEFT('[1]Abstract review'!D13,FIND(";",'[1]Abstract review'!D13)-1),'[1]Abstract review'!D13)</f>
        <v>C. J. Vellan</v>
      </c>
      <c r="C13" s="5" t="str">
        <f>'[1]Abstract review'!E13&amp;""</f>
        <v>2026</v>
      </c>
      <c r="D13" s="4" t="str">
        <f>'[1]Abstract review'!F13</f>
        <v>Circadian-rhythm-based dynamics of the secretome in molecular subtypes of pancreatic ductal adenocarcinoma</v>
      </c>
      <c r="E13" s="4" t="str">
        <f>IF('[1]Abstract review'!G13="","",'[1]Abstract review'!G13)</f>
        <v>10.1080/14789450.2026.2634792</v>
      </c>
      <c r="F13" s="4" t="str">
        <f>IF('[1]Abstract review'!I13="I","Include → full text",IF('[1]Abstract review'!I13="E","Exclude",IF('[1]Abstract review'!I13="DUP","Duplicate — removed",'[1]Abstract review'!I13)))</f>
        <v>Exclude</v>
      </c>
      <c r="G13" s="4" t="str">
        <f>IF('[1]Abstract review'!I13="E",'[1]Abstract review'!J13,"")</f>
        <v>Preclinical studies</v>
      </c>
      <c r="H13" s="4"/>
      <c r="I13" s="4"/>
      <c r="J13" s="4"/>
      <c r="K13" s="4"/>
      <c r="L13" s="6" t="str">
        <f t="shared" si="0"/>
        <v/>
      </c>
      <c r="M13" s="6" t="str">
        <f t="shared" si="1"/>
        <v/>
      </c>
      <c r="N13" s="6" t="str">
        <f>IF(L13="Include",IFERROR(INDEX('[1]Data extraction'!$AC$2:$AC$58,MATCH(H13+1,'[1]Data extraction'!$AA$2:$AA$58,0)),"not found"),"")</f>
        <v/>
      </c>
      <c r="O13" s="6" t="str">
        <f>IF(N13="","",IFERROR(INDEX('[1]Data extraction'!$L$2:$L$58,MATCH(N13,'[1]Data extraction'!$AC$2:$AC$58,0)),""))</f>
        <v/>
      </c>
      <c r="P13" s="7" t="str">
        <f t="shared" si="2"/>
        <v>Excluded at title/abstract</v>
      </c>
      <c r="Q13" s="6" t="str">
        <f t="shared" si="3"/>
        <v>Study design</v>
      </c>
      <c r="R13" s="4"/>
      <c r="U13" s="8" t="s">
        <v>25</v>
      </c>
      <c r="V13" s="9" t="s">
        <v>37</v>
      </c>
      <c r="W13" s="9" t="s">
        <v>38</v>
      </c>
      <c r="X13" s="9" t="str">
        <f>[1]PICOS!$E$12</f>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
      <c r="Y13" s="8">
        <f t="shared" si="4"/>
        <v>9</v>
      </c>
    </row>
    <row r="14" spans="1:25" ht="144" x14ac:dyDescent="0.3">
      <c r="A14" s="4">
        <f>'[1]Abstract review'!C14</f>
        <v>10</v>
      </c>
      <c r="B14" s="4" t="str">
        <f>IFERROR(LEFT('[1]Abstract review'!D14,FIND(";",'[1]Abstract review'!D14)-1),'[1]Abstract review'!D14)</f>
        <v>V. Thiel</v>
      </c>
      <c r="C14" s="5" t="str">
        <f>'[1]Abstract review'!E14&amp;""</f>
        <v>2026</v>
      </c>
      <c r="D14" s="4" t="str">
        <f>'[1]Abstract review'!F14</f>
        <v>Proteomic Characterization Reveals CYP2S1 as a Mediator of Drug Resistance in PDAC</v>
      </c>
      <c r="E14" s="4" t="str">
        <f>IF('[1]Abstract review'!G14="","",'[1]Abstract review'!G14)</f>
        <v>10.1097/mpa.0000000000002553</v>
      </c>
      <c r="F14" s="4" t="str">
        <f>IF('[1]Abstract review'!I14="I","Include → full text",IF('[1]Abstract review'!I14="E","Exclude",IF('[1]Abstract review'!I14="DUP","Duplicate — removed",'[1]Abstract review'!I14)))</f>
        <v>Exclude</v>
      </c>
      <c r="G14" s="4" t="str">
        <f>IF('[1]Abstract review'!I14="E",'[1]Abstract review'!J14,"")</f>
        <v>Preclinical studies</v>
      </c>
      <c r="H14" s="4"/>
      <c r="I14" s="4"/>
      <c r="J14" s="4"/>
      <c r="K14" s="4"/>
      <c r="L14" s="6" t="str">
        <f t="shared" si="0"/>
        <v/>
      </c>
      <c r="M14" s="6" t="str">
        <f t="shared" si="1"/>
        <v/>
      </c>
      <c r="N14" s="6" t="str">
        <f>IF(L14="Include",IFERROR(INDEX('[1]Data extraction'!$AC$2:$AC$58,MATCH(H14+1,'[1]Data extraction'!$AA$2:$AA$58,0)),"not found"),"")</f>
        <v/>
      </c>
      <c r="O14" s="6" t="str">
        <f>IF(N14="","",IFERROR(INDEX('[1]Data extraction'!$L$2:$L$58,MATCH(N14,'[1]Data extraction'!$AC$2:$AC$58,0)),""))</f>
        <v/>
      </c>
      <c r="P14" s="7" t="str">
        <f t="shared" si="2"/>
        <v>Excluded at title/abstract</v>
      </c>
      <c r="Q14" s="6" t="str">
        <f t="shared" si="3"/>
        <v>Study design</v>
      </c>
      <c r="R14" s="4"/>
      <c r="U14" s="8" t="s">
        <v>25</v>
      </c>
      <c r="V14" s="9" t="s">
        <v>39</v>
      </c>
      <c r="W14" s="9" t="s">
        <v>38</v>
      </c>
      <c r="X14" s="9" t="str">
        <f>[1]PICOS!$E$12</f>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
      <c r="Y14" s="8">
        <f t="shared" si="4"/>
        <v>4</v>
      </c>
    </row>
    <row r="15" spans="1:25" ht="144" x14ac:dyDescent="0.3">
      <c r="A15" s="4">
        <f>'[1]Abstract review'!C15</f>
        <v>11</v>
      </c>
      <c r="B15" s="4" t="str">
        <f>IFERROR(LEFT('[1]Abstract review'!D15,FIND(";",'[1]Abstract review'!D15)-1),'[1]Abstract review'!D15)</f>
        <v>M. Takamatsu</v>
      </c>
      <c r="C15" s="5" t="str">
        <f>'[1]Abstract review'!E15&amp;""</f>
        <v>2026</v>
      </c>
      <c r="D15" s="4" t="str">
        <f>'[1]Abstract review'!F15</f>
        <v>Prognostic model for pancreatic cancer based on machine learning of routine slides and transcriptomic tumor analysis</v>
      </c>
      <c r="E15" s="4" t="str">
        <f>IF('[1]Abstract review'!G15="","",'[1]Abstract review'!G15)</f>
        <v>10.1038/s41416-025-03308-7</v>
      </c>
      <c r="F15" s="4" t="str">
        <f>IF('[1]Abstract review'!I15="I","Include → full text",IF('[1]Abstract review'!I15="E","Exclude",IF('[1]Abstract review'!I15="DUP","Duplicate — removed",'[1]Abstract review'!I15)))</f>
        <v>Exclude</v>
      </c>
      <c r="G15" s="4" t="str">
        <f>IF('[1]Abstract review'!I15="E",'[1]Abstract review'!J15,"")</f>
        <v>AI-based prognosis</v>
      </c>
      <c r="H15" s="4"/>
      <c r="I15" s="4"/>
      <c r="J15" s="4"/>
      <c r="K15" s="4"/>
      <c r="L15" s="6" t="str">
        <f t="shared" si="0"/>
        <v/>
      </c>
      <c r="M15" s="6" t="str">
        <f t="shared" si="1"/>
        <v/>
      </c>
      <c r="N15" s="6" t="str">
        <f>IF(L15="Include",IFERROR(INDEX('[1]Data extraction'!$AC$2:$AC$58,MATCH(H15+1,'[1]Data extraction'!$AA$2:$AA$58,0)),"not found"),"")</f>
        <v/>
      </c>
      <c r="O15" s="6" t="str">
        <f>IF(N15="","",IFERROR(INDEX('[1]Data extraction'!$L$2:$L$58,MATCH(N15,'[1]Data extraction'!$AC$2:$AC$58,0)),""))</f>
        <v/>
      </c>
      <c r="P15" s="7" t="str">
        <f t="shared" si="2"/>
        <v>Excluded at title/abstract</v>
      </c>
      <c r="Q15" s="6" t="str">
        <f t="shared" si="3"/>
        <v>Biomarker modality &amp; sample type</v>
      </c>
      <c r="R15" s="4"/>
      <c r="U15" s="8" t="s">
        <v>25</v>
      </c>
      <c r="V15" s="9" t="s">
        <v>40</v>
      </c>
      <c r="W15" s="9" t="s">
        <v>38</v>
      </c>
      <c r="X15" s="9" t="str">
        <f>[1]PICOS!$E$12</f>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
      <c r="Y15" s="8">
        <f t="shared" si="4"/>
        <v>3</v>
      </c>
    </row>
    <row r="16" spans="1:25" ht="115.2" x14ac:dyDescent="0.3">
      <c r="A16" s="4">
        <f>'[1]Abstract review'!C16</f>
        <v>12</v>
      </c>
      <c r="B16" s="4" t="str">
        <f>IFERROR(LEFT('[1]Abstract review'!D16,FIND(";",'[1]Abstract review'!D16)-1),'[1]Abstract review'!D16)</f>
        <v>R. Stubbins</v>
      </c>
      <c r="C16" s="5" t="str">
        <f>'[1]Abstract review'!E16&amp;""</f>
        <v>2026</v>
      </c>
      <c r="D16" s="4" t="str">
        <f>'[1]Abstract review'!F16</f>
        <v>Prehabilitation as a Biologically Active Intervention Is Associated with the Remodeling of the Pancreatic Tumor-Immune Microenvironment</v>
      </c>
      <c r="E16" s="4" t="str">
        <f>IF('[1]Abstract review'!G16="","",'[1]Abstract review'!G16)</f>
        <v>10.3390/ijms27020943</v>
      </c>
      <c r="F16" s="4" t="str">
        <f>IF('[1]Abstract review'!I16="I","Include → full text",IF('[1]Abstract review'!I16="E","Exclude",IF('[1]Abstract review'!I16="DUP","Duplicate — removed",'[1]Abstract review'!I16)))</f>
        <v>Exclude</v>
      </c>
      <c r="G16" s="4" t="str">
        <f>IF('[1]Abstract review'!I16="E",'[1]Abstract review'!J16,"")</f>
        <v>No survival outcome</v>
      </c>
      <c r="H16" s="4"/>
      <c r="I16" s="4"/>
      <c r="J16" s="4"/>
      <c r="K16" s="4"/>
      <c r="L16" s="6" t="str">
        <f t="shared" si="0"/>
        <v/>
      </c>
      <c r="M16" s="6" t="str">
        <f t="shared" si="1"/>
        <v/>
      </c>
      <c r="N16" s="6" t="str">
        <f>IF(L16="Include",IFERROR(INDEX('[1]Data extraction'!$AC$2:$AC$58,MATCH(H16+1,'[1]Data extraction'!$AA$2:$AA$58,0)),"not found"),"")</f>
        <v/>
      </c>
      <c r="O16" s="6" t="str">
        <f>IF(N16="","",IFERROR(INDEX('[1]Data extraction'!$L$2:$L$58,MATCH(N16,'[1]Data extraction'!$AC$2:$AC$58,0)),""))</f>
        <v/>
      </c>
      <c r="P16" s="7" t="str">
        <f t="shared" si="2"/>
        <v>Excluded at title/abstract</v>
      </c>
      <c r="Q16" s="6" t="str">
        <f t="shared" si="3"/>
        <v>Outcomes</v>
      </c>
      <c r="R16" s="4"/>
      <c r="U16" s="8" t="s">
        <v>25</v>
      </c>
      <c r="V16" s="9" t="s">
        <v>41</v>
      </c>
      <c r="W16" s="9" t="s">
        <v>29</v>
      </c>
      <c r="X16" s="9" t="str">
        <f>[1]PICOS!$E$7</f>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
      <c r="Y16" s="8">
        <f t="shared" si="4"/>
        <v>4</v>
      </c>
    </row>
    <row r="17" spans="1:25" x14ac:dyDescent="0.3">
      <c r="A17" s="4">
        <f>'[1]Abstract review'!C17</f>
        <v>13</v>
      </c>
      <c r="B17" s="4" t="str">
        <f>IFERROR(LEFT('[1]Abstract review'!D17,FIND(";",'[1]Abstract review'!D17)-1),'[1]Abstract review'!D17)</f>
        <v>J. Shi</v>
      </c>
      <c r="C17" s="5" t="str">
        <f>'[1]Abstract review'!E17&amp;""</f>
        <v>2026</v>
      </c>
      <c r="D17" s="4" t="str">
        <f>'[1]Abstract review'!F17</f>
        <v>LY6D identifies persistent stem-like cells driving pancreatic tumourigenesis</v>
      </c>
      <c r="E17" s="4" t="str">
        <f>IF('[1]Abstract review'!G17="","",'[1]Abstract review'!G17)</f>
        <v>10.1136/gutjnl-2025-336460</v>
      </c>
      <c r="F17" s="4" t="str">
        <f>IF('[1]Abstract review'!I17="I","Include → full text",IF('[1]Abstract review'!I17="E","Exclude",IF('[1]Abstract review'!I17="DUP","Duplicate — removed",'[1]Abstract review'!I17)))</f>
        <v>Include → full text</v>
      </c>
      <c r="G17" s="4" t="str">
        <f>IF('[1]Abstract review'!I17="E",'[1]Abstract review'!J17,"")</f>
        <v/>
      </c>
      <c r="H17" s="4">
        <f>'[1]Full-text screening-extraction'!A7</f>
        <v>6</v>
      </c>
      <c r="I17" s="4" t="str">
        <f>IF('[1]Full-text screening-extraction'!AB7="","",'[1]Full-text screening-extraction'!AB7)</f>
        <v>yes</v>
      </c>
      <c r="J17" s="4" t="str">
        <f>IF('[1]Full-text screening-extraction'!AC7="","",'[1]Full-text screening-extraction'!AC7)</f>
        <v>yes</v>
      </c>
      <c r="K17" s="4" t="str">
        <f>IF('[1]Full-text screening-extraction'!AG7="","",'[1]Full-text screening-extraction'!AG7)</f>
        <v/>
      </c>
      <c r="L17" s="6" t="str">
        <f t="shared" si="0"/>
        <v>Include</v>
      </c>
      <c r="M17" s="6" t="str">
        <f t="shared" si="1"/>
        <v/>
      </c>
      <c r="N17" s="6" t="str">
        <f>IF(L17="Include",IFERROR(INDEX('[1]Data extraction'!$AC$2:$AC$58,MATCH(H17+1,'[1]Data extraction'!$AA$2:$AA$58,0)),"not found"),"")</f>
        <v>EV-26</v>
      </c>
      <c r="O17" s="6" t="str">
        <f>IF(N17="","",IFERROR(INDEX('[1]Data extraction'!$L$2:$L$58,MATCH(N17,'[1]Data extraction'!$AC$2:$AC$58,0)),""))</f>
        <v>B</v>
      </c>
      <c r="P17" s="7" t="str">
        <f t="shared" si="2"/>
        <v>INCLUDED</v>
      </c>
      <c r="Q17" s="6" t="str">
        <f t="shared" si="3"/>
        <v>All PICOS rows + Independent prognostic value</v>
      </c>
      <c r="R17" s="4" t="str">
        <f>IF(P17&lt;&gt;"INCLUDED","",'[1]Full-text screening-extraction'!M7&amp;" ("&amp;'[1]Full-text screening-extraction'!K7&amp;"); outcome: "&amp;'[1]Full-text screening-extraction'!P7&amp;"; multivariable: "&amp;LEFT('[1]Full-text screening-extraction'!T7,120)&amp;" | adjusted for: "&amp;LEFT('[1]Full-text screening-extraction'!U7,100))</f>
        <v>LY6D (stem-like gastric-like cell state marker) (Single-cell transcriptomics + bulk RNA-seq + epigenomics (ATAC-seq) + proteomics + metabolic profiling + functional genomics); outcome: Overall survival (OS) in human PDAC cohorts; multivariable: LY6D identified as an independent prognostic marker of poor survival (exact HR not reported in abstract) | adjusted for: Not explicitly detailed (likely adjusted for clinical variables in Cox model, but not specified)</v>
      </c>
      <c r="U17" s="8" t="s">
        <v>25</v>
      </c>
      <c r="V17" s="9" t="s">
        <v>42</v>
      </c>
      <c r="W17" s="9" t="s">
        <v>43</v>
      </c>
      <c r="X17" s="9" t="s">
        <v>44</v>
      </c>
      <c r="Y17" s="8">
        <f>COUNTIF($F$5:$F$294,"Duplicate*")</f>
        <v>4</v>
      </c>
    </row>
    <row r="18" spans="1:25" ht="115.2" x14ac:dyDescent="0.3">
      <c r="A18" s="4">
        <f>'[1]Abstract review'!C18</f>
        <v>14</v>
      </c>
      <c r="B18" s="4" t="str">
        <f>IFERROR(LEFT('[1]Abstract review'!D18,FIND(";",'[1]Abstract review'!D18)-1),'[1]Abstract review'!D18)</f>
        <v>T. Sandhya</v>
      </c>
      <c r="C18" s="5" t="str">
        <f>'[1]Abstract review'!E18&amp;""</f>
        <v>2026</v>
      </c>
      <c r="D18" s="4" t="str">
        <f>'[1]Abstract review'!F18</f>
        <v>Mapping cellular heterogeneity and dynamic interactions in pancreatic cancer</v>
      </c>
      <c r="E18" s="4" t="str">
        <f>IF('[1]Abstract review'!G18="","",'[1]Abstract review'!G18)</f>
        <v>10.1016/j.jconrel.2026.114757</v>
      </c>
      <c r="F18" s="4" t="str">
        <f>IF('[1]Abstract review'!I18="I","Include → full text",IF('[1]Abstract review'!I18="E","Exclude",IF('[1]Abstract review'!I18="DUP","Duplicate — removed",'[1]Abstract review'!I18)))</f>
        <v>Exclude</v>
      </c>
      <c r="G18" s="4" t="str">
        <f>IF('[1]Abstract review'!I18="E",'[1]Abstract review'!J18,"")</f>
        <v>Review</v>
      </c>
      <c r="H18" s="4"/>
      <c r="I18" s="4"/>
      <c r="J18" s="4"/>
      <c r="K18" s="4"/>
      <c r="L18" s="6" t="str">
        <f t="shared" si="0"/>
        <v/>
      </c>
      <c r="M18" s="6" t="str">
        <f t="shared" si="1"/>
        <v/>
      </c>
      <c r="N18" s="6" t="str">
        <f>IF(L18="Include",IFERROR(INDEX('[1]Data extraction'!$AC$2:$AC$58,MATCH(H18+1,'[1]Data extraction'!$AA$2:$AA$58,0)),"not found"),"")</f>
        <v/>
      </c>
      <c r="O18" s="6" t="str">
        <f>IF(N18="","",IFERROR(INDEX('[1]Data extraction'!$L$2:$L$58,MATCH(N18,'[1]Data extraction'!$AC$2:$AC$58,0)),""))</f>
        <v/>
      </c>
      <c r="P18" s="7" t="str">
        <f t="shared" si="2"/>
        <v>Excluded at title/abstract</v>
      </c>
      <c r="Q18" s="6" t="str">
        <f t="shared" si="3"/>
        <v>Study design</v>
      </c>
      <c r="R18" s="4"/>
      <c r="U18" s="8" t="s">
        <v>45</v>
      </c>
      <c r="V18" s="9" t="s">
        <v>46</v>
      </c>
      <c r="W18" s="9" t="s">
        <v>47</v>
      </c>
      <c r="X18" s="9" t="str">
        <f>[1]PICOS!$E$13</f>
        <v>Excluded at full-text screening: (i) no adjusted multivariable survival model fitted for the nominated biomarker (recorded as "not fitted"); (ii) presence of such a model cannot be established from the available text (recorded as "unclear"); (iii) adjusted model fitted but the biomarker was not statistically significant / not retained as an independent predictor after adjustment (recorded as "not independent"). Studies excluded under (iii) are listed with their adjusted estimates in the screening log so that the effect of this criterion can be reported transparently.</v>
      </c>
      <c r="Y18" s="8">
        <f>COUNTIF($M$5:$M$294,V18)</f>
        <v>41</v>
      </c>
    </row>
    <row r="19" spans="1:25" ht="115.2" x14ac:dyDescent="0.3">
      <c r="A19" s="4">
        <f>'[1]Abstract review'!C19</f>
        <v>15</v>
      </c>
      <c r="B19" s="4" t="str">
        <f>IFERROR(LEFT('[1]Abstract review'!D19,FIND(";",'[1]Abstract review'!D19)-1),'[1]Abstract review'!D19)</f>
        <v>G. S. Roth</v>
      </c>
      <c r="C19" s="5" t="str">
        <f>'[1]Abstract review'!E19&amp;""</f>
        <v>2026</v>
      </c>
      <c r="D19" s="4" t="str">
        <f>'[1]Abstract review'!F19</f>
        <v>Randomized, multicenter Phase III trial of adjuvant chemotherapy with modified FOLFIRINOX versus capecitabine or gemcitabine in patients with resected ampullary adenocarcinoma</v>
      </c>
      <c r="E19" s="4" t="str">
        <f>IF('[1]Abstract review'!G19="","",'[1]Abstract review'!G19)</f>
        <v>10.1016/j.dld.2026.01.211</v>
      </c>
      <c r="F19" s="4" t="str">
        <f>IF('[1]Abstract review'!I19="I","Include → full text",IF('[1]Abstract review'!I19="E","Exclude",IF('[1]Abstract review'!I19="DUP","Duplicate — removed",'[1]Abstract review'!I19)))</f>
        <v>Exclude</v>
      </c>
      <c r="G19" s="4" t="str">
        <f>IF('[1]Abstract review'!I19="E",'[1]Abstract review'!J19,"")</f>
        <v>no pdac</v>
      </c>
      <c r="H19" s="4"/>
      <c r="I19" s="4"/>
      <c r="J19" s="4"/>
      <c r="K19" s="4"/>
      <c r="L19" s="6" t="str">
        <f t="shared" si="0"/>
        <v/>
      </c>
      <c r="M19" s="6" t="str">
        <f t="shared" si="1"/>
        <v/>
      </c>
      <c r="N19" s="6" t="str">
        <f>IF(L19="Include",IFERROR(INDEX('[1]Data extraction'!$AC$2:$AC$58,MATCH(H19+1,'[1]Data extraction'!$AA$2:$AA$58,0)),"not found"),"")</f>
        <v/>
      </c>
      <c r="O19" s="6" t="str">
        <f>IF(N19="","",IFERROR(INDEX('[1]Data extraction'!$L$2:$L$58,MATCH(N19,'[1]Data extraction'!$AC$2:$AC$58,0)),""))</f>
        <v/>
      </c>
      <c r="P19" s="7" t="str">
        <f t="shared" si="2"/>
        <v>Excluded at title/abstract</v>
      </c>
      <c r="Q19" s="6" t="str">
        <f t="shared" si="3"/>
        <v>Population</v>
      </c>
      <c r="R19" s="4"/>
      <c r="U19" s="8" t="s">
        <v>45</v>
      </c>
      <c r="V19" s="9" t="s">
        <v>48</v>
      </c>
      <c r="W19" s="9" t="s">
        <v>47</v>
      </c>
      <c r="X19" s="9" t="str">
        <f>[1]PICOS!$E$13</f>
        <v>Excluded at full-text screening: (i) no adjusted multivariable survival model fitted for the nominated biomarker (recorded as "not fitted"); (ii) presence of such a model cannot be established from the available text (recorded as "unclear"); (iii) adjusted model fitted but the biomarker was not statistically significant / not retained as an independent predictor after adjustment (recorded as "not independent"). Studies excluded under (iii) are listed with their adjusted estimates in the screening log so that the effect of this criterion can be reported transparently.</v>
      </c>
      <c r="Y19" s="8">
        <f>COUNTIF($M$5:$M$294,V19)</f>
        <v>23</v>
      </c>
    </row>
    <row r="20" spans="1:25" ht="43.2" x14ac:dyDescent="0.3">
      <c r="A20" s="4">
        <f>'[1]Abstract review'!C20</f>
        <v>16</v>
      </c>
      <c r="B20" s="4" t="str">
        <f>IFERROR(LEFT('[1]Abstract review'!D20,FIND(";",'[1]Abstract review'!D20)-1),'[1]Abstract review'!D20)</f>
        <v>Y. Pei</v>
      </c>
      <c r="C20" s="5" t="str">
        <f>'[1]Abstract review'!E20&amp;""</f>
        <v>2026</v>
      </c>
      <c r="D20" s="4" t="str">
        <f>'[1]Abstract review'!F20</f>
        <v>Machine learning identifies disulfidptosis-related gene signature for pancreatic cancer prognosis and immune infiltration</v>
      </c>
      <c r="E20" s="4" t="str">
        <f>IF('[1]Abstract review'!G20="","",'[1]Abstract review'!G20)</f>
        <v>10.1007/s12672-026-04463-w</v>
      </c>
      <c r="F20" s="4" t="str">
        <f>IF('[1]Abstract review'!I20="I","Include → full text",IF('[1]Abstract review'!I20="E","Exclude",IF('[1]Abstract review'!I20="DUP","Duplicate — removed",'[1]Abstract review'!I20)))</f>
        <v>Include → full text</v>
      </c>
      <c r="G20" s="4" t="str">
        <f>IF('[1]Abstract review'!I20="E",'[1]Abstract review'!J20,"")</f>
        <v/>
      </c>
      <c r="H20" s="4">
        <f>'[1]Full-text screening-extraction'!A8</f>
        <v>7</v>
      </c>
      <c r="I20" s="4" t="str">
        <f>IF('[1]Full-text screening-extraction'!AB8="","",'[1]Full-text screening-extraction'!AB8)</f>
        <v>yes</v>
      </c>
      <c r="J20" s="4" t="str">
        <f>IF('[1]Full-text screening-extraction'!AC8="","",'[1]Full-text screening-extraction'!AC8)</f>
        <v>yes</v>
      </c>
      <c r="K20" s="4" t="str">
        <f>IF('[1]Full-text screening-extraction'!AG8="","",'[1]Full-text screening-extraction'!AG8)</f>
        <v/>
      </c>
      <c r="L20" s="6" t="str">
        <f t="shared" si="0"/>
        <v>Include</v>
      </c>
      <c r="M20" s="6" t="str">
        <f t="shared" si="1"/>
        <v/>
      </c>
      <c r="N20" s="6" t="str">
        <f>IF(L20="Include",IFERROR(INDEX('[1]Data extraction'!$AC$2:$AC$58,MATCH(H20+1,'[1]Data extraction'!$AA$2:$AA$58,0)),"not found"),"")</f>
        <v>EV-27</v>
      </c>
      <c r="O20" s="6" t="str">
        <f>IF(N20="","",IFERROR(INDEX('[1]Data extraction'!$L$2:$L$58,MATCH(N20,'[1]Data extraction'!$AC$2:$AC$58,0)),""))</f>
        <v>A-</v>
      </c>
      <c r="P20" s="7" t="str">
        <f t="shared" si="2"/>
        <v>INCLUDED</v>
      </c>
      <c r="Q20" s="6" t="str">
        <f t="shared" si="3"/>
        <v>All PICOS rows + Independent prognostic value</v>
      </c>
      <c r="R20" s="4" t="str">
        <f>IF(P20&lt;&gt;"INCLUDED","",'[1]Full-text screening-extraction'!M8&amp;" ("&amp;'[1]Full-text screening-extraction'!K8&amp;"); outcome: "&amp;'[1]Full-text screening-extraction'!P8&amp;"; multivariable: "&amp;LEFT('[1]Full-text screening-extraction'!T8,120)&amp;" | adjusted for: "&amp;LEFT('[1]Full-text screening-extraction'!U8,100))</f>
        <v>Disulfidptosis-related gene (DRG) signature; key genes: RPN1, PML; model genes: NDUFA11, MYH14, TRIP6, ACTN1, ANP32E, PML, CD2AP, RPN1 (Transcriptomics (bulk RNA-seq) and single-cell transcriptomics (scRNA-seq)); outcome: Overall survival (OS); multivariable: Risk score and age remained independent prognostic factors in multivariable Cox | adjusted for: Age, sex, tumor grade, clinical stage, T stage, N stage, M stage</v>
      </c>
      <c r="U20" s="8" t="s">
        <v>45</v>
      </c>
      <c r="V20" s="9" t="s">
        <v>49</v>
      </c>
      <c r="W20" s="9" t="s">
        <v>50</v>
      </c>
      <c r="X20" s="9" t="str">
        <f>[1]PICOS!$E$14</f>
        <v>At full-text screening, studies that did not demonstrate an independent prognostic biomarker (no adjusted multivariable analysis, or biomarker not retained as an independent predictor after adjustment) were excluded</v>
      </c>
      <c r="Y20" s="8">
        <f>COUNTIF($M$5:$M$294,V20)</f>
        <v>3</v>
      </c>
    </row>
    <row r="21" spans="1:25" ht="144" x14ac:dyDescent="0.3">
      <c r="A21" s="4">
        <f>'[1]Abstract review'!C21</f>
        <v>17</v>
      </c>
      <c r="B21" s="4" t="str">
        <f>IFERROR(LEFT('[1]Abstract review'!D21,FIND(";",'[1]Abstract review'!D21)-1),'[1]Abstract review'!D21)</f>
        <v>Z. Pan</v>
      </c>
      <c r="C21" s="5" t="str">
        <f>'[1]Abstract review'!E21&amp;""</f>
        <v>2026</v>
      </c>
      <c r="D21" s="4" t="str">
        <f>'[1]Abstract review'!F21</f>
        <v>OCIAD2-IQGAP1 interaction promotes pancreatic cancer progression by suppressing oxidative stress and mitochondria-mediated apoptosis</v>
      </c>
      <c r="E21" s="4" t="str">
        <f>IF('[1]Abstract review'!G21="","",'[1]Abstract review'!G21)</f>
        <v>10.1016/j.cellsig.2025.112217</v>
      </c>
      <c r="F21" s="4" t="str">
        <f>IF('[1]Abstract review'!I21="I","Include → full text",IF('[1]Abstract review'!I21="E","Exclude",IF('[1]Abstract review'!I21="DUP","Duplicate — removed",'[1]Abstract review'!I21)))</f>
        <v>Exclude</v>
      </c>
      <c r="G21" s="4" t="str">
        <f>IF('[1]Abstract review'!I21="E",'[1]Abstract review'!J21,"")</f>
        <v>Preclinical studies</v>
      </c>
      <c r="H21" s="4"/>
      <c r="I21" s="4"/>
      <c r="J21" s="4"/>
      <c r="K21" s="4"/>
      <c r="L21" s="6" t="str">
        <f t="shared" si="0"/>
        <v/>
      </c>
      <c r="M21" s="6" t="str">
        <f t="shared" si="1"/>
        <v/>
      </c>
      <c r="N21" s="6" t="str">
        <f>IF(L21="Include",IFERROR(INDEX('[1]Data extraction'!$AC$2:$AC$58,MATCH(H21+1,'[1]Data extraction'!$AA$2:$AA$58,0)),"not found"),"")</f>
        <v/>
      </c>
      <c r="O21" s="6" t="str">
        <f>IF(N21="","",IFERROR(INDEX('[1]Data extraction'!$L$2:$L$58,MATCH(N21,'[1]Data extraction'!$AC$2:$AC$58,0)),""))</f>
        <v/>
      </c>
      <c r="P21" s="7" t="str">
        <f t="shared" si="2"/>
        <v>Excluded at title/abstract</v>
      </c>
      <c r="Q21" s="6" t="str">
        <f t="shared" si="3"/>
        <v>Study design</v>
      </c>
      <c r="R21" s="4"/>
      <c r="U21" s="8" t="s">
        <v>45</v>
      </c>
      <c r="V21" s="9" t="s">
        <v>51</v>
      </c>
      <c r="W21" s="9" t="s">
        <v>38</v>
      </c>
      <c r="X21" s="9" t="str">
        <f>[1]PICOS!$E$12</f>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
      <c r="Y21" s="8">
        <f>COUNTIF($M$5:$M$294,V21)</f>
        <v>2</v>
      </c>
    </row>
    <row r="22" spans="1:25" ht="43.2" x14ac:dyDescent="0.3">
      <c r="A22" s="4">
        <f>'[1]Abstract review'!C22</f>
        <v>18</v>
      </c>
      <c r="B22" s="4" t="str">
        <f>IFERROR(LEFT('[1]Abstract review'!D22,FIND(";",'[1]Abstract review'!D22)-1),'[1]Abstract review'!D22)</f>
        <v>Y. Ohara</v>
      </c>
      <c r="C22" s="5" t="str">
        <f>'[1]Abstract review'!E22&amp;""</f>
        <v>2026</v>
      </c>
      <c r="D22" s="4" t="str">
        <f>'[1]Abstract review'!F22</f>
        <v>Molecular, metabolic, and histological subtypes of pancreatic ductal adenocarcinoma and its tumor microenvironment: Insights into tumor heterogeneity and clinical implications</v>
      </c>
      <c r="E22" s="4" t="str">
        <f>IF('[1]Abstract review'!G22="","",'[1]Abstract review'!G22)</f>
        <v>10.1016/j.pharmthera.2025.108946</v>
      </c>
      <c r="F22" s="4" t="str">
        <f>IF('[1]Abstract review'!I22="I","Include → full text",IF('[1]Abstract review'!I22="E","Exclude",IF('[1]Abstract review'!I22="DUP","Duplicate — removed",'[1]Abstract review'!I22)))</f>
        <v>Exclude</v>
      </c>
      <c r="G22" s="4" t="str">
        <f>IF('[1]Abstract review'!I22="E",'[1]Abstract review'!J22,"")</f>
        <v>Review</v>
      </c>
      <c r="H22" s="4"/>
      <c r="I22" s="4"/>
      <c r="J22" s="4"/>
      <c r="K22" s="4"/>
      <c r="L22" s="6" t="str">
        <f t="shared" si="0"/>
        <v/>
      </c>
      <c r="M22" s="6" t="str">
        <f t="shared" si="1"/>
        <v/>
      </c>
      <c r="N22" s="6" t="str">
        <f>IF(L22="Include",IFERROR(INDEX('[1]Data extraction'!$AC$2:$AC$58,MATCH(H22+1,'[1]Data extraction'!$AA$2:$AA$58,0)),"not found"),"")</f>
        <v/>
      </c>
      <c r="O22" s="6" t="str">
        <f>IF(N22="","",IFERROR(INDEX('[1]Data extraction'!$L$2:$L$58,MATCH(N22,'[1]Data extraction'!$AC$2:$AC$58,0)),""))</f>
        <v/>
      </c>
      <c r="P22" s="7" t="str">
        <f t="shared" si="2"/>
        <v>Excluded at title/abstract</v>
      </c>
      <c r="Q22" s="6" t="str">
        <f t="shared" si="3"/>
        <v>Study design</v>
      </c>
      <c r="R22" s="4"/>
      <c r="U22" s="8" t="s">
        <v>45</v>
      </c>
      <c r="V22" s="9" t="s">
        <v>52</v>
      </c>
      <c r="W22" s="9" t="s">
        <v>50</v>
      </c>
      <c r="X22" s="9" t="str">
        <f>[1]PICOS!$E$14</f>
        <v>At full-text screening, studies that did not demonstrate an independent prognostic biomarker (no adjusted multivariable analysis, or biomarker not retained as an independent predictor after adjustment) were excluded</v>
      </c>
      <c r="Y22" s="8">
        <f>COUNTIF($M$5:$M$294,V22)</f>
        <v>1</v>
      </c>
    </row>
    <row r="23" spans="1:25" ht="57.6" x14ac:dyDescent="0.3">
      <c r="A23" s="4">
        <f>'[1]Abstract review'!C23</f>
        <v>19</v>
      </c>
      <c r="B23" s="4" t="str">
        <f>IFERROR(LEFT('[1]Abstract review'!D23,FIND(";",'[1]Abstract review'!D23)-1),'[1]Abstract review'!D23)</f>
        <v>M. Nii</v>
      </c>
      <c r="C23" s="5" t="str">
        <f>'[1]Abstract review'!E23&amp;""</f>
        <v>2026</v>
      </c>
      <c r="D23" s="4" t="str">
        <f>'[1]Abstract review'!F23</f>
        <v>Low CTDNEP1 Expression Predicts Poor Prognosis and Is Associated With Immune Modulation in Pancreatic Cancer</v>
      </c>
      <c r="E23" s="4" t="str">
        <f>IF('[1]Abstract review'!G23="","",'[1]Abstract review'!G23)</f>
        <v>10.21873/cgp.20567</v>
      </c>
      <c r="F23" s="4" t="str">
        <f>IF('[1]Abstract review'!I23="I","Include → full text",IF('[1]Abstract review'!I23="E","Exclude",IF('[1]Abstract review'!I23="DUP","Duplicate — removed",'[1]Abstract review'!I23)))</f>
        <v>Include → full text</v>
      </c>
      <c r="G23" s="4" t="str">
        <f>IF('[1]Abstract review'!I23="E",'[1]Abstract review'!J23,"")</f>
        <v/>
      </c>
      <c r="H23" s="4">
        <f>'[1]Full-text screening-extraction'!A9</f>
        <v>8</v>
      </c>
      <c r="I23" s="4" t="str">
        <f>IF('[1]Full-text screening-extraction'!AB9="","",'[1]Full-text screening-extraction'!AB9)</f>
        <v>no</v>
      </c>
      <c r="J23" s="4" t="str">
        <f>IF('[1]Full-text screening-extraction'!AC9="","",'[1]Full-text screening-extraction'!AC9)</f>
        <v>NA</v>
      </c>
      <c r="K23" s="4" t="str">
        <f>IF('[1]Full-text screening-extraction'!AG9="","",'[1]Full-text screening-extraction'!AG9)</f>
        <v/>
      </c>
      <c r="L23" s="6" t="str">
        <f t="shared" si="0"/>
        <v>Exclude</v>
      </c>
      <c r="M23" s="6" t="str">
        <f t="shared" si="1"/>
        <v>No adjusted multivariable model fitted</v>
      </c>
      <c r="N23" s="6" t="str">
        <f>IF(L23="Include",IFERROR(INDEX('[1]Data extraction'!$AC$2:$AC$58,MATCH(H23+1,'[1]Data extraction'!$AA$2:$AA$58,0)),"not found"),"")</f>
        <v/>
      </c>
      <c r="O23" s="6" t="str">
        <f>IF(N23="","",IFERROR(INDEX('[1]Data extraction'!$L$2:$L$58,MATCH(N23,'[1]Data extraction'!$AC$2:$AC$58,0)),""))</f>
        <v/>
      </c>
      <c r="P23" s="7" t="str">
        <f t="shared" si="2"/>
        <v>Excluded at full text</v>
      </c>
      <c r="Q23" s="6" t="str">
        <f t="shared" si="3"/>
        <v>Analysis &amp; synthesis eligibility</v>
      </c>
      <c r="R23" s="4" t="str">
        <f>IF(P23&lt;&gt;"INCLUDED","",'[1]Full-text screening-extraction'!M9&amp;" ("&amp;'[1]Full-text screening-extraction'!K9&amp;"); outcome: "&amp;'[1]Full-text screening-extraction'!P9&amp;"; multivariable: "&amp;LEFT('[1]Full-text screening-extraction'!T9,120)&amp;" | adjusted for: "&amp;LEFT('[1]Full-text screening-extraction'!U9,100))</f>
        <v/>
      </c>
      <c r="U23" s="8" t="s">
        <v>53</v>
      </c>
      <c r="V23" s="9" t="s">
        <v>54</v>
      </c>
      <c r="W23" s="9" t="s">
        <v>55</v>
      </c>
      <c r="X23" s="9" t="str">
        <f>[1]PICOS!$D$14</f>
        <v>Eligible only if the study demonstrated an independent prognostic biomarker, i.e. the tumour transcriptomic/proteomic biomarker remained significantly associated with the survival outcome in an adjusted multivariable time-to-event model including clinicopathological covariates</v>
      </c>
      <c r="Y23" s="8">
        <f>COUNTIF($P$5:$P$294,"INCLUDED")</f>
        <v>57</v>
      </c>
    </row>
    <row r="24" spans="1:25" x14ac:dyDescent="0.3">
      <c r="A24" s="4">
        <f>'[1]Abstract review'!C24</f>
        <v>20</v>
      </c>
      <c r="B24" s="4" t="str">
        <f>IFERROR(LEFT('[1]Abstract review'!D24,FIND(";",'[1]Abstract review'!D24)-1),'[1]Abstract review'!D24)</f>
        <v>B. Nelson</v>
      </c>
      <c r="C24" s="5" t="str">
        <f>'[1]Abstract review'!E24&amp;""</f>
        <v>2026</v>
      </c>
      <c r="D24" s="4" t="str">
        <f>'[1]Abstract review'!F24</f>
        <v>Network divergence analysis identifies adaptive gene modules and two orthogonal vulnerability axes in pancreatic cancer</v>
      </c>
      <c r="E24" s="4" t="str">
        <f>IF('[1]Abstract review'!G24="","",'[1]Abstract review'!G24)</f>
        <v>10.1002/1878-0261.70218</v>
      </c>
      <c r="F24" s="4" t="str">
        <f>IF('[1]Abstract review'!I24="I","Include → full text",IF('[1]Abstract review'!I24="E","Exclude",IF('[1]Abstract review'!I24="DUP","Duplicate — removed",'[1]Abstract review'!I24)))</f>
        <v>Include → full text</v>
      </c>
      <c r="G24" s="4" t="str">
        <f>IF('[1]Abstract review'!I24="E",'[1]Abstract review'!J24,"")</f>
        <v/>
      </c>
      <c r="H24" s="4">
        <f>'[1]Full-text screening-extraction'!A10</f>
        <v>9</v>
      </c>
      <c r="I24" s="4" t="str">
        <f>IF('[1]Full-text screening-extraction'!AB10="","",'[1]Full-text screening-extraction'!AB10)</f>
        <v>yes</v>
      </c>
      <c r="J24" s="4" t="str">
        <f>IF('[1]Full-text screening-extraction'!AC10="","",'[1]Full-text screening-extraction'!AC10)</f>
        <v>no</v>
      </c>
      <c r="K24" s="4" t="str">
        <f>IF('[1]Full-text screening-extraction'!AG10="","",'[1]Full-text screening-extraction'!AG10)</f>
        <v/>
      </c>
      <c r="L24" s="6" t="str">
        <f t="shared" si="0"/>
        <v>Exclude</v>
      </c>
      <c r="M24" s="6" t="str">
        <f t="shared" si="1"/>
        <v>Biomarker not independent after adjustment</v>
      </c>
      <c r="N24" s="6" t="str">
        <f>IF(L24="Include",IFERROR(INDEX('[1]Data extraction'!$AC$2:$AC$58,MATCH(H24+1,'[1]Data extraction'!$AA$2:$AA$58,0)),"not found"),"")</f>
        <v/>
      </c>
      <c r="O24" s="6" t="str">
        <f>IF(N24="","",IFERROR(INDEX('[1]Data extraction'!$L$2:$L$58,MATCH(N24,'[1]Data extraction'!$AC$2:$AC$58,0)),""))</f>
        <v/>
      </c>
      <c r="P24" s="7" t="str">
        <f t="shared" si="2"/>
        <v>Excluded at full text</v>
      </c>
      <c r="Q24" s="6" t="str">
        <f t="shared" si="3"/>
        <v>Independent prognostic value</v>
      </c>
      <c r="R24" s="4" t="str">
        <f>IF(P24&lt;&gt;"INCLUDED","",'[1]Full-text screening-extraction'!M10&amp;" ("&amp;'[1]Full-text screening-extraction'!K10&amp;"); outcome: "&amp;'[1]Full-text screening-extraction'!P10&amp;"; multivariable: "&amp;LEFT('[1]Full-text screening-extraction'!T10,120)&amp;" | adjusted for: "&amp;LEFT('[1]Full-text screening-extraction'!U10,100))</f>
        <v/>
      </c>
    </row>
    <row r="25" spans="1:25" x14ac:dyDescent="0.3">
      <c r="A25" s="4">
        <f>'[1]Abstract review'!C25</f>
        <v>21</v>
      </c>
      <c r="B25" s="4" t="str">
        <f>IFERROR(LEFT('[1]Abstract review'!D25,FIND(";",'[1]Abstract review'!D25)-1),'[1]Abstract review'!D25)</f>
        <v>Kentaro Miyake</v>
      </c>
      <c r="C25" s="5" t="str">
        <f>'[1]Abstract review'!E25&amp;""</f>
        <v>2026</v>
      </c>
      <c r="D25" s="4" t="str">
        <f>'[1]Abstract review'!F25</f>
        <v>High CDCP1 Expression Reflects Immune and Stromal Remodeling and Oncogenic Signaling in Pancreatic Ductal Adenocarcinoma</v>
      </c>
      <c r="E25" s="4" t="str">
        <f>IF('[1]Abstract review'!G25="","",'[1]Abstract review'!G25)</f>
        <v>10.14740/wjon2682</v>
      </c>
      <c r="F25" s="4" t="str">
        <f>IF('[1]Abstract review'!I25="I","Include → full text",IF('[1]Abstract review'!I25="E","Exclude",IF('[1]Abstract review'!I25="DUP","Duplicate — removed",'[1]Abstract review'!I25)))</f>
        <v>Exclude</v>
      </c>
      <c r="G25" s="4" t="str">
        <f>IF('[1]Abstract review'!I25="E",'[1]Abstract review'!J25,"")</f>
        <v>No prognostic value</v>
      </c>
      <c r="H25" s="4"/>
      <c r="I25" s="4"/>
      <c r="J25" s="4"/>
      <c r="K25" s="4"/>
      <c r="L25" s="6" t="str">
        <f t="shared" si="0"/>
        <v/>
      </c>
      <c r="M25" s="6" t="str">
        <f t="shared" si="1"/>
        <v/>
      </c>
      <c r="N25" s="6" t="str">
        <f>IF(L25="Include",IFERROR(INDEX('[1]Data extraction'!$AC$2:$AC$58,MATCH(H25+1,'[1]Data extraction'!$AA$2:$AA$58,0)),"not found"),"")</f>
        <v/>
      </c>
      <c r="O25" s="6" t="str">
        <f>IF(N25="","",IFERROR(INDEX('[1]Data extraction'!$L$2:$L$58,MATCH(N25,'[1]Data extraction'!$AC$2:$AC$58,0)),""))</f>
        <v/>
      </c>
      <c r="P25" s="7" t="str">
        <f t="shared" si="2"/>
        <v>Excluded at title/abstract</v>
      </c>
      <c r="Q25" s="6" t="str">
        <f t="shared" si="3"/>
        <v>Outcomes</v>
      </c>
      <c r="R25" s="4"/>
    </row>
    <row r="26" spans="1:25" ht="29.4" thickBot="1" x14ac:dyDescent="0.35">
      <c r="A26" s="4">
        <f>'[1]Abstract review'!C26</f>
        <v>22</v>
      </c>
      <c r="B26" s="4" t="str">
        <f>IFERROR(LEFT('[1]Abstract review'!D26,FIND(";",'[1]Abstract review'!D26)-1),'[1]Abstract review'!D26)</f>
        <v>Y. Miura</v>
      </c>
      <c r="C26" s="5" t="str">
        <f>'[1]Abstract review'!E26&amp;""</f>
        <v>2026</v>
      </c>
      <c r="D26" s="4" t="str">
        <f>'[1]Abstract review'!F26</f>
        <v>Comparison of Familial and Sporadic Pancreatic Cancer: Clinicopathological and Genomic Features</v>
      </c>
      <c r="E26" s="4" t="str">
        <f>IF('[1]Abstract review'!G26="","",'[1]Abstract review'!G26)</f>
        <v>10.1245/s10434-025-18556-3</v>
      </c>
      <c r="F26" s="4" t="str">
        <f>IF('[1]Abstract review'!I26="I","Include → full text",IF('[1]Abstract review'!I26="E","Exclude",IF('[1]Abstract review'!I26="DUP","Duplicate — removed",'[1]Abstract review'!I26)))</f>
        <v>Exclude</v>
      </c>
      <c r="G26" s="4" t="str">
        <f>IF('[1]Abstract review'!I26="E",'[1]Abstract review'!J26,"")</f>
        <v>Not transcriptomic/proteomic biomarker expression</v>
      </c>
      <c r="H26" s="4"/>
      <c r="I26" s="4"/>
      <c r="J26" s="4"/>
      <c r="K26" s="4"/>
      <c r="L26" s="6" t="str">
        <f t="shared" si="0"/>
        <v/>
      </c>
      <c r="M26" s="6" t="str">
        <f t="shared" si="1"/>
        <v/>
      </c>
      <c r="N26" s="6" t="str">
        <f>IF(L26="Include",IFERROR(INDEX('[1]Data extraction'!$AC$2:$AC$58,MATCH(H26+1,'[1]Data extraction'!$AA$2:$AA$58,0)),"not found"),"")</f>
        <v/>
      </c>
      <c r="O26" s="6" t="str">
        <f>IF(N26="","",IFERROR(INDEX('[1]Data extraction'!$L$2:$L$58,MATCH(N26,'[1]Data extraction'!$AC$2:$AC$58,0)),""))</f>
        <v/>
      </c>
      <c r="P26" s="7" t="str">
        <f t="shared" si="2"/>
        <v>Excluded at title/abstract</v>
      </c>
      <c r="Q26" s="6" t="str">
        <f t="shared" si="3"/>
        <v>Biomarker modality &amp; sample type</v>
      </c>
      <c r="R26" s="4"/>
      <c r="U26" s="3" t="s">
        <v>56</v>
      </c>
      <c r="V26" s="3" t="s">
        <v>57</v>
      </c>
      <c r="W26" s="3" t="s">
        <v>58</v>
      </c>
      <c r="X26" s="3" t="s">
        <v>59</v>
      </c>
    </row>
    <row r="27" spans="1:25" x14ac:dyDescent="0.3">
      <c r="A27" s="4">
        <f>'[1]Abstract review'!C27</f>
        <v>23</v>
      </c>
      <c r="B27" s="4" t="str">
        <f>IFERROR(LEFT('[1]Abstract review'!D27,FIND(";",'[1]Abstract review'!D27)-1),'[1]Abstract review'!D27)</f>
        <v>B. Miao</v>
      </c>
      <c r="C27" s="5" t="str">
        <f>'[1]Abstract review'!E27&amp;""</f>
        <v>2026</v>
      </c>
      <c r="D27" s="4" t="str">
        <f>'[1]Abstract review'!F27</f>
        <v>Signatures of Pancreatic Ductal Adenocarcinoma Uncovered by Integrative Multi-Omics Analysis</v>
      </c>
      <c r="E27" s="4" t="str">
        <f>IF('[1]Abstract review'!G27="","",'[1]Abstract review'!G27)</f>
        <v>10.3390/cancers18040687</v>
      </c>
      <c r="F27" s="4" t="str">
        <f>IF('[1]Abstract review'!I27="I","Include → full text",IF('[1]Abstract review'!I27="E","Exclude",IF('[1]Abstract review'!I27="DUP","Duplicate — removed",'[1]Abstract review'!I27)))</f>
        <v>Include → full text</v>
      </c>
      <c r="G27" s="4" t="str">
        <f>IF('[1]Abstract review'!I27="E",'[1]Abstract review'!J27,"")</f>
        <v/>
      </c>
      <c r="H27" s="4">
        <f>'[1]Full-text screening-extraction'!A11</f>
        <v>10</v>
      </c>
      <c r="I27" s="4" t="str">
        <f>IF('[1]Full-text screening-extraction'!AB11="","",'[1]Full-text screening-extraction'!AB11)</f>
        <v>no</v>
      </c>
      <c r="J27" s="4" t="str">
        <f>IF('[1]Full-text screening-extraction'!AC11="","",'[1]Full-text screening-extraction'!AC11)</f>
        <v>NA</v>
      </c>
      <c r="K27" s="4" t="str">
        <f>IF('[1]Full-text screening-extraction'!AG11="","",'[1]Full-text screening-extraction'!AG11)</f>
        <v/>
      </c>
      <c r="L27" s="6" t="str">
        <f t="shared" si="0"/>
        <v>Exclude</v>
      </c>
      <c r="M27" s="6" t="str">
        <f t="shared" si="1"/>
        <v>No adjusted multivariable model fitted</v>
      </c>
      <c r="N27" s="6" t="str">
        <f>IF(L27="Include",IFERROR(INDEX('[1]Data extraction'!$AC$2:$AC$58,MATCH(H27+1,'[1]Data extraction'!$AA$2:$AA$58,0)),"not found"),"")</f>
        <v/>
      </c>
      <c r="O27" s="6" t="str">
        <f>IF(N27="","",IFERROR(INDEX('[1]Data extraction'!$L$2:$L$58,MATCH(N27,'[1]Data extraction'!$AC$2:$AC$58,0)),""))</f>
        <v/>
      </c>
      <c r="P27" s="7" t="str">
        <f t="shared" si="2"/>
        <v>Excluded at full text</v>
      </c>
      <c r="Q27" s="6" t="str">
        <f t="shared" si="3"/>
        <v>Analysis &amp; synthesis eligibility</v>
      </c>
      <c r="R27" s="4" t="str">
        <f>IF(P27&lt;&gt;"INCLUDED","",'[1]Full-text screening-extraction'!M11&amp;" ("&amp;'[1]Full-text screening-extraction'!K11&amp;"); outcome: "&amp;'[1]Full-text screening-extraction'!P11&amp;"; multivariable: "&amp;LEFT('[1]Full-text screening-extraction'!T11,120)&amp;" | adjusted for: "&amp;LEFT('[1]Full-text screening-extraction'!U11,100))</f>
        <v/>
      </c>
      <c r="U27" t="s">
        <v>60</v>
      </c>
      <c r="V27">
        <f>COUNTIF($P$5:$P$294,"Excluded at title/abstract")</f>
        <v>159</v>
      </c>
      <c r="W27" s="10">
        <f>[1]PRISMA!B11</f>
        <v>159</v>
      </c>
      <c r="X27" t="str">
        <f>IF(V27=W27,"OK","MISMATCH")</f>
        <v>OK</v>
      </c>
    </row>
    <row r="28" spans="1:25" x14ac:dyDescent="0.3">
      <c r="A28" s="4">
        <f>'[1]Abstract review'!C28</f>
        <v>24</v>
      </c>
      <c r="B28" s="4" t="str">
        <f>IFERROR(LEFT('[1]Abstract review'!D28,FIND(";",'[1]Abstract review'!D28)-1),'[1]Abstract review'!D28)</f>
        <v>Muhammad Shahid Mehmood</v>
      </c>
      <c r="C28" s="5" t="str">
        <f>'[1]Abstract review'!E28&amp;""</f>
        <v>2026</v>
      </c>
      <c r="D28" s="4" t="str">
        <f>'[1]Abstract review'!F28</f>
        <v>CRISPR-Cas13a diagnostics for circulating microbial transcripts in pancreatic cancer</v>
      </c>
      <c r="E28" s="4" t="str">
        <f>IF('[1]Abstract review'!G28="","",'[1]Abstract review'!G28)</f>
        <v>10.1097/ms9.0000000000004392</v>
      </c>
      <c r="F28" s="4" t="str">
        <f>IF('[1]Abstract review'!I28="I","Include → full text",IF('[1]Abstract review'!I28="E","Exclude",IF('[1]Abstract review'!I28="DUP","Duplicate — removed",'[1]Abstract review'!I28)))</f>
        <v>Exclude</v>
      </c>
      <c r="G28" s="4" t="str">
        <f>IF('[1]Abstract review'!I28="E",'[1]Abstract review'!J28,"")</f>
        <v>Diagnostic value</v>
      </c>
      <c r="H28" s="4"/>
      <c r="I28" s="4"/>
      <c r="J28" s="4"/>
      <c r="K28" s="4"/>
      <c r="L28" s="6" t="str">
        <f t="shared" si="0"/>
        <v/>
      </c>
      <c r="M28" s="6" t="str">
        <f t="shared" si="1"/>
        <v/>
      </c>
      <c r="N28" s="6" t="str">
        <f>IF(L28="Include",IFERROR(INDEX('[1]Data extraction'!$AC$2:$AC$58,MATCH(H28+1,'[1]Data extraction'!$AA$2:$AA$58,0)),"not found"),"")</f>
        <v/>
      </c>
      <c r="O28" s="6" t="str">
        <f>IF(N28="","",IFERROR(INDEX('[1]Data extraction'!$L$2:$L$58,MATCH(N28,'[1]Data extraction'!$AC$2:$AC$58,0)),""))</f>
        <v/>
      </c>
      <c r="P28" s="7" t="str">
        <f t="shared" si="2"/>
        <v>Excluded at title/abstract</v>
      </c>
      <c r="Q28" s="6" t="str">
        <f t="shared" si="3"/>
        <v>Outcomes</v>
      </c>
      <c r="R28" s="4"/>
      <c r="U28" t="s">
        <v>61</v>
      </c>
      <c r="V28">
        <f>COUNT($H$5:$H$294)</f>
        <v>127</v>
      </c>
      <c r="W28" s="10">
        <f>[1]PRISMA!B35</f>
        <v>127</v>
      </c>
      <c r="X28" t="str">
        <f>IF(V28=W28,"OK","MISMATCH")</f>
        <v>OK</v>
      </c>
    </row>
    <row r="29" spans="1:25" x14ac:dyDescent="0.3">
      <c r="A29" s="4">
        <f>'[1]Abstract review'!C29</f>
        <v>25</v>
      </c>
      <c r="B29" s="4" t="str">
        <f>IFERROR(LEFT('[1]Abstract review'!D29,FIND(";",'[1]Abstract review'!D29)-1),'[1]Abstract review'!D29)</f>
        <v>Hannah Mearns</v>
      </c>
      <c r="C29" s="5" t="str">
        <f>'[1]Abstract review'!E29&amp;""</f>
        <v>2026</v>
      </c>
      <c r="D29" s="4" t="str">
        <f>'[1]Abstract review'!F29</f>
        <v>Identification of serum protein biomarkers for pre-cancerous lesions associated with pancreatic ductal adenocarcinoma</v>
      </c>
      <c r="E29" s="4" t="str">
        <f>IF('[1]Abstract review'!G29="","",'[1]Abstract review'!G29)</f>
        <v>10.1002/1878-0261.70213</v>
      </c>
      <c r="F29" s="4" t="str">
        <f>IF('[1]Abstract review'!I29="I","Include → full text",IF('[1]Abstract review'!I29="E","Exclude",IF('[1]Abstract review'!I29="DUP","Duplicate — removed",'[1]Abstract review'!I29)))</f>
        <v>Exclude</v>
      </c>
      <c r="G29" s="4" t="str">
        <f>IF('[1]Abstract review'!I29="E",'[1]Abstract review'!J29,"")</f>
        <v>Diagnostic value</v>
      </c>
      <c r="H29" s="4"/>
      <c r="I29" s="4"/>
      <c r="J29" s="4"/>
      <c r="K29" s="4"/>
      <c r="L29" s="6" t="str">
        <f t="shared" si="0"/>
        <v/>
      </c>
      <c r="M29" s="6" t="str">
        <f t="shared" si="1"/>
        <v/>
      </c>
      <c r="N29" s="6" t="str">
        <f>IF(L29="Include",IFERROR(INDEX('[1]Data extraction'!$AC$2:$AC$58,MATCH(H29+1,'[1]Data extraction'!$AA$2:$AA$58,0)),"not found"),"")</f>
        <v/>
      </c>
      <c r="O29" s="6" t="str">
        <f>IF(N29="","",IFERROR(INDEX('[1]Data extraction'!$L$2:$L$58,MATCH(N29,'[1]Data extraction'!$AC$2:$AC$58,0)),""))</f>
        <v/>
      </c>
      <c r="P29" s="7" t="str">
        <f t="shared" si="2"/>
        <v>Excluded at title/abstract</v>
      </c>
      <c r="Q29" s="6" t="str">
        <f t="shared" si="3"/>
        <v>Outcomes</v>
      </c>
      <c r="R29" s="4"/>
      <c r="U29" t="s">
        <v>62</v>
      </c>
      <c r="V29">
        <f>COUNTIF($P$5:$P$294,"Excluded at full text")</f>
        <v>70</v>
      </c>
      <c r="W29" s="10">
        <f>[1]PRISMA!B36</f>
        <v>70</v>
      </c>
      <c r="X29" t="str">
        <f>IF(V29=W29,"OK","MISMATCH")</f>
        <v>OK</v>
      </c>
    </row>
    <row r="30" spans="1:25" x14ac:dyDescent="0.3">
      <c r="A30" s="4">
        <f>'[1]Abstract review'!C30</f>
        <v>26</v>
      </c>
      <c r="B30" s="4" t="str">
        <f>IFERROR(LEFT('[1]Abstract review'!D30,FIND(";",'[1]Abstract review'!D30)-1),'[1]Abstract review'!D30)</f>
        <v>Paul Manoukian</v>
      </c>
      <c r="C30" s="5" t="str">
        <f>'[1]Abstract review'!E30&amp;""</f>
        <v>2026</v>
      </c>
      <c r="D30" s="4" t="str">
        <f>'[1]Abstract review'!F30</f>
        <v>Estrogen Production in Pancreatic Cancer Shapes a Tumor-Suppressive Stromal Microenvironment</v>
      </c>
      <c r="E30" s="4" t="str">
        <f>IF('[1]Abstract review'!G30="","",'[1]Abstract review'!G30)</f>
        <v>10.1158/0008-5472.can-24-4707</v>
      </c>
      <c r="F30" s="4" t="str">
        <f>IF('[1]Abstract review'!I30="I","Include → full text",IF('[1]Abstract review'!I30="E","Exclude",IF('[1]Abstract review'!I30="DUP","Duplicate — removed",'[1]Abstract review'!I30)))</f>
        <v>Include → full text</v>
      </c>
      <c r="G30" s="4" t="str">
        <f>IF('[1]Abstract review'!I30="E",'[1]Abstract review'!J30,"")</f>
        <v/>
      </c>
      <c r="H30" s="4">
        <f>'[1]Full-text screening-extraction'!A12</f>
        <v>11</v>
      </c>
      <c r="I30" s="4" t="str">
        <f>IF('[1]Full-text screening-extraction'!AB12="","",'[1]Full-text screening-extraction'!AB12)</f>
        <v>no</v>
      </c>
      <c r="J30" s="4" t="str">
        <f>IF('[1]Full-text screening-extraction'!AC12="","",'[1]Full-text screening-extraction'!AC12)</f>
        <v>NA</v>
      </c>
      <c r="K30" s="4" t="str">
        <f>IF('[1]Full-text screening-extraction'!AG12="","",'[1]Full-text screening-extraction'!AG12)</f>
        <v/>
      </c>
      <c r="L30" s="6" t="str">
        <f t="shared" si="0"/>
        <v>Exclude</v>
      </c>
      <c r="M30" s="6" t="str">
        <f t="shared" si="1"/>
        <v>No adjusted multivariable model fitted</v>
      </c>
      <c r="N30" s="6" t="str">
        <f>IF(L30="Include",IFERROR(INDEX('[1]Data extraction'!$AC$2:$AC$58,MATCH(H30+1,'[1]Data extraction'!$AA$2:$AA$58,0)),"not found"),"")</f>
        <v/>
      </c>
      <c r="O30" s="6" t="str">
        <f>IF(N30="","",IFERROR(INDEX('[1]Data extraction'!$L$2:$L$58,MATCH(N30,'[1]Data extraction'!$AC$2:$AC$58,0)),""))</f>
        <v/>
      </c>
      <c r="P30" s="7" t="str">
        <f t="shared" si="2"/>
        <v>Excluded at full text</v>
      </c>
      <c r="Q30" s="6" t="str">
        <f t="shared" si="3"/>
        <v>Analysis &amp; synthesis eligibility</v>
      </c>
      <c r="R30" s="4" t="str">
        <f>IF(P30&lt;&gt;"INCLUDED","",'[1]Full-text screening-extraction'!M12&amp;" ("&amp;'[1]Full-text screening-extraction'!K12&amp;"); outcome: "&amp;'[1]Full-text screening-extraction'!P12&amp;"; multivariable: "&amp;LEFT('[1]Full-text screening-extraction'!T12,120)&amp;" | adjusted for: "&amp;LEFT('[1]Full-text screening-extraction'!U12,100))</f>
        <v/>
      </c>
      <c r="U30" t="s">
        <v>63</v>
      </c>
      <c r="V30">
        <f>COUNTIF($P$5:$P$294,"INCLUDED")</f>
        <v>57</v>
      </c>
      <c r="W30" s="10">
        <f>[1]PRISMA!B42</f>
        <v>57</v>
      </c>
      <c r="X30" t="str">
        <f>IF(V30=W30,"OK","MISMATCH")</f>
        <v>OK</v>
      </c>
    </row>
    <row r="31" spans="1:25" x14ac:dyDescent="0.3">
      <c r="A31" s="4">
        <f>'[1]Abstract review'!C31</f>
        <v>27</v>
      </c>
      <c r="B31" s="4" t="str">
        <f>IFERROR(LEFT('[1]Abstract review'!D31,FIND(";",'[1]Abstract review'!D31)-1),'[1]Abstract review'!D31)</f>
        <v>C. Lu</v>
      </c>
      <c r="C31" s="5" t="str">
        <f>'[1]Abstract review'!E31&amp;""</f>
        <v>2026</v>
      </c>
      <c r="D31" s="4" t="str">
        <f>'[1]Abstract review'!F31</f>
        <v>zDHHC-mediated palmitoylation modification patterns and tumor immune microenvironment infiltration characterization in pancreatic cancer</v>
      </c>
      <c r="E31" s="4" t="str">
        <f>IF('[1]Abstract review'!G31="","",'[1]Abstract review'!G31)</f>
        <v>10.1016/j.intimp.2025.115863</v>
      </c>
      <c r="F31" s="4" t="str">
        <f>IF('[1]Abstract review'!I31="I","Include → full text",IF('[1]Abstract review'!I31="E","Exclude",IF('[1]Abstract review'!I31="DUP","Duplicate — removed",'[1]Abstract review'!I31)))</f>
        <v>Include → full text</v>
      </c>
      <c r="G31" s="4" t="str">
        <f>IF('[1]Abstract review'!I31="E",'[1]Abstract review'!J31,"")</f>
        <v/>
      </c>
      <c r="H31" s="4">
        <f>'[1]Full-text screening-extraction'!A13</f>
        <v>12</v>
      </c>
      <c r="I31" s="4" t="str">
        <f>IF('[1]Full-text screening-extraction'!AB13="","",'[1]Full-text screening-extraction'!AB13)</f>
        <v>yes</v>
      </c>
      <c r="J31" s="4" t="str">
        <f>IF('[1]Full-text screening-extraction'!AC13="","",'[1]Full-text screening-extraction'!AC13)</f>
        <v>yes</v>
      </c>
      <c r="K31" s="4" t="str">
        <f>IF('[1]Full-text screening-extraction'!AG13="","",'[1]Full-text screening-extraction'!AG13)</f>
        <v/>
      </c>
      <c r="L31" s="6" t="str">
        <f t="shared" si="0"/>
        <v>Include</v>
      </c>
      <c r="M31" s="6" t="str">
        <f t="shared" si="1"/>
        <v/>
      </c>
      <c r="N31" s="6" t="str">
        <f>IF(L31="Include",IFERROR(INDEX('[1]Data extraction'!$AC$2:$AC$58,MATCH(H31+1,'[1]Data extraction'!$AA$2:$AA$58,0)),"not found"),"")</f>
        <v>EV-28</v>
      </c>
      <c r="O31" s="6" t="str">
        <f>IF(N31="","",IFERROR(INDEX('[1]Data extraction'!$L$2:$L$58,MATCH(N31,'[1]Data extraction'!$AC$2:$AC$58,0)),""))</f>
        <v>A-</v>
      </c>
      <c r="P31" s="7" t="str">
        <f t="shared" si="2"/>
        <v>INCLUDED</v>
      </c>
      <c r="Q31" s="6" t="str">
        <f t="shared" si="3"/>
        <v>All PICOS rows + Independent prognostic value</v>
      </c>
      <c r="R31" s="4" t="str">
        <f>IF(P31&lt;&gt;"INCLUDED","",'[1]Full-text screening-extraction'!M13&amp;" ("&amp;'[1]Full-text screening-extraction'!K13&amp;"); outcome: "&amp;'[1]Full-text screening-extraction'!P13&amp;"; multivariable: "&amp;LEFT('[1]Full-text screening-extraction'!T13,120)&amp;" | adjusted for: "&amp;LEFT('[1]Full-text screening-extraction'!U13,100))</f>
        <v>Palmitoylation-related gene signature (PRGS, 7 genes: DCBLD2, CXCL5, ASPH, LAMC2, KRT6A, TOP2A, NPNT); upstream regulators: zDHHC family (palmitoyltransferases) (Transcriptomics + single-cell RNA-seq + mutational profiling + immune deconvolution + pathway analysis); outcome: Overall survival (OS); multivariable: PRGS model demonstrated strong prognostic predictive capability across independent cohorts (exact HR values not reported | adjusted for: LASSO model inherently adjusts for gene interactions; specific clinical covariates not clearly repor</v>
      </c>
      <c r="U31" t="s">
        <v>64</v>
      </c>
      <c r="V31">
        <f>COUNTA($A$299:$A$312)</f>
        <v>14</v>
      </c>
      <c r="W31" s="10">
        <f>[1]PRISMA!C14</f>
        <v>14</v>
      </c>
      <c r="X31" t="str">
        <f>IF(V31=W31,"OK","MISMATCH")</f>
        <v>OK</v>
      </c>
    </row>
    <row r="32" spans="1:25" x14ac:dyDescent="0.3">
      <c r="A32" s="4">
        <f>'[1]Abstract review'!C32</f>
        <v>28</v>
      </c>
      <c r="B32" s="4" t="str">
        <f>IFERROR(LEFT('[1]Abstract review'!D32,FIND(";",'[1]Abstract review'!D32)-1),'[1]Abstract review'!D32)</f>
        <v>Z. Liu</v>
      </c>
      <c r="C32" s="5" t="str">
        <f>'[1]Abstract review'!E32&amp;""</f>
        <v>2026</v>
      </c>
      <c r="D32" s="4" t="str">
        <f>'[1]Abstract review'!F32</f>
        <v>PRSS23 promotes pancreatic cancer progression through regulating Hippo-YAP activity</v>
      </c>
      <c r="E32" s="4" t="str">
        <f>IF('[1]Abstract review'!G32="","",'[1]Abstract review'!G32)</f>
        <v>10.1016/j.bbrc.2025.153157</v>
      </c>
      <c r="F32" s="4" t="str">
        <f>IF('[1]Abstract review'!I32="I","Include → full text",IF('[1]Abstract review'!I32="E","Exclude",IF('[1]Abstract review'!I32="DUP","Duplicate — removed",'[1]Abstract review'!I32)))</f>
        <v>Include → full text</v>
      </c>
      <c r="G32" s="4" t="str">
        <f>IF('[1]Abstract review'!I32="E",'[1]Abstract review'!J32,"")</f>
        <v/>
      </c>
      <c r="H32" s="4">
        <f>'[1]Full-text screening-extraction'!A14</f>
        <v>13</v>
      </c>
      <c r="I32" s="4" t="str">
        <f>IF('[1]Full-text screening-extraction'!AB14="","",'[1]Full-text screening-extraction'!AB14)</f>
        <v>no</v>
      </c>
      <c r="J32" s="4" t="str">
        <f>IF('[1]Full-text screening-extraction'!AC14="","",'[1]Full-text screening-extraction'!AC14)</f>
        <v>NA</v>
      </c>
      <c r="K32" s="4" t="str">
        <f>IF('[1]Full-text screening-extraction'!AG14="","",'[1]Full-text screening-extraction'!AG14)</f>
        <v/>
      </c>
      <c r="L32" s="6" t="str">
        <f t="shared" si="0"/>
        <v>Exclude</v>
      </c>
      <c r="M32" s="6" t="str">
        <f t="shared" si="1"/>
        <v>No adjusted multivariable model fitted</v>
      </c>
      <c r="N32" s="6" t="str">
        <f>IF(L32="Include",IFERROR(INDEX('[1]Data extraction'!$AC$2:$AC$58,MATCH(H32+1,'[1]Data extraction'!$AA$2:$AA$58,0)),"not found"),"")</f>
        <v/>
      </c>
      <c r="O32" s="6" t="str">
        <f>IF(N32="","",IFERROR(INDEX('[1]Data extraction'!$L$2:$L$58,MATCH(N32,'[1]Data extraction'!$AC$2:$AC$58,0)),""))</f>
        <v/>
      </c>
      <c r="P32" s="7" t="str">
        <f t="shared" si="2"/>
        <v>Excluded at full text</v>
      </c>
      <c r="Q32" s="6" t="str">
        <f t="shared" si="3"/>
        <v>Analysis &amp; synthesis eligibility</v>
      </c>
      <c r="R32" s="4" t="str">
        <f>IF(P32&lt;&gt;"INCLUDED","",'[1]Full-text screening-extraction'!M14&amp;" ("&amp;'[1]Full-text screening-extraction'!K14&amp;"); outcome: "&amp;'[1]Full-text screening-extraction'!P14&amp;"; multivariable: "&amp;LEFT('[1]Full-text screening-extraction'!T14,120)&amp;" | adjusted for: "&amp;LEFT('[1]Full-text screening-extraction'!U14,100))</f>
        <v/>
      </c>
    </row>
    <row r="33" spans="1:18" x14ac:dyDescent="0.3">
      <c r="A33" s="4">
        <f>'[1]Abstract review'!C33</f>
        <v>29</v>
      </c>
      <c r="B33" s="4" t="str">
        <f>IFERROR(LEFT('[1]Abstract review'!D33,FIND(";",'[1]Abstract review'!D33)-1),'[1]Abstract review'!D33)</f>
        <v>W. Liu</v>
      </c>
      <c r="C33" s="5" t="str">
        <f>'[1]Abstract review'!E33&amp;""</f>
        <v>2026</v>
      </c>
      <c r="D33" s="4" t="str">
        <f>'[1]Abstract review'!F33</f>
        <v>SLC25A39 binds and modulates PRDX1 to suppress ROS-induced necroptosis in hepatocellular carcinoma</v>
      </c>
      <c r="E33" s="4" t="str">
        <f>IF('[1]Abstract review'!G33="","",'[1]Abstract review'!G33)</f>
        <v>10.1016/j.intimp.2026.116246</v>
      </c>
      <c r="F33" s="4" t="str">
        <f>IF('[1]Abstract review'!I33="I","Include → full text",IF('[1]Abstract review'!I33="E","Exclude",IF('[1]Abstract review'!I33="DUP","Duplicate — removed",'[1]Abstract review'!I33)))</f>
        <v>Exclude</v>
      </c>
      <c r="G33" s="4" t="str">
        <f>IF('[1]Abstract review'!I33="E",'[1]Abstract review'!J33,"")</f>
        <v>no pdac</v>
      </c>
      <c r="H33" s="4"/>
      <c r="I33" s="4"/>
      <c r="J33" s="4"/>
      <c r="K33" s="4"/>
      <c r="L33" s="6" t="str">
        <f t="shared" si="0"/>
        <v/>
      </c>
      <c r="M33" s="6" t="str">
        <f t="shared" si="1"/>
        <v/>
      </c>
      <c r="N33" s="6" t="str">
        <f>IF(L33="Include",IFERROR(INDEX('[1]Data extraction'!$AC$2:$AC$58,MATCH(H33+1,'[1]Data extraction'!$AA$2:$AA$58,0)),"not found"),"")</f>
        <v/>
      </c>
      <c r="O33" s="6" t="str">
        <f>IF(N33="","",IFERROR(INDEX('[1]Data extraction'!$L$2:$L$58,MATCH(N33,'[1]Data extraction'!$AC$2:$AC$58,0)),""))</f>
        <v/>
      </c>
      <c r="P33" s="7" t="str">
        <f t="shared" si="2"/>
        <v>Excluded at title/abstract</v>
      </c>
      <c r="Q33" s="6" t="str">
        <f t="shared" si="3"/>
        <v>Population</v>
      </c>
      <c r="R33" s="4"/>
    </row>
    <row r="34" spans="1:18" x14ac:dyDescent="0.3">
      <c r="A34" s="4">
        <f>'[1]Abstract review'!C34</f>
        <v>30</v>
      </c>
      <c r="B34" s="4" t="str">
        <f>IFERROR(LEFT('[1]Abstract review'!D34,FIND(";",'[1]Abstract review'!D34)-1),'[1]Abstract review'!D34)</f>
        <v>F. Liu</v>
      </c>
      <c r="C34" s="5" t="str">
        <f>'[1]Abstract review'!E34&amp;""</f>
        <v>2026</v>
      </c>
      <c r="D34" s="4" t="str">
        <f>'[1]Abstract review'!F34</f>
        <v>Comprehensive machine learning identifies anoikis signatures predicting therapeutic resistance and survival in gastric cancer</v>
      </c>
      <c r="E34" s="4" t="str">
        <f>IF('[1]Abstract review'!G34="","",'[1]Abstract review'!G34)</f>
        <v>10.1038/s41598-026-38996-5</v>
      </c>
      <c r="F34" s="4" t="str">
        <f>IF('[1]Abstract review'!I34="I","Include → full text",IF('[1]Abstract review'!I34="E","Exclude",IF('[1]Abstract review'!I34="DUP","Duplicate — removed",'[1]Abstract review'!I34)))</f>
        <v>Exclude</v>
      </c>
      <c r="G34" s="4" t="str">
        <f>IF('[1]Abstract review'!I34="E",'[1]Abstract review'!J34,"")</f>
        <v>no pdac</v>
      </c>
      <c r="H34" s="4"/>
      <c r="I34" s="4"/>
      <c r="J34" s="4"/>
      <c r="K34" s="4"/>
      <c r="L34" s="6" t="str">
        <f t="shared" si="0"/>
        <v/>
      </c>
      <c r="M34" s="6" t="str">
        <f t="shared" si="1"/>
        <v/>
      </c>
      <c r="N34" s="6" t="str">
        <f>IF(L34="Include",IFERROR(INDEX('[1]Data extraction'!$AC$2:$AC$58,MATCH(H34+1,'[1]Data extraction'!$AA$2:$AA$58,0)),"not found"),"")</f>
        <v/>
      </c>
      <c r="O34" s="6" t="str">
        <f>IF(N34="","",IFERROR(INDEX('[1]Data extraction'!$L$2:$L$58,MATCH(N34,'[1]Data extraction'!$AC$2:$AC$58,0)),""))</f>
        <v/>
      </c>
      <c r="P34" s="7" t="str">
        <f t="shared" si="2"/>
        <v>Excluded at title/abstract</v>
      </c>
      <c r="Q34" s="6" t="str">
        <f t="shared" si="3"/>
        <v>Population</v>
      </c>
      <c r="R34" s="4"/>
    </row>
    <row r="35" spans="1:18" x14ac:dyDescent="0.3">
      <c r="A35" s="4">
        <f>'[1]Abstract review'!C35</f>
        <v>31</v>
      </c>
      <c r="B35" s="4" t="str">
        <f>IFERROR(LEFT('[1]Abstract review'!D35,FIND(";",'[1]Abstract review'!D35)-1),'[1]Abstract review'!D35)</f>
        <v>S. Lin</v>
      </c>
      <c r="C35" s="5" t="str">
        <f>'[1]Abstract review'!E35&amp;""</f>
        <v>2026</v>
      </c>
      <c r="D35" s="4" t="str">
        <f>'[1]Abstract review'!F35</f>
        <v>Integrative Transcriptomic and Proteomic Profiling Defines Secretory and Immune Related Subtypes in Pancreatic Ductal Adenocarcinoma</v>
      </c>
      <c r="E35" s="4" t="str">
        <f>IF('[1]Abstract review'!G35="","",'[1]Abstract review'!G35)</f>
        <v>10.1021/acs.jproteome.5c01146</v>
      </c>
      <c r="F35" s="4" t="str">
        <f>IF('[1]Abstract review'!I35="I","Include → full text",IF('[1]Abstract review'!I35="E","Exclude",IF('[1]Abstract review'!I35="DUP","Duplicate — removed",'[1]Abstract review'!I35)))</f>
        <v>Include → full text</v>
      </c>
      <c r="G35" s="4" t="str">
        <f>IF('[1]Abstract review'!I35="E",'[1]Abstract review'!J35,"")</f>
        <v/>
      </c>
      <c r="H35" s="4">
        <f>'[1]Full-text screening-extraction'!A15</f>
        <v>14</v>
      </c>
      <c r="I35" s="4" t="str">
        <f>IF('[1]Full-text screening-extraction'!AB15="","",'[1]Full-text screening-extraction'!AB15)</f>
        <v>no</v>
      </c>
      <c r="J35" s="4" t="str">
        <f>IF('[1]Full-text screening-extraction'!AC15="","",'[1]Full-text screening-extraction'!AC15)</f>
        <v>NA</v>
      </c>
      <c r="K35" s="4" t="str">
        <f>IF('[1]Full-text screening-extraction'!AG15="","",'[1]Full-text screening-extraction'!AG15)</f>
        <v/>
      </c>
      <c r="L35" s="6" t="str">
        <f t="shared" si="0"/>
        <v>Exclude</v>
      </c>
      <c r="M35" s="6" t="str">
        <f t="shared" si="1"/>
        <v>No adjusted multivariable model fitted</v>
      </c>
      <c r="N35" s="6" t="str">
        <f>IF(L35="Include",IFERROR(INDEX('[1]Data extraction'!$AC$2:$AC$58,MATCH(H35+1,'[1]Data extraction'!$AA$2:$AA$58,0)),"not found"),"")</f>
        <v/>
      </c>
      <c r="O35" s="6" t="str">
        <f>IF(N35="","",IFERROR(INDEX('[1]Data extraction'!$L$2:$L$58,MATCH(N35,'[1]Data extraction'!$AC$2:$AC$58,0)),""))</f>
        <v/>
      </c>
      <c r="P35" s="7" t="str">
        <f t="shared" si="2"/>
        <v>Excluded at full text</v>
      </c>
      <c r="Q35" s="6" t="str">
        <f t="shared" si="3"/>
        <v>Analysis &amp; synthesis eligibility</v>
      </c>
      <c r="R35" s="4" t="str">
        <f>IF(P35&lt;&gt;"INCLUDED","",'[1]Full-text screening-extraction'!M15&amp;" ("&amp;'[1]Full-text screening-extraction'!K15&amp;"); outcome: "&amp;'[1]Full-text screening-extraction'!P15&amp;"; multivariable: "&amp;LEFT('[1]Full-text screening-extraction'!T15,120)&amp;" | adjusted for: "&amp;LEFT('[1]Full-text screening-extraction'!U15,100))</f>
        <v/>
      </c>
    </row>
    <row r="36" spans="1:18" x14ac:dyDescent="0.3">
      <c r="A36" s="4">
        <f>'[1]Abstract review'!C36</f>
        <v>32</v>
      </c>
      <c r="B36" s="4" t="str">
        <f>IFERROR(LEFT('[1]Abstract review'!D36,FIND(";",'[1]Abstract review'!D36)-1),'[1]Abstract review'!D36)</f>
        <v>Y. Liang</v>
      </c>
      <c r="C36" s="5" t="str">
        <f>'[1]Abstract review'!E36&amp;""</f>
        <v>2026</v>
      </c>
      <c r="D36" s="4" t="str">
        <f>'[1]Abstract review'!F36</f>
        <v>Integrative multi-omics reveal a CD4⁺ T cell-derived six-gene signature linking the immune-stromal ecosystem to prognosis and immunotherapy selection in pancreatic cancer</v>
      </c>
      <c r="E36" s="4" t="str">
        <f>IF('[1]Abstract review'!G36="","",'[1]Abstract review'!G36)</f>
        <v>10.1186/s12885-026-15613-2</v>
      </c>
      <c r="F36" s="4" t="str">
        <f>IF('[1]Abstract review'!I36="I","Include → full text",IF('[1]Abstract review'!I36="E","Exclude",IF('[1]Abstract review'!I36="DUP","Duplicate — removed",'[1]Abstract review'!I36)))</f>
        <v>Include → full text</v>
      </c>
      <c r="G36" s="4" t="str">
        <f>IF('[1]Abstract review'!I36="E",'[1]Abstract review'!J36,"")</f>
        <v/>
      </c>
      <c r="H36" s="4">
        <f>'[1]Full-text screening-extraction'!A16</f>
        <v>15</v>
      </c>
      <c r="I36" s="4" t="str">
        <f>IF('[1]Full-text screening-extraction'!AB16="","",'[1]Full-text screening-extraction'!AB16)</f>
        <v>yes</v>
      </c>
      <c r="J36" s="4" t="str">
        <f>IF('[1]Full-text screening-extraction'!AC16="","",'[1]Full-text screening-extraction'!AC16)</f>
        <v>unclear</v>
      </c>
      <c r="K36" s="4" t="str">
        <f>IF('[1]Full-text screening-extraction'!AG16="","",'[1]Full-text screening-extraction'!AG16)</f>
        <v/>
      </c>
      <c r="L36" s="6" t="str">
        <f t="shared" si="0"/>
        <v>Exclude</v>
      </c>
      <c r="M36" s="6" t="str">
        <f t="shared" si="1"/>
        <v>Unclear whether an adjusted model was fitted</v>
      </c>
      <c r="N36" s="6" t="str">
        <f>IF(L36="Include",IFERROR(INDEX('[1]Data extraction'!$AC$2:$AC$58,MATCH(H36+1,'[1]Data extraction'!$AA$2:$AA$58,0)),"not found"),"")</f>
        <v/>
      </c>
      <c r="O36" s="6" t="str">
        <f>IF(N36="","",IFERROR(INDEX('[1]Data extraction'!$L$2:$L$58,MATCH(N36,'[1]Data extraction'!$AC$2:$AC$58,0)),""))</f>
        <v/>
      </c>
      <c r="P36" s="7" t="str">
        <f t="shared" si="2"/>
        <v>Excluded at full text</v>
      </c>
      <c r="Q36" s="6" t="str">
        <f t="shared" si="3"/>
        <v>Analysis &amp; synthesis eligibility</v>
      </c>
      <c r="R36" s="4" t="str">
        <f>IF(P36&lt;&gt;"INCLUDED","",'[1]Full-text screening-extraction'!M16&amp;" ("&amp;'[1]Full-text screening-extraction'!K16&amp;"); outcome: "&amp;'[1]Full-text screening-extraction'!P16&amp;"; multivariable: "&amp;LEFT('[1]Full-text screening-extraction'!T16,120)&amp;" | adjusted for: "&amp;LEFT('[1]Full-text screening-extraction'!U16,100))</f>
        <v/>
      </c>
    </row>
    <row r="37" spans="1:18" x14ac:dyDescent="0.3">
      <c r="A37" s="4">
        <f>'[1]Abstract review'!C37</f>
        <v>33</v>
      </c>
      <c r="B37" s="4" t="str">
        <f>IFERROR(LEFT('[1]Abstract review'!D37,FIND(";",'[1]Abstract review'!D37)-1),'[1]Abstract review'!D37)</f>
        <v>Luo Liang</v>
      </c>
      <c r="C37" s="5" t="str">
        <f>'[1]Abstract review'!E37&amp;""</f>
        <v>2026</v>
      </c>
      <c r="D37" s="4" t="str">
        <f>'[1]Abstract review'!F37</f>
        <v>The impact of p53 mutation on tumor immune evasion: mechanistic insights and clinical implications</v>
      </c>
      <c r="E37" s="4" t="str">
        <f>IF('[1]Abstract review'!G37="","",'[1]Abstract review'!G37)</f>
        <v>10.3389/fimmu.2026.1753215</v>
      </c>
      <c r="F37" s="4" t="str">
        <f>IF('[1]Abstract review'!I37="I","Include → full text",IF('[1]Abstract review'!I37="E","Exclude",IF('[1]Abstract review'!I37="DUP","Duplicate — removed",'[1]Abstract review'!I37)))</f>
        <v>Exclude</v>
      </c>
      <c r="G37" s="4" t="str">
        <f>IF('[1]Abstract review'!I37="E",'[1]Abstract review'!J37,"")</f>
        <v>Not transcriptomic/proteomic biomarker expression</v>
      </c>
      <c r="H37" s="4"/>
      <c r="I37" s="4"/>
      <c r="J37" s="4"/>
      <c r="K37" s="4"/>
      <c r="L37" s="6" t="str">
        <f t="shared" si="0"/>
        <v/>
      </c>
      <c r="M37" s="6" t="str">
        <f t="shared" si="1"/>
        <v/>
      </c>
      <c r="N37" s="6" t="str">
        <f>IF(L37="Include",IFERROR(INDEX('[1]Data extraction'!$AC$2:$AC$58,MATCH(H37+1,'[1]Data extraction'!$AA$2:$AA$58,0)),"not found"),"")</f>
        <v/>
      </c>
      <c r="O37" s="6" t="str">
        <f>IF(N37="","",IFERROR(INDEX('[1]Data extraction'!$L$2:$L$58,MATCH(N37,'[1]Data extraction'!$AC$2:$AC$58,0)),""))</f>
        <v/>
      </c>
      <c r="P37" s="7" t="str">
        <f t="shared" si="2"/>
        <v>Excluded at title/abstract</v>
      </c>
      <c r="Q37" s="6" t="str">
        <f t="shared" si="3"/>
        <v>Biomarker modality &amp; sample type</v>
      </c>
      <c r="R37" s="4"/>
    </row>
    <row r="38" spans="1:18" x14ac:dyDescent="0.3">
      <c r="A38" s="4">
        <f>'[1]Abstract review'!C38</f>
        <v>34</v>
      </c>
      <c r="B38" s="4" t="str">
        <f>IFERROR(LEFT('[1]Abstract review'!D38,FIND(";",'[1]Abstract review'!D38)-1),'[1]Abstract review'!D38)</f>
        <v>J. Li</v>
      </c>
      <c r="C38" s="5" t="str">
        <f>'[1]Abstract review'!E38&amp;""</f>
        <v>2026</v>
      </c>
      <c r="D38" s="4" t="str">
        <f>'[1]Abstract review'!F38</f>
        <v>FNDC4 Drives Metastasis and Immune Evasion in Pancreatic Cancer</v>
      </c>
      <c r="E38" s="4" t="str">
        <f>IF('[1]Abstract review'!G38="","",'[1]Abstract review'!G38)</f>
        <v>10.1158/0008-5472.Can-25-1001</v>
      </c>
      <c r="F38" s="4" t="str">
        <f>IF('[1]Abstract review'!I38="I","Include → full text",IF('[1]Abstract review'!I38="E","Exclude",IF('[1]Abstract review'!I38="DUP","Duplicate — removed",'[1]Abstract review'!I38)))</f>
        <v>Exclude</v>
      </c>
      <c r="G38" s="4" t="str">
        <f>IF('[1]Abstract review'!I38="E",'[1]Abstract review'!J38,"")</f>
        <v>Preclinical studies</v>
      </c>
      <c r="H38" s="4"/>
      <c r="I38" s="4"/>
      <c r="J38" s="4"/>
      <c r="K38" s="4"/>
      <c r="L38" s="6" t="str">
        <f t="shared" si="0"/>
        <v/>
      </c>
      <c r="M38" s="6" t="str">
        <f t="shared" si="1"/>
        <v/>
      </c>
      <c r="N38" s="6" t="str">
        <f>IF(L38="Include",IFERROR(INDEX('[1]Data extraction'!$AC$2:$AC$58,MATCH(H38+1,'[1]Data extraction'!$AA$2:$AA$58,0)),"not found"),"")</f>
        <v/>
      </c>
      <c r="O38" s="6" t="str">
        <f>IF(N38="","",IFERROR(INDEX('[1]Data extraction'!$L$2:$L$58,MATCH(N38,'[1]Data extraction'!$AC$2:$AC$58,0)),""))</f>
        <v/>
      </c>
      <c r="P38" s="7" t="str">
        <f t="shared" si="2"/>
        <v>Excluded at title/abstract</v>
      </c>
      <c r="Q38" s="6" t="str">
        <f t="shared" si="3"/>
        <v>Study design</v>
      </c>
      <c r="R38" s="4"/>
    </row>
    <row r="39" spans="1:18" x14ac:dyDescent="0.3">
      <c r="A39" s="4">
        <f>'[1]Abstract review'!C39</f>
        <v>35</v>
      </c>
      <c r="B39" s="4" t="str">
        <f>IFERROR(LEFT('[1]Abstract review'!D39,FIND(";",'[1]Abstract review'!D39)-1),'[1]Abstract review'!D39)</f>
        <v>C. Li</v>
      </c>
      <c r="C39" s="5" t="str">
        <f>'[1]Abstract review'!E39&amp;""</f>
        <v>2026</v>
      </c>
      <c r="D39" s="4" t="str">
        <f>'[1]Abstract review'!F39</f>
        <v>Comprehensive analysis of mitochondrial unfolded protein response related genes for prognosis and therapeutic response in pancreatic cancer</v>
      </c>
      <c r="E39" s="4" t="str">
        <f>IF('[1]Abstract review'!G39="","",'[1]Abstract review'!G39)</f>
        <v>10.3389/fimmu.2026.1717925</v>
      </c>
      <c r="F39" s="4" t="str">
        <f>IF('[1]Abstract review'!I39="I","Include → full text",IF('[1]Abstract review'!I39="E","Exclude",IF('[1]Abstract review'!I39="DUP","Duplicate — removed",'[1]Abstract review'!I39)))</f>
        <v>Include → full text</v>
      </c>
      <c r="G39" s="4" t="str">
        <f>IF('[1]Abstract review'!I39="E",'[1]Abstract review'!J39,"")</f>
        <v/>
      </c>
      <c r="H39" s="4">
        <f>'[1]Full-text screening-extraction'!A17</f>
        <v>16</v>
      </c>
      <c r="I39" s="4" t="str">
        <f>IF('[1]Full-text screening-extraction'!AB17="","",'[1]Full-text screening-extraction'!AB17)</f>
        <v>yes</v>
      </c>
      <c r="J39" s="4" t="str">
        <f>IF('[1]Full-text screening-extraction'!AC17="","",'[1]Full-text screening-extraction'!AC17)</f>
        <v>yes</v>
      </c>
      <c r="K39" s="4" t="str">
        <f>IF('[1]Full-text screening-extraction'!AG17="","",'[1]Full-text screening-extraction'!AG17)</f>
        <v/>
      </c>
      <c r="L39" s="6" t="str">
        <f t="shared" si="0"/>
        <v>Include</v>
      </c>
      <c r="M39" s="6" t="str">
        <f t="shared" si="1"/>
        <v/>
      </c>
      <c r="N39" s="6" t="str">
        <f>IF(L39="Include",IFERROR(INDEX('[1]Data extraction'!$AC$2:$AC$58,MATCH(H39+1,'[1]Data extraction'!$AA$2:$AA$58,0)),"not found"),"")</f>
        <v>EV-04</v>
      </c>
      <c r="O39" s="6" t="str">
        <f>IF(N39="","",IFERROR(INDEX('[1]Data extraction'!$L$2:$L$58,MATCH(N39,'[1]Data extraction'!$AC$2:$AC$58,0)),""))</f>
        <v>A</v>
      </c>
      <c r="P39" s="7" t="str">
        <f t="shared" si="2"/>
        <v>INCLUDED</v>
      </c>
      <c r="Q39" s="6" t="str">
        <f t="shared" si="3"/>
        <v>All PICOS rows + Independent prognostic value</v>
      </c>
      <c r="R39" s="4" t="str">
        <f>IF(P39&lt;&gt;"INCLUDED","",'[1]Full-text screening-extraction'!M17&amp;" ("&amp;'[1]Full-text screening-extraction'!K17&amp;"); outcome: "&amp;'[1]Full-text screening-extraction'!P17&amp;"; multivariable: "&amp;LEFT('[1]Full-text screening-extraction'!T17,120)&amp;" | adjusted for: "&amp;LEFT('[1]Full-text screening-extraction'!U17,100))</f>
        <v>UPRmt-related mitochondrial gene risk score (MRS) based on 3 genes: CAT, CEBPB, PRKN (Transcriptomics (RNA-seq), genomic variation (SNV, CNV), proteomic validation, functional assays); outcome: Overall Survival (OS); multivariable: 3-gene prognostic model retained: CAT, CEBPB, PRKN | adjusted for: Age, tumor site, TNM stage, pathological grade (in nomogram model)</v>
      </c>
    </row>
    <row r="40" spans="1:18" x14ac:dyDescent="0.3">
      <c r="A40" s="4">
        <f>'[1]Abstract review'!C40</f>
        <v>36</v>
      </c>
      <c r="B40" s="4" t="str">
        <f>IFERROR(LEFT('[1]Abstract review'!D40,FIND(";",'[1]Abstract review'!D40)-1),'[1]Abstract review'!D40)</f>
        <v>S. Lehrer</v>
      </c>
      <c r="C40" s="5" t="str">
        <f>'[1]Abstract review'!E40&amp;""</f>
        <v>2026</v>
      </c>
      <c r="D40" s="4" t="str">
        <f>'[1]Abstract review'!F40</f>
        <v>A Sequential Proteomic Relay Defines a Decade-long Pre-diagnostic Window for Pancreatic Cancer</v>
      </c>
      <c r="E40" s="4" t="str">
        <f>IF('[1]Abstract review'!G40="","",'[1]Abstract review'!G40)</f>
        <v>10.21873/cdp.10520</v>
      </c>
      <c r="F40" s="4" t="str">
        <f>IF('[1]Abstract review'!I40="I","Include → full text",IF('[1]Abstract review'!I40="E","Exclude",IF('[1]Abstract review'!I40="DUP","Duplicate — removed",'[1]Abstract review'!I40)))</f>
        <v>Exclude</v>
      </c>
      <c r="G40" s="4" t="str">
        <f>IF('[1]Abstract review'!I40="E",'[1]Abstract review'!J40,"")</f>
        <v>Diagnostic value</v>
      </c>
      <c r="H40" s="4"/>
      <c r="I40" s="4"/>
      <c r="J40" s="4"/>
      <c r="K40" s="4"/>
      <c r="L40" s="6" t="str">
        <f t="shared" si="0"/>
        <v/>
      </c>
      <c r="M40" s="6" t="str">
        <f t="shared" si="1"/>
        <v/>
      </c>
      <c r="N40" s="6" t="str">
        <f>IF(L40="Include",IFERROR(INDEX('[1]Data extraction'!$AC$2:$AC$58,MATCH(H40+1,'[1]Data extraction'!$AA$2:$AA$58,0)),"not found"),"")</f>
        <v/>
      </c>
      <c r="O40" s="6" t="str">
        <f>IF(N40="","",IFERROR(INDEX('[1]Data extraction'!$L$2:$L$58,MATCH(N40,'[1]Data extraction'!$AC$2:$AC$58,0)),""))</f>
        <v/>
      </c>
      <c r="P40" s="7" t="str">
        <f t="shared" si="2"/>
        <v>Excluded at title/abstract</v>
      </c>
      <c r="Q40" s="6" t="str">
        <f t="shared" si="3"/>
        <v>Outcomes</v>
      </c>
      <c r="R40" s="4"/>
    </row>
    <row r="41" spans="1:18" x14ac:dyDescent="0.3">
      <c r="A41" s="4">
        <f>'[1]Abstract review'!C41</f>
        <v>37</v>
      </c>
      <c r="B41" s="4" t="str">
        <f>IFERROR(LEFT('[1]Abstract review'!D41,FIND(";",'[1]Abstract review'!D41)-1),'[1]Abstract review'!D41)</f>
        <v>H. Lee</v>
      </c>
      <c r="C41" s="5" t="str">
        <f>'[1]Abstract review'!E41&amp;""</f>
        <v>2026</v>
      </c>
      <c r="D41" s="4" t="str">
        <f>'[1]Abstract review'!F41</f>
        <v>Comprehensive transcriptomic analysis identifies Lrg1 as a potential therapeutic target for preventing muscle atrophy in cancer cachexia</v>
      </c>
      <c r="E41" s="4" t="str">
        <f>IF('[1]Abstract review'!G41="","",'[1]Abstract review'!G41)</f>
        <v>10.1152/ajpcell.00319.2025</v>
      </c>
      <c r="F41" s="4" t="str">
        <f>IF('[1]Abstract review'!I41="I","Include → full text",IF('[1]Abstract review'!I41="E","Exclude",IF('[1]Abstract review'!I41="DUP","Duplicate — removed",'[1]Abstract review'!I41)))</f>
        <v>Exclude</v>
      </c>
      <c r="G41" s="4" t="str">
        <f>IF('[1]Abstract review'!I41="E",'[1]Abstract review'!J41,"")</f>
        <v>no pdac</v>
      </c>
      <c r="H41" s="4"/>
      <c r="I41" s="4"/>
      <c r="J41" s="4"/>
      <c r="K41" s="4"/>
      <c r="L41" s="6" t="str">
        <f t="shared" si="0"/>
        <v/>
      </c>
      <c r="M41" s="6" t="str">
        <f t="shared" si="1"/>
        <v/>
      </c>
      <c r="N41" s="6" t="str">
        <f>IF(L41="Include",IFERROR(INDEX('[1]Data extraction'!$AC$2:$AC$58,MATCH(H41+1,'[1]Data extraction'!$AA$2:$AA$58,0)),"not found"),"")</f>
        <v/>
      </c>
      <c r="O41" s="6" t="str">
        <f>IF(N41="","",IFERROR(INDEX('[1]Data extraction'!$L$2:$L$58,MATCH(N41,'[1]Data extraction'!$AC$2:$AC$58,0)),""))</f>
        <v/>
      </c>
      <c r="P41" s="7" t="str">
        <f t="shared" si="2"/>
        <v>Excluded at title/abstract</v>
      </c>
      <c r="Q41" s="6" t="str">
        <f t="shared" si="3"/>
        <v>Population</v>
      </c>
      <c r="R41" s="4"/>
    </row>
    <row r="42" spans="1:18" x14ac:dyDescent="0.3">
      <c r="A42" s="4">
        <f>'[1]Abstract review'!C42</f>
        <v>38</v>
      </c>
      <c r="B42" s="4" t="str">
        <f>IFERROR(LEFT('[1]Abstract review'!D42,FIND(";",'[1]Abstract review'!D42)-1),'[1]Abstract review'!D42)</f>
        <v>Y. Kuang</v>
      </c>
      <c r="C42" s="5" t="str">
        <f>'[1]Abstract review'!E42&amp;""</f>
        <v>2026</v>
      </c>
      <c r="D42" s="4" t="str">
        <f>'[1]Abstract review'!F42</f>
        <v>Analysis of molecular subtypes and prognostic signature of senescence-associated secretory phenotype in pancreatic cancer</v>
      </c>
      <c r="E42" s="4" t="str">
        <f>IF('[1]Abstract review'!G42="","",'[1]Abstract review'!G42)</f>
        <v>10.7717/peerj.20476</v>
      </c>
      <c r="F42" s="4" t="str">
        <f>IF('[1]Abstract review'!I42="I","Include → full text",IF('[1]Abstract review'!I42="E","Exclude",IF('[1]Abstract review'!I42="DUP","Duplicate — removed",'[1]Abstract review'!I42)))</f>
        <v>Include → full text</v>
      </c>
      <c r="G42" s="4" t="str">
        <f>IF('[1]Abstract review'!I42="E",'[1]Abstract review'!J42,"")</f>
        <v/>
      </c>
      <c r="H42" s="4">
        <f>'[1]Full-text screening-extraction'!A18</f>
        <v>17</v>
      </c>
      <c r="I42" s="4" t="str">
        <f>IF('[1]Full-text screening-extraction'!AB18="","",'[1]Full-text screening-extraction'!AB18)</f>
        <v>yes</v>
      </c>
      <c r="J42" s="4" t="str">
        <f>IF('[1]Full-text screening-extraction'!AC18="","",'[1]Full-text screening-extraction'!AC18)</f>
        <v>yes</v>
      </c>
      <c r="K42" s="4" t="str">
        <f>IF('[1]Full-text screening-extraction'!AG18="","",'[1]Full-text screening-extraction'!AG18)</f>
        <v/>
      </c>
      <c r="L42" s="6" t="str">
        <f t="shared" si="0"/>
        <v>Include</v>
      </c>
      <c r="M42" s="6" t="str">
        <f t="shared" si="1"/>
        <v/>
      </c>
      <c r="N42" s="6" t="str">
        <f>IF(L42="Include",IFERROR(INDEX('[1]Data extraction'!$AC$2:$AC$58,MATCH(H42+1,'[1]Data extraction'!$AA$2:$AA$58,0)),"not found"),"")</f>
        <v>EV-29</v>
      </c>
      <c r="O42" s="6" t="str">
        <f>IF(N42="","",IFERROR(INDEX('[1]Data extraction'!$L$2:$L$58,MATCH(N42,'[1]Data extraction'!$AC$2:$AC$58,0)),""))</f>
        <v>A</v>
      </c>
      <c r="P42" s="7" t="str">
        <f t="shared" si="2"/>
        <v>INCLUDED</v>
      </c>
      <c r="Q42" s="6" t="str">
        <f t="shared" si="3"/>
        <v>All PICOS rows + Independent prognostic value</v>
      </c>
      <c r="R42" s="4" t="str">
        <f>IF(P42&lt;&gt;"INCLUDED","",'[1]Full-text screening-extraction'!M18&amp;" ("&amp;'[1]Full-text screening-extraction'!K18&amp;"); outcome: "&amp;'[1]Full-text screening-extraction'!P18&amp;"; multivariable: "&amp;LEFT('[1]Full-text screening-extraction'!T18,120)&amp;" | adjusted for: "&amp;LEFT('[1]Full-text screening-extraction'!U18,100))</f>
        <v xml:space="preserve">7-gene SASP prognostic signature: ANGPTL4, DKK1, EREG, IGFBP3, IL18, MMP13, PLAU; plus SASP molecular subtypes (Bulk transcriptomics, CNV, scRNA-seq, immunoinformatics, mutation profiling, functional assays); outcome: Overall survival; multivariable: Risk score was confirmed as an independent prognostic factor in multivariable Cox regression | adjusted for: Age, sex, pathological grade, TNM stage, and SASP cluster were assessed; exact final adjustment set </v>
      </c>
    </row>
    <row r="43" spans="1:18" x14ac:dyDescent="0.3">
      <c r="A43" s="4">
        <f>'[1]Abstract review'!C43</f>
        <v>39</v>
      </c>
      <c r="B43" s="4" t="str">
        <f>IFERROR(LEFT('[1]Abstract review'!D43,FIND(";",'[1]Abstract review'!D43)-1),'[1]Abstract review'!D43)</f>
        <v>Yanqi Ke</v>
      </c>
      <c r="C43" s="5" t="str">
        <f>'[1]Abstract review'!E43&amp;""</f>
        <v>2026</v>
      </c>
      <c r="D43" s="4" t="str">
        <f>'[1]Abstract review'!F43</f>
        <v>Alternative Splicing of Secretin Receptor (SCTR) and Its Low Expression Drive the Occurrence of Pancreatic Ductal Adenocarcinoma</v>
      </c>
      <c r="E43" s="4" t="str">
        <f>IF('[1]Abstract review'!G43="","",'[1]Abstract review'!G43)</f>
        <v>10.1097/mpa.0000000000002569</v>
      </c>
      <c r="F43" s="4" t="str">
        <f>IF('[1]Abstract review'!I43="I","Include → full text",IF('[1]Abstract review'!I43="E","Exclude",IF('[1]Abstract review'!I43="DUP","Duplicate — removed",'[1]Abstract review'!I43)))</f>
        <v>Include → full text</v>
      </c>
      <c r="G43" s="4" t="str">
        <f>IF('[1]Abstract review'!I43="E",'[1]Abstract review'!J43,"")</f>
        <v/>
      </c>
      <c r="H43" s="4">
        <f>'[1]Full-text screening-extraction'!A19</f>
        <v>18</v>
      </c>
      <c r="I43" s="4" t="str">
        <f>IF('[1]Full-text screening-extraction'!AB19="","",'[1]Full-text screening-extraction'!AB19)</f>
        <v>no</v>
      </c>
      <c r="J43" s="4" t="str">
        <f>IF('[1]Full-text screening-extraction'!AC19="","",'[1]Full-text screening-extraction'!AC19)</f>
        <v>NA</v>
      </c>
      <c r="K43" s="4" t="str">
        <f>IF('[1]Full-text screening-extraction'!AG19="","",'[1]Full-text screening-extraction'!AG19)</f>
        <v/>
      </c>
      <c r="L43" s="6" t="str">
        <f t="shared" si="0"/>
        <v>Exclude</v>
      </c>
      <c r="M43" s="6" t="str">
        <f t="shared" si="1"/>
        <v>No adjusted multivariable model fitted</v>
      </c>
      <c r="N43" s="6" t="str">
        <f>IF(L43="Include",IFERROR(INDEX('[1]Data extraction'!$AC$2:$AC$58,MATCH(H43+1,'[1]Data extraction'!$AA$2:$AA$58,0)),"not found"),"")</f>
        <v/>
      </c>
      <c r="O43" s="6" t="str">
        <f>IF(N43="","",IFERROR(INDEX('[1]Data extraction'!$L$2:$L$58,MATCH(N43,'[1]Data extraction'!$AC$2:$AC$58,0)),""))</f>
        <v/>
      </c>
      <c r="P43" s="7" t="str">
        <f t="shared" si="2"/>
        <v>Excluded at full text</v>
      </c>
      <c r="Q43" s="6" t="str">
        <f t="shared" si="3"/>
        <v>Analysis &amp; synthesis eligibility</v>
      </c>
      <c r="R43" s="4" t="str">
        <f>IF(P43&lt;&gt;"INCLUDED","",'[1]Full-text screening-extraction'!M19&amp;" ("&amp;'[1]Full-text screening-extraction'!K19&amp;"); outcome: "&amp;'[1]Full-text screening-extraction'!P19&amp;"; multivariable: "&amp;LEFT('[1]Full-text screening-extraction'!T19,120)&amp;" | adjusted for: "&amp;LEFT('[1]Full-text screening-extraction'!U19,100))</f>
        <v/>
      </c>
    </row>
    <row r="44" spans="1:18" x14ac:dyDescent="0.3">
      <c r="A44" s="4">
        <f>'[1]Abstract review'!C44</f>
        <v>40</v>
      </c>
      <c r="B44" s="4" t="str">
        <f>IFERROR(LEFT('[1]Abstract review'!D44,FIND(";",'[1]Abstract review'!D44)-1),'[1]Abstract review'!D44)</f>
        <v>X. Jin</v>
      </c>
      <c r="C44" s="5" t="str">
        <f>'[1]Abstract review'!E44&amp;""</f>
        <v>2026</v>
      </c>
      <c r="D44" s="4" t="str">
        <f>'[1]Abstract review'!F44</f>
        <v>Construction of a SEMA3 family-based model to predict prognosis and molecular subtypes in pancreatic ductal adenocarcinoma</v>
      </c>
      <c r="E44" s="4" t="str">
        <f>IF('[1]Abstract review'!G44="","",'[1]Abstract review'!G44)</f>
        <v>10.1007/s12672-026-04808-5</v>
      </c>
      <c r="F44" s="4" t="str">
        <f>IF('[1]Abstract review'!I44="I","Include → full text",IF('[1]Abstract review'!I44="E","Exclude",IF('[1]Abstract review'!I44="DUP","Duplicate — removed",'[1]Abstract review'!I44)))</f>
        <v>Include → full text</v>
      </c>
      <c r="G44" s="4" t="str">
        <f>IF('[1]Abstract review'!I44="E",'[1]Abstract review'!J44,"")</f>
        <v/>
      </c>
      <c r="H44" s="4">
        <f>'[1]Full-text screening-extraction'!A20</f>
        <v>19</v>
      </c>
      <c r="I44" s="4" t="str">
        <f>IF('[1]Full-text screening-extraction'!AB20="","",'[1]Full-text screening-extraction'!AB20)</f>
        <v>yes</v>
      </c>
      <c r="J44" s="4" t="str">
        <f>IF('[1]Full-text screening-extraction'!AC20="","",'[1]Full-text screening-extraction'!AC20)</f>
        <v>yes</v>
      </c>
      <c r="K44" s="4" t="str">
        <f>IF('[1]Full-text screening-extraction'!AG20="","",'[1]Full-text screening-extraction'!AG20)</f>
        <v/>
      </c>
      <c r="L44" s="6" t="str">
        <f t="shared" si="0"/>
        <v>Include</v>
      </c>
      <c r="M44" s="6" t="str">
        <f t="shared" si="1"/>
        <v/>
      </c>
      <c r="N44" s="6" t="str">
        <f>IF(L44="Include",IFERROR(INDEX('[1]Data extraction'!$AC$2:$AC$58,MATCH(H44+1,'[1]Data extraction'!$AA$2:$AA$58,0)),"not found"),"")</f>
        <v>EV-30</v>
      </c>
      <c r="O44" s="6" t="str">
        <f>IF(N44="","",IFERROR(INDEX('[1]Data extraction'!$L$2:$L$58,MATCH(N44,'[1]Data extraction'!$AC$2:$AC$58,0)),""))</f>
        <v>A-</v>
      </c>
      <c r="P44" s="7" t="str">
        <f t="shared" si="2"/>
        <v>INCLUDED</v>
      </c>
      <c r="Q44" s="6" t="str">
        <f t="shared" si="3"/>
        <v>All PICOS rows + Independent prognostic value</v>
      </c>
      <c r="R44" s="4" t="str">
        <f>IF(P44&lt;&gt;"INCLUDED","",'[1]Full-text screening-extraction'!M20&amp;" ("&amp;'[1]Full-text screening-extraction'!K20&amp;"); outcome: "&amp;'[1]Full-text screening-extraction'!P20&amp;"; multivariable: "&amp;LEFT('[1]Full-text screening-extraction'!T20,120)&amp;" | adjusted for: "&amp;LEFT('[1]Full-text screening-extraction'!U20,100))</f>
        <v>SEMA3 family genes; 9-gene prognostic signature derived from SEMA3-related DEGs; key driver SEMA3C (Bulk transcriptomics + single-cell RNA-seq + spatial transcriptomics + mutation data); outcome: Overall survival (OS); multivariable: Risk score derived from LASSO-Cox model showed significant independent prognostic ability for OS | adjusted for: Clinicopathologic characteristics included in nomogram (specific covariates not explicitly detailed)</v>
      </c>
    </row>
    <row r="45" spans="1:18" x14ac:dyDescent="0.3">
      <c r="A45" s="4">
        <f>'[1]Abstract review'!C45</f>
        <v>41</v>
      </c>
      <c r="B45" s="4" t="str">
        <f>IFERROR(LEFT('[1]Abstract review'!D45,FIND(";",'[1]Abstract review'!D45)-1),'[1]Abstract review'!D45)</f>
        <v>P. Gupta</v>
      </c>
      <c r="C45" s="5" t="str">
        <f>'[1]Abstract review'!E45&amp;""</f>
        <v>2026</v>
      </c>
      <c r="D45" s="4" t="str">
        <f>'[1]Abstract review'!F45</f>
        <v>The Aging Microenvironment Is a Determinant of Immune Exclusion and Metastatic Fate in Pancreatic Cancer</v>
      </c>
      <c r="E45" s="4" t="str">
        <f>IF('[1]Abstract review'!G45="","",'[1]Abstract review'!G45)</f>
        <v>10.1158/0008-5472.Can-25-1904</v>
      </c>
      <c r="F45" s="4" t="str">
        <f>IF('[1]Abstract review'!I45="I","Include → full text",IF('[1]Abstract review'!I45="E","Exclude",IF('[1]Abstract review'!I45="DUP","Duplicate — removed",'[1]Abstract review'!I45)))</f>
        <v>Exclude</v>
      </c>
      <c r="G45" s="4" t="str">
        <f>IF('[1]Abstract review'!I45="E",'[1]Abstract review'!J45,"")</f>
        <v>Preclinical studies</v>
      </c>
      <c r="H45" s="4"/>
      <c r="I45" s="4"/>
      <c r="J45" s="4"/>
      <c r="K45" s="4"/>
      <c r="L45" s="6" t="str">
        <f t="shared" si="0"/>
        <v/>
      </c>
      <c r="M45" s="6" t="str">
        <f t="shared" si="1"/>
        <v/>
      </c>
      <c r="N45" s="6" t="str">
        <f>IF(L45="Include",IFERROR(INDEX('[1]Data extraction'!$AC$2:$AC$58,MATCH(H45+1,'[1]Data extraction'!$AA$2:$AA$58,0)),"not found"),"")</f>
        <v/>
      </c>
      <c r="O45" s="6" t="str">
        <f>IF(N45="","",IFERROR(INDEX('[1]Data extraction'!$L$2:$L$58,MATCH(N45,'[1]Data extraction'!$AC$2:$AC$58,0)),""))</f>
        <v/>
      </c>
      <c r="P45" s="7" t="str">
        <f t="shared" si="2"/>
        <v>Excluded at title/abstract</v>
      </c>
      <c r="Q45" s="6" t="str">
        <f t="shared" si="3"/>
        <v>Study design</v>
      </c>
      <c r="R45" s="4"/>
    </row>
    <row r="46" spans="1:18" x14ac:dyDescent="0.3">
      <c r="A46" s="4">
        <f>'[1]Abstract review'!C46</f>
        <v>42</v>
      </c>
      <c r="B46" s="4" t="str">
        <f>IFERROR(LEFT('[1]Abstract review'!D46,FIND(";",'[1]Abstract review'!D46)-1),'[1]Abstract review'!D46)</f>
        <v>O. Gulbey</v>
      </c>
      <c r="C46" s="5" t="str">
        <f>'[1]Abstract review'!E46&amp;""</f>
        <v>2026</v>
      </c>
      <c r="D46" s="4" t="str">
        <f>'[1]Abstract review'!F46</f>
        <v>Integrated Bioinformatics and Experimental Analysis of Argonaute Family Members in Pancreatic Adenocarcinoma</v>
      </c>
      <c r="E46" s="4" t="str">
        <f>IF('[1]Abstract review'!G46="","",'[1]Abstract review'!G46)</f>
        <v>10.21873/invivo.14178</v>
      </c>
      <c r="F46" s="4" t="str">
        <f>IF('[1]Abstract review'!I46="I","Include → full text",IF('[1]Abstract review'!I46="E","Exclude",IF('[1]Abstract review'!I46="DUP","Duplicate — removed",'[1]Abstract review'!I46)))</f>
        <v>Include → full text</v>
      </c>
      <c r="G46" s="4" t="str">
        <f>IF('[1]Abstract review'!I46="E",'[1]Abstract review'!J46,"")</f>
        <v/>
      </c>
      <c r="H46" s="4">
        <f>'[1]Full-text screening-extraction'!A21</f>
        <v>20</v>
      </c>
      <c r="I46" s="4" t="str">
        <f>IF('[1]Full-text screening-extraction'!AB21="","",'[1]Full-text screening-extraction'!AB21)</f>
        <v>no</v>
      </c>
      <c r="J46" s="4" t="str">
        <f>IF('[1]Full-text screening-extraction'!AC21="","",'[1]Full-text screening-extraction'!AC21)</f>
        <v>NA</v>
      </c>
      <c r="K46" s="4" t="str">
        <f>IF('[1]Full-text screening-extraction'!AG21="","",'[1]Full-text screening-extraction'!AG21)</f>
        <v/>
      </c>
      <c r="L46" s="6" t="str">
        <f t="shared" si="0"/>
        <v>Exclude</v>
      </c>
      <c r="M46" s="6" t="str">
        <f t="shared" si="1"/>
        <v>No adjusted multivariable model fitted</v>
      </c>
      <c r="N46" s="6" t="str">
        <f>IF(L46="Include",IFERROR(INDEX('[1]Data extraction'!$AC$2:$AC$58,MATCH(H46+1,'[1]Data extraction'!$AA$2:$AA$58,0)),"not found"),"")</f>
        <v/>
      </c>
      <c r="O46" s="6" t="str">
        <f>IF(N46="","",IFERROR(INDEX('[1]Data extraction'!$L$2:$L$58,MATCH(N46,'[1]Data extraction'!$AC$2:$AC$58,0)),""))</f>
        <v/>
      </c>
      <c r="P46" s="7" t="str">
        <f t="shared" si="2"/>
        <v>Excluded at full text</v>
      </c>
      <c r="Q46" s="6" t="str">
        <f t="shared" si="3"/>
        <v>Analysis &amp; synthesis eligibility</v>
      </c>
      <c r="R46" s="4" t="str">
        <f>IF(P46&lt;&gt;"INCLUDED","",'[1]Full-text screening-extraction'!M21&amp;" ("&amp;'[1]Full-text screening-extraction'!K21&amp;"); outcome: "&amp;'[1]Full-text screening-extraction'!P21&amp;"; multivariable: "&amp;LEFT('[1]Full-text screening-extraction'!T21,120)&amp;" | adjusted for: "&amp;LEFT('[1]Full-text screening-extraction'!U21,100))</f>
        <v/>
      </c>
    </row>
    <row r="47" spans="1:18" x14ac:dyDescent="0.3">
      <c r="A47" s="4">
        <f>'[1]Abstract review'!C47</f>
        <v>43</v>
      </c>
      <c r="B47" s="4" t="str">
        <f>IFERROR(LEFT('[1]Abstract review'!D47,FIND(";",'[1]Abstract review'!D47)-1),'[1]Abstract review'!D47)</f>
        <v>G. S. Gulati</v>
      </c>
      <c r="C47" s="5" t="str">
        <f>'[1]Abstract review'!E47&amp;""</f>
        <v>2026</v>
      </c>
      <c r="D47" s="4" t="str">
        <f>'[1]Abstract review'!F47</f>
        <v>Integrated inference of cancer gene expression from cell-free plasma chromatin</v>
      </c>
      <c r="E47" s="4" t="str">
        <f>IF('[1]Abstract review'!G47="","",'[1]Abstract review'!G47)</f>
        <v>10.64898/2026.02.18.706026</v>
      </c>
      <c r="F47" s="4" t="str">
        <f>IF('[1]Abstract review'!I47="I","Include → full text",IF('[1]Abstract review'!I47="E","Exclude",IF('[1]Abstract review'!I47="DUP","Duplicate — removed",'[1]Abstract review'!I47)))</f>
        <v>Exclude</v>
      </c>
      <c r="G47" s="4" t="str">
        <f>IF('[1]Abstract review'!I47="E",'[1]Abstract review'!J47,"")</f>
        <v>Not transcriptomic/proteomic biomarker expression</v>
      </c>
      <c r="H47" s="4"/>
      <c r="I47" s="4"/>
      <c r="J47" s="4"/>
      <c r="K47" s="4"/>
      <c r="L47" s="6" t="str">
        <f t="shared" si="0"/>
        <v/>
      </c>
      <c r="M47" s="6" t="str">
        <f t="shared" si="1"/>
        <v/>
      </c>
      <c r="N47" s="6" t="str">
        <f>IF(L47="Include",IFERROR(INDEX('[1]Data extraction'!$AC$2:$AC$58,MATCH(H47+1,'[1]Data extraction'!$AA$2:$AA$58,0)),"not found"),"")</f>
        <v/>
      </c>
      <c r="O47" s="6" t="str">
        <f>IF(N47="","",IFERROR(INDEX('[1]Data extraction'!$L$2:$L$58,MATCH(N47,'[1]Data extraction'!$AC$2:$AC$58,0)),""))</f>
        <v/>
      </c>
      <c r="P47" s="7" t="str">
        <f t="shared" si="2"/>
        <v>Excluded at title/abstract</v>
      </c>
      <c r="Q47" s="6" t="str">
        <f t="shared" si="3"/>
        <v>Biomarker modality &amp; sample type</v>
      </c>
      <c r="R47" s="4"/>
    </row>
    <row r="48" spans="1:18" x14ac:dyDescent="0.3">
      <c r="A48" s="4">
        <f>'[1]Abstract review'!C48</f>
        <v>44</v>
      </c>
      <c r="B48" s="4" t="str">
        <f>IFERROR(LEFT('[1]Abstract review'!D48,FIND(";",'[1]Abstract review'!D48)-1),'[1]Abstract review'!D48)</f>
        <v>W. L. Ge</v>
      </c>
      <c r="C48" s="5" t="str">
        <f>'[1]Abstract review'!E48&amp;""</f>
        <v>2026</v>
      </c>
      <c r="D48" s="4" t="str">
        <f>'[1]Abstract review'!F48</f>
        <v>Machine learning-based integration develops a lactate metabolism related gene signature for improving outcomes in pancreatic ductal adenocarcinoma</v>
      </c>
      <c r="E48" s="4" t="str">
        <f>IF('[1]Abstract review'!G48="","",'[1]Abstract review'!G48)</f>
        <v>10.1016/j.seminoncol.2025.152428</v>
      </c>
      <c r="F48" s="4" t="str">
        <f>IF('[1]Abstract review'!I48="I","Include → full text",IF('[1]Abstract review'!I48="E","Exclude",IF('[1]Abstract review'!I48="DUP","Duplicate — removed",'[1]Abstract review'!I48)))</f>
        <v>Include → full text</v>
      </c>
      <c r="G48" s="4" t="str">
        <f>IF('[1]Abstract review'!I48="E",'[1]Abstract review'!J48,"")</f>
        <v/>
      </c>
      <c r="H48" s="4">
        <f>'[1]Full-text screening-extraction'!A22</f>
        <v>21</v>
      </c>
      <c r="I48" s="4" t="str">
        <f>IF('[1]Full-text screening-extraction'!AB22="","",'[1]Full-text screening-extraction'!AB22)</f>
        <v>yes</v>
      </c>
      <c r="J48" s="4" t="str">
        <f>IF('[1]Full-text screening-extraction'!AC22="","",'[1]Full-text screening-extraction'!AC22)</f>
        <v>yes</v>
      </c>
      <c r="K48" s="4" t="str">
        <f>IF('[1]Full-text screening-extraction'!AG22="","",'[1]Full-text screening-extraction'!AG22)</f>
        <v/>
      </c>
      <c r="L48" s="6" t="str">
        <f t="shared" si="0"/>
        <v>Include</v>
      </c>
      <c r="M48" s="6" t="str">
        <f t="shared" si="1"/>
        <v/>
      </c>
      <c r="N48" s="6" t="str">
        <f>IF(L48="Include",IFERROR(INDEX('[1]Data extraction'!$AC$2:$AC$58,MATCH(H48+1,'[1]Data extraction'!$AA$2:$AA$58,0)),"not found"),"")</f>
        <v>EV-05</v>
      </c>
      <c r="O48" s="6" t="str">
        <f>IF(N48="","",IFERROR(INDEX('[1]Data extraction'!$L$2:$L$58,MATCH(N48,'[1]Data extraction'!$AC$2:$AC$58,0)),""))</f>
        <v>A</v>
      </c>
      <c r="P48" s="7" t="str">
        <f t="shared" si="2"/>
        <v>INCLUDED</v>
      </c>
      <c r="Q48" s="6" t="str">
        <f t="shared" si="3"/>
        <v>All PICOS rows + Independent prognostic value</v>
      </c>
      <c r="R48" s="4" t="str">
        <f>IF(P48&lt;&gt;"INCLUDED","",'[1]Full-text screening-extraction'!M22&amp;" ("&amp;'[1]Full-text screening-extraction'!K22&amp;"); outcome: "&amp;'[1]Full-text screening-extraction'!P22&amp;"; multivariable: "&amp;LEFT('[1]Full-text screening-extraction'!T22,120)&amp;" | adjusted for: "&amp;LEFT('[1]Full-text screening-extraction'!U22,100))</f>
        <v>Lactate Metabolism-Related Gene Signature (LMRGS) (Transcriptomics + machine learning + multi-omics functional analysis); outcome: Overall survival (OS); multivariable: LMRGS identified as an independent prognostic predictor for OS (exact HR not specified in abstract) | adjusted for: Likely includes clinical covariates (not explicitly detailed)</v>
      </c>
    </row>
    <row r="49" spans="1:18" x14ac:dyDescent="0.3">
      <c r="A49" s="4">
        <f>'[1]Abstract review'!C49</f>
        <v>45</v>
      </c>
      <c r="B49" s="4" t="str">
        <f>IFERROR(LEFT('[1]Abstract review'!D49,FIND(";",'[1]Abstract review'!D49)-1),'[1]Abstract review'!D49)</f>
        <v>Fan Gao</v>
      </c>
      <c r="C49" s="5" t="str">
        <f>'[1]Abstract review'!E49&amp;""</f>
        <v>2026</v>
      </c>
      <c r="D49" s="4" t="str">
        <f>'[1]Abstract review'!F49</f>
        <v>Spatial transcriptomics reveals the mechanistic role of lactate metabolism in the pancreatic ductal adenocarcinoma microenvironment</v>
      </c>
      <c r="E49" s="4" t="str">
        <f>IF('[1]Abstract review'!G49="","",'[1]Abstract review'!G49)</f>
        <v>10.3389/fimmu.2026.1743187</v>
      </c>
      <c r="F49" s="4" t="str">
        <f>IF('[1]Abstract review'!I49="I","Include → full text",IF('[1]Abstract review'!I49="E","Exclude",IF('[1]Abstract review'!I49="DUP","Duplicate — removed",'[1]Abstract review'!I49)))</f>
        <v>Include → full text</v>
      </c>
      <c r="G49" s="4" t="str">
        <f>IF('[1]Abstract review'!I49="E",'[1]Abstract review'!J49,"")</f>
        <v/>
      </c>
      <c r="H49" s="4">
        <f>'[1]Full-text screening-extraction'!A23</f>
        <v>22</v>
      </c>
      <c r="I49" s="4" t="str">
        <f>IF('[1]Full-text screening-extraction'!AB23="","",'[1]Full-text screening-extraction'!AB23)</f>
        <v>unclear</v>
      </c>
      <c r="J49" s="4" t="str">
        <f>IF('[1]Full-text screening-extraction'!AC23="","",'[1]Full-text screening-extraction'!AC23)</f>
        <v>unclear</v>
      </c>
      <c r="K49" s="4" t="str">
        <f>IF('[1]Full-text screening-extraction'!AG23="","",'[1]Full-text screening-extraction'!AG23)</f>
        <v/>
      </c>
      <c r="L49" s="6" t="str">
        <f t="shared" si="0"/>
        <v>Exclude</v>
      </c>
      <c r="M49" s="6" t="str">
        <f t="shared" si="1"/>
        <v>Unclear whether an adjusted model was fitted</v>
      </c>
      <c r="N49" s="6" t="str">
        <f>IF(L49="Include",IFERROR(INDEX('[1]Data extraction'!$AC$2:$AC$58,MATCH(H49+1,'[1]Data extraction'!$AA$2:$AA$58,0)),"not found"),"")</f>
        <v/>
      </c>
      <c r="O49" s="6" t="str">
        <f>IF(N49="","",IFERROR(INDEX('[1]Data extraction'!$L$2:$L$58,MATCH(N49,'[1]Data extraction'!$AC$2:$AC$58,0)),""))</f>
        <v/>
      </c>
      <c r="P49" s="7" t="str">
        <f t="shared" si="2"/>
        <v>Excluded at full text</v>
      </c>
      <c r="Q49" s="6" t="str">
        <f t="shared" si="3"/>
        <v>Analysis &amp; synthesis eligibility</v>
      </c>
      <c r="R49" s="4" t="str">
        <f>IF(P49&lt;&gt;"INCLUDED","",'[1]Full-text screening-extraction'!M23&amp;" ("&amp;'[1]Full-text screening-extraction'!K23&amp;"); outcome: "&amp;'[1]Full-text screening-extraction'!P23&amp;"; multivariable: "&amp;LEFT('[1]Full-text screening-extraction'!T23,120)&amp;" | adjusted for: "&amp;LEFT('[1]Full-text screening-extraction'!U23,100))</f>
        <v/>
      </c>
    </row>
    <row r="50" spans="1:18" x14ac:dyDescent="0.3">
      <c r="A50" s="4">
        <f>'[1]Abstract review'!C50</f>
        <v>46</v>
      </c>
      <c r="B50" s="4" t="str">
        <f>IFERROR(LEFT('[1]Abstract review'!D50,FIND(";",'[1]Abstract review'!D50)-1),'[1]Abstract review'!D50)</f>
        <v>S. Dey</v>
      </c>
      <c r="C50" s="5" t="str">
        <f>'[1]Abstract review'!E50&amp;""</f>
        <v>2026</v>
      </c>
      <c r="D50" s="4" t="str">
        <f>'[1]Abstract review'!F50</f>
        <v>Serial proteomic analysis identifies small extracellular vesicle-MASP2 as an early biomarker of chemotherapy response in advanced pancreatic cancer</v>
      </c>
      <c r="E50" s="4" t="str">
        <f>IF('[1]Abstract review'!G50="","",'[1]Abstract review'!G50)</f>
        <v>10.1016/j.tranon.2025.102636</v>
      </c>
      <c r="F50" s="4" t="str">
        <f>IF('[1]Abstract review'!I50="I","Include → full text",IF('[1]Abstract review'!I50="E","Exclude",IF('[1]Abstract review'!I50="DUP","Duplicate — removed",'[1]Abstract review'!I50)))</f>
        <v>Exclude</v>
      </c>
      <c r="G50" s="4" t="str">
        <f>IF('[1]Abstract review'!I50="E",'[1]Abstract review'!J50,"")</f>
        <v>No prognostic value</v>
      </c>
      <c r="H50" s="4"/>
      <c r="I50" s="4"/>
      <c r="J50" s="4"/>
      <c r="K50" s="4"/>
      <c r="L50" s="6" t="str">
        <f t="shared" si="0"/>
        <v/>
      </c>
      <c r="M50" s="6" t="str">
        <f t="shared" si="1"/>
        <v/>
      </c>
      <c r="N50" s="6" t="str">
        <f>IF(L50="Include",IFERROR(INDEX('[1]Data extraction'!$AC$2:$AC$58,MATCH(H50+1,'[1]Data extraction'!$AA$2:$AA$58,0)),"not found"),"")</f>
        <v/>
      </c>
      <c r="O50" s="6" t="str">
        <f>IF(N50="","",IFERROR(INDEX('[1]Data extraction'!$L$2:$L$58,MATCH(N50,'[1]Data extraction'!$AC$2:$AC$58,0)),""))</f>
        <v/>
      </c>
      <c r="P50" s="7" t="str">
        <f t="shared" si="2"/>
        <v>Excluded at title/abstract</v>
      </c>
      <c r="Q50" s="6" t="str">
        <f t="shared" si="3"/>
        <v>Outcomes</v>
      </c>
      <c r="R50" s="4"/>
    </row>
    <row r="51" spans="1:18" x14ac:dyDescent="0.3">
      <c r="A51" s="4">
        <f>'[1]Abstract review'!C51</f>
        <v>47</v>
      </c>
      <c r="B51" s="4" t="str">
        <f>IFERROR(LEFT('[1]Abstract review'!D51,FIND(";",'[1]Abstract review'!D51)-1),'[1]Abstract review'!D51)</f>
        <v>X. T. Cui</v>
      </c>
      <c r="C51" s="5" t="str">
        <f>'[1]Abstract review'!E51&amp;""</f>
        <v>2026</v>
      </c>
      <c r="D51" s="4" t="str">
        <f>'[1]Abstract review'!F51</f>
        <v>Emerging roles of non-coding RNAs in the tumor microenvironment of pancreatic cancer: Focusing on current challenges and future directions</v>
      </c>
      <c r="E51" s="4" t="str">
        <f>IF('[1]Abstract review'!G51="","",'[1]Abstract review'!G51)</f>
        <v>10.1016/j.gene.2026.150063</v>
      </c>
      <c r="F51" s="4" t="str">
        <f>IF('[1]Abstract review'!I51="I","Include → full text",IF('[1]Abstract review'!I51="E","Exclude",IF('[1]Abstract review'!I51="DUP","Duplicate — removed",'[1]Abstract review'!I51)))</f>
        <v>Exclude</v>
      </c>
      <c r="G51" s="4" t="str">
        <f>IF('[1]Abstract review'!I51="E",'[1]Abstract review'!J51,"")</f>
        <v>Not transcriptomic/proteomic biomarker expression</v>
      </c>
      <c r="H51" s="4"/>
      <c r="I51" s="4"/>
      <c r="J51" s="4"/>
      <c r="K51" s="4"/>
      <c r="L51" s="6" t="str">
        <f t="shared" si="0"/>
        <v/>
      </c>
      <c r="M51" s="6" t="str">
        <f t="shared" si="1"/>
        <v/>
      </c>
      <c r="N51" s="6" t="str">
        <f>IF(L51="Include",IFERROR(INDEX('[1]Data extraction'!$AC$2:$AC$58,MATCH(H51+1,'[1]Data extraction'!$AA$2:$AA$58,0)),"not found"),"")</f>
        <v/>
      </c>
      <c r="O51" s="6" t="str">
        <f>IF(N51="","",IFERROR(INDEX('[1]Data extraction'!$L$2:$L$58,MATCH(N51,'[1]Data extraction'!$AC$2:$AC$58,0)),""))</f>
        <v/>
      </c>
      <c r="P51" s="7" t="str">
        <f t="shared" si="2"/>
        <v>Excluded at title/abstract</v>
      </c>
      <c r="Q51" s="6" t="str">
        <f t="shared" si="3"/>
        <v>Biomarker modality &amp; sample type</v>
      </c>
      <c r="R51" s="4"/>
    </row>
    <row r="52" spans="1:18" x14ac:dyDescent="0.3">
      <c r="A52" s="4">
        <f>'[1]Abstract review'!C52</f>
        <v>48</v>
      </c>
      <c r="B52" s="4" t="str">
        <f>IFERROR(LEFT('[1]Abstract review'!D52,FIND(";",'[1]Abstract review'!D52)-1),'[1]Abstract review'!D52)</f>
        <v>U. Chianese</v>
      </c>
      <c r="C52" s="5" t="str">
        <f>'[1]Abstract review'!E52&amp;""</f>
        <v>2026</v>
      </c>
      <c r="D52" s="4" t="str">
        <f>'[1]Abstract review'!F52</f>
        <v>Glycolytic heterogeneity drives metabolic-targeted therapy in pancreatic ductal adenocarcinoma</v>
      </c>
      <c r="E52" s="4" t="str">
        <f>IF('[1]Abstract review'!G52="","",'[1]Abstract review'!G52)</f>
        <v>10.1038/s41392-025-02546-8</v>
      </c>
      <c r="F52" s="4" t="str">
        <f>IF('[1]Abstract review'!I52="I","Include → full text",IF('[1]Abstract review'!I52="E","Exclude",IF('[1]Abstract review'!I52="DUP","Duplicate — removed",'[1]Abstract review'!I52)))</f>
        <v>Include → full text</v>
      </c>
      <c r="G52" s="4" t="str">
        <f>IF('[1]Abstract review'!I52="E",'[1]Abstract review'!J52,"")</f>
        <v/>
      </c>
      <c r="H52" s="4">
        <f>'[1]Full-text screening-extraction'!A24</f>
        <v>23</v>
      </c>
      <c r="I52" s="4" t="str">
        <f>IF('[1]Full-text screening-extraction'!AB24="","",'[1]Full-text screening-extraction'!AB24)</f>
        <v>unclear</v>
      </c>
      <c r="J52" s="4" t="str">
        <f>IF('[1]Full-text screening-extraction'!AC24="","",'[1]Full-text screening-extraction'!AC24)</f>
        <v>unclear</v>
      </c>
      <c r="K52" s="4" t="str">
        <f>IF('[1]Full-text screening-extraction'!AG24="","",'[1]Full-text screening-extraction'!AG24)</f>
        <v/>
      </c>
      <c r="L52" s="6" t="str">
        <f t="shared" si="0"/>
        <v>Exclude</v>
      </c>
      <c r="M52" s="6" t="str">
        <f t="shared" si="1"/>
        <v>Unclear whether an adjusted model was fitted</v>
      </c>
      <c r="N52" s="6" t="str">
        <f>IF(L52="Include",IFERROR(INDEX('[1]Data extraction'!$AC$2:$AC$58,MATCH(H52+1,'[1]Data extraction'!$AA$2:$AA$58,0)),"not found"),"")</f>
        <v/>
      </c>
      <c r="O52" s="6" t="str">
        <f>IF(N52="","",IFERROR(INDEX('[1]Data extraction'!$L$2:$L$58,MATCH(N52,'[1]Data extraction'!$AC$2:$AC$58,0)),""))</f>
        <v/>
      </c>
      <c r="P52" s="7" t="str">
        <f t="shared" si="2"/>
        <v>Excluded at full text</v>
      </c>
      <c r="Q52" s="6" t="str">
        <f t="shared" si="3"/>
        <v>Analysis &amp; synthesis eligibility</v>
      </c>
      <c r="R52" s="4" t="str">
        <f>IF(P52&lt;&gt;"INCLUDED","",'[1]Full-text screening-extraction'!M24&amp;" ("&amp;'[1]Full-text screening-extraction'!K24&amp;"); outcome: "&amp;'[1]Full-text screening-extraction'!P24&amp;"; multivariable: "&amp;LEFT('[1]Full-text screening-extraction'!T24,120)&amp;" | adjusted for: "&amp;LEFT('[1]Full-text screening-extraction'!U24,100))</f>
        <v/>
      </c>
    </row>
    <row r="53" spans="1:18" x14ac:dyDescent="0.3">
      <c r="A53" s="4">
        <f>'[1]Abstract review'!C53</f>
        <v>49</v>
      </c>
      <c r="B53" s="4" t="str">
        <f>IFERROR(LEFT('[1]Abstract review'!D53,FIND(";",'[1]Abstract review'!D53)-1),'[1]Abstract review'!D53)</f>
        <v>Z. S. Chen</v>
      </c>
      <c r="C53" s="5" t="str">
        <f>'[1]Abstract review'!E53&amp;""</f>
        <v>2026</v>
      </c>
      <c r="D53" s="4" t="str">
        <f>'[1]Abstract review'!F53</f>
        <v>AMIGO2 as a Novel Biomarker Predicting Poor Prognosis and Associated with Adhesion-Driven Metastasis in Pancreatic Adenocarcinoma</v>
      </c>
      <c r="E53" s="4" t="str">
        <f>IF('[1]Abstract review'!G53="","",'[1]Abstract review'!G53)</f>
        <v>10.7150/ijms.121794</v>
      </c>
      <c r="F53" s="4" t="str">
        <f>IF('[1]Abstract review'!I53="I","Include → full text",IF('[1]Abstract review'!I53="E","Exclude",IF('[1]Abstract review'!I53="DUP","Duplicate — removed",'[1]Abstract review'!I53)))</f>
        <v>Include → full text</v>
      </c>
      <c r="G53" s="4" t="str">
        <f>IF('[1]Abstract review'!I53="E",'[1]Abstract review'!J53,"")</f>
        <v/>
      </c>
      <c r="H53" s="4">
        <f>'[1]Full-text screening-extraction'!A25</f>
        <v>24</v>
      </c>
      <c r="I53" s="4" t="str">
        <f>IF('[1]Full-text screening-extraction'!AB25="","",'[1]Full-text screening-extraction'!AB25)</f>
        <v>no</v>
      </c>
      <c r="J53" s="4" t="str">
        <f>IF('[1]Full-text screening-extraction'!AC25="","",'[1]Full-text screening-extraction'!AC25)</f>
        <v>NA</v>
      </c>
      <c r="K53" s="4" t="str">
        <f>IF('[1]Full-text screening-extraction'!AG25="","",'[1]Full-text screening-extraction'!AG25)</f>
        <v/>
      </c>
      <c r="L53" s="6" t="str">
        <f t="shared" si="0"/>
        <v>Exclude</v>
      </c>
      <c r="M53" s="6" t="str">
        <f t="shared" si="1"/>
        <v>No adjusted multivariable model fitted</v>
      </c>
      <c r="N53" s="6" t="str">
        <f>IF(L53="Include",IFERROR(INDEX('[1]Data extraction'!$AC$2:$AC$58,MATCH(H53+1,'[1]Data extraction'!$AA$2:$AA$58,0)),"not found"),"")</f>
        <v/>
      </c>
      <c r="O53" s="6" t="str">
        <f>IF(N53="","",IFERROR(INDEX('[1]Data extraction'!$L$2:$L$58,MATCH(N53,'[1]Data extraction'!$AC$2:$AC$58,0)),""))</f>
        <v/>
      </c>
      <c r="P53" s="7" t="str">
        <f t="shared" si="2"/>
        <v>Excluded at full text</v>
      </c>
      <c r="Q53" s="6" t="str">
        <f t="shared" si="3"/>
        <v>Analysis &amp; synthesis eligibility</v>
      </c>
      <c r="R53" s="4" t="str">
        <f>IF(P53&lt;&gt;"INCLUDED","",'[1]Full-text screening-extraction'!M25&amp;" ("&amp;'[1]Full-text screening-extraction'!K25&amp;"); outcome: "&amp;'[1]Full-text screening-extraction'!P25&amp;"; multivariable: "&amp;LEFT('[1]Full-text screening-extraction'!T25,120)&amp;" | adjusted for: "&amp;LEFT('[1]Full-text screening-extraction'!U25,100))</f>
        <v/>
      </c>
    </row>
    <row r="54" spans="1:18" x14ac:dyDescent="0.3">
      <c r="A54" s="4">
        <f>'[1]Abstract review'!C54</f>
        <v>50</v>
      </c>
      <c r="B54" s="4" t="str">
        <f>IFERROR(LEFT('[1]Abstract review'!D54,FIND(";",'[1]Abstract review'!D54)-1),'[1]Abstract review'!D54)</f>
        <v>Jihao Chen</v>
      </c>
      <c r="C54" s="5" t="str">
        <f>'[1]Abstract review'!E54&amp;""</f>
        <v>2026</v>
      </c>
      <c r="D54" s="4" t="str">
        <f>'[1]Abstract review'!F54</f>
        <v>Multi-scale systems toxicology defines a KLF5-centered adverse outcome pathway linking DEHP exposure to pancreatic cancer progression and signaling programs relevant to therapy tolerance</v>
      </c>
      <c r="E54" s="4" t="str">
        <f>IF('[1]Abstract review'!G54="","",'[1]Abstract review'!G54)</f>
        <v>10.3389/fcell.2026.1769023</v>
      </c>
      <c r="F54" s="4" t="str">
        <f>IF('[1]Abstract review'!I54="I","Include → full text",IF('[1]Abstract review'!I54="E","Exclude",IF('[1]Abstract review'!I54="DUP","Duplicate — removed",'[1]Abstract review'!I54)))</f>
        <v>Exclude</v>
      </c>
      <c r="G54" s="4" t="str">
        <f>IF('[1]Abstract review'!I54="E",'[1]Abstract review'!J54,"")</f>
        <v>No survival outcome</v>
      </c>
      <c r="H54" s="4"/>
      <c r="I54" s="4"/>
      <c r="J54" s="4"/>
      <c r="K54" s="4"/>
      <c r="L54" s="6" t="str">
        <f t="shared" si="0"/>
        <v/>
      </c>
      <c r="M54" s="6" t="str">
        <f t="shared" si="1"/>
        <v/>
      </c>
      <c r="N54" s="6" t="str">
        <f>IF(L54="Include",IFERROR(INDEX('[1]Data extraction'!$AC$2:$AC$58,MATCH(H54+1,'[1]Data extraction'!$AA$2:$AA$58,0)),"not found"),"")</f>
        <v/>
      </c>
      <c r="O54" s="6" t="str">
        <f>IF(N54="","",IFERROR(INDEX('[1]Data extraction'!$L$2:$L$58,MATCH(N54,'[1]Data extraction'!$AC$2:$AC$58,0)),""))</f>
        <v/>
      </c>
      <c r="P54" s="7" t="str">
        <f t="shared" si="2"/>
        <v>Excluded at title/abstract</v>
      </c>
      <c r="Q54" s="6" t="str">
        <f t="shared" si="3"/>
        <v>Outcomes</v>
      </c>
      <c r="R54" s="4"/>
    </row>
    <row r="55" spans="1:18" x14ac:dyDescent="0.3">
      <c r="A55" s="4">
        <f>'[1]Abstract review'!C55</f>
        <v>51</v>
      </c>
      <c r="B55" s="4" t="str">
        <f>IFERROR(LEFT('[1]Abstract review'!D55,FIND(";",'[1]Abstract review'!D55)-1),'[1]Abstract review'!D55)</f>
        <v>J. Chen</v>
      </c>
      <c r="C55" s="5" t="str">
        <f>'[1]Abstract review'!E55&amp;""</f>
        <v>2026</v>
      </c>
      <c r="D55" s="4" t="str">
        <f>'[1]Abstract review'!F55</f>
        <v>Multi-scale systems toxicology defines a KLF5-centered adverse outcome pathway linking DEHP exposure to pancreatic cancer progression and signaling programs relevant to therapy tolerance</v>
      </c>
      <c r="E55" s="4" t="str">
        <f>IF('[1]Abstract review'!G55="","",'[1]Abstract review'!G55)</f>
        <v>10.3389/fcell.2026.1769023</v>
      </c>
      <c r="F55" s="4" t="str">
        <f>IF('[1]Abstract review'!I55="I","Include → full text",IF('[1]Abstract review'!I55="E","Exclude",IF('[1]Abstract review'!I55="DUP","Duplicate — removed",'[1]Abstract review'!I55)))</f>
        <v>Duplicate — removed</v>
      </c>
      <c r="G55" s="4" t="str">
        <f>IF('[1]Abstract review'!I55="E",'[1]Abstract review'!J55,"")</f>
        <v/>
      </c>
      <c r="H55" s="4"/>
      <c r="I55" s="4"/>
      <c r="J55" s="4"/>
      <c r="K55" s="4"/>
      <c r="L55" s="6" t="str">
        <f t="shared" si="0"/>
        <v/>
      </c>
      <c r="M55" s="6" t="str">
        <f t="shared" si="1"/>
        <v/>
      </c>
      <c r="N55" s="6" t="str">
        <f>IF(L55="Include",IFERROR(INDEX('[1]Data extraction'!$AC$2:$AC$58,MATCH(H55+1,'[1]Data extraction'!$AA$2:$AA$58,0)),"not found"),"")</f>
        <v/>
      </c>
      <c r="O55" s="6" t="str">
        <f>IF(N55="","",IFERROR(INDEX('[1]Data extraction'!$L$2:$L$58,MATCH(N55,'[1]Data extraction'!$AC$2:$AC$58,0)),""))</f>
        <v/>
      </c>
      <c r="P55" s="7" t="str">
        <f t="shared" si="2"/>
        <v>Duplicate removed</v>
      </c>
      <c r="Q55" s="6" t="str">
        <f t="shared" si="3"/>
        <v>Duplicate record</v>
      </c>
      <c r="R55" s="4"/>
    </row>
    <row r="56" spans="1:18" x14ac:dyDescent="0.3">
      <c r="A56" s="4">
        <f>'[1]Abstract review'!C56</f>
        <v>52</v>
      </c>
      <c r="B56" s="4" t="str">
        <f>IFERROR(LEFT('[1]Abstract review'!D56,FIND(";",'[1]Abstract review'!D56)-1),'[1]Abstract review'!D56)</f>
        <v>Y. Cai</v>
      </c>
      <c r="C56" s="5" t="str">
        <f>'[1]Abstract review'!E56&amp;""</f>
        <v>2026</v>
      </c>
      <c r="D56" s="4" t="str">
        <f>'[1]Abstract review'!F56</f>
        <v>Molecular Subtyping and Prognostic Prediction in Pancreatic Cancer Based on Mitophagy-Related Genes</v>
      </c>
      <c r="E56" s="4" t="str">
        <f>IF('[1]Abstract review'!G56="","",'[1]Abstract review'!G56)</f>
        <v>10.7150/ijms.121350</v>
      </c>
      <c r="F56" s="4" t="str">
        <f>IF('[1]Abstract review'!I56="I","Include → full text",IF('[1]Abstract review'!I56="E","Exclude",IF('[1]Abstract review'!I56="DUP","Duplicate — removed",'[1]Abstract review'!I56)))</f>
        <v>Include → full text</v>
      </c>
      <c r="G56" s="4" t="str">
        <f>IF('[1]Abstract review'!I56="E",'[1]Abstract review'!J56,"")</f>
        <v/>
      </c>
      <c r="H56" s="4">
        <f>'[1]Full-text screening-extraction'!A26</f>
        <v>25</v>
      </c>
      <c r="I56" s="4" t="str">
        <f>IF('[1]Full-text screening-extraction'!AB26="","",'[1]Full-text screening-extraction'!AB26)</f>
        <v>yes</v>
      </c>
      <c r="J56" s="4" t="str">
        <f>IF('[1]Full-text screening-extraction'!AC26="","",'[1]Full-text screening-extraction'!AC26)</f>
        <v>yes</v>
      </c>
      <c r="K56" s="4" t="str">
        <f>IF('[1]Full-text screening-extraction'!AG26="","",'[1]Full-text screening-extraction'!AG26)</f>
        <v/>
      </c>
      <c r="L56" s="6" t="str">
        <f t="shared" si="0"/>
        <v>Include</v>
      </c>
      <c r="M56" s="6" t="str">
        <f t="shared" si="1"/>
        <v/>
      </c>
      <c r="N56" s="6" t="str">
        <f>IF(L56="Include",IFERROR(INDEX('[1]Data extraction'!$AC$2:$AC$58,MATCH(H56+1,'[1]Data extraction'!$AA$2:$AA$58,0)),"not found"),"")</f>
        <v>EV-31</v>
      </c>
      <c r="O56" s="6" t="str">
        <f>IF(N56="","",IFERROR(INDEX('[1]Data extraction'!$L$2:$L$58,MATCH(N56,'[1]Data extraction'!$AC$2:$AC$58,0)),""))</f>
        <v>A</v>
      </c>
      <c r="P56" s="7" t="str">
        <f t="shared" si="2"/>
        <v>INCLUDED</v>
      </c>
      <c r="Q56" s="6" t="str">
        <f t="shared" si="3"/>
        <v>All PICOS rows + Independent prognostic value</v>
      </c>
      <c r="R56" s="4" t="str">
        <f>IF(P56&lt;&gt;"INCLUDED","",'[1]Full-text screening-extraction'!M26&amp;" ("&amp;'[1]Full-text screening-extraction'!K26&amp;"); outcome: "&amp;'[1]Full-text screening-extraction'!P26&amp;"; multivariable: "&amp;LEFT('[1]Full-text screening-extraction'!T26,120)&amp;" | adjusted for: "&amp;LEFT('[1]Full-text screening-extraction'!U26,100))</f>
        <v>Six-gene mitophagy-related signature (PAPPA, NBPF12, CXCL11, CKLF-CMTM1, CCDC6, AHNAK) (Transcriptomics); outcome: Overall survival (OS); multivariable: Risk score remained an independent predictor of OS in multivariable Cox analysis | adjusted for: Age, tumor grade, T stage, N stage</v>
      </c>
    </row>
    <row r="57" spans="1:18" x14ac:dyDescent="0.3">
      <c r="A57" s="4">
        <f>'[1]Abstract review'!C57</f>
        <v>53</v>
      </c>
      <c r="B57" s="4" t="str">
        <f>IFERROR(LEFT('[1]Abstract review'!D57,FIND(";",'[1]Abstract review'!D57)-1),'[1]Abstract review'!D57)</f>
        <v>M. L. Blanke</v>
      </c>
      <c r="C57" s="5" t="str">
        <f>'[1]Abstract review'!E57&amp;""</f>
        <v>2026</v>
      </c>
      <c r="D57" s="4" t="str">
        <f>'[1]Abstract review'!F57</f>
        <v>Cancer-associated fibroblast subtypes in the tumor microenvironment of prostate cancer and associations to patient outcomes</v>
      </c>
      <c r="E57" s="4" t="str">
        <f>IF('[1]Abstract review'!G57="","",'[1]Abstract review'!G57)</f>
        <v>10.1002/path.70023</v>
      </c>
      <c r="F57" s="4" t="str">
        <f>IF('[1]Abstract review'!I57="I","Include → full text",IF('[1]Abstract review'!I57="E","Exclude",IF('[1]Abstract review'!I57="DUP","Duplicate — removed",'[1]Abstract review'!I57)))</f>
        <v>Exclude</v>
      </c>
      <c r="G57" s="4" t="str">
        <f>IF('[1]Abstract review'!I57="E",'[1]Abstract review'!J57,"")</f>
        <v>no pdac</v>
      </c>
      <c r="H57" s="4"/>
      <c r="I57" s="4"/>
      <c r="J57" s="4"/>
      <c r="K57" s="4"/>
      <c r="L57" s="6" t="str">
        <f t="shared" si="0"/>
        <v/>
      </c>
      <c r="M57" s="6" t="str">
        <f t="shared" si="1"/>
        <v/>
      </c>
      <c r="N57" s="6" t="str">
        <f>IF(L57="Include",IFERROR(INDEX('[1]Data extraction'!$AC$2:$AC$58,MATCH(H57+1,'[1]Data extraction'!$AA$2:$AA$58,0)),"not found"),"")</f>
        <v/>
      </c>
      <c r="O57" s="6" t="str">
        <f>IF(N57="","",IFERROR(INDEX('[1]Data extraction'!$L$2:$L$58,MATCH(N57,'[1]Data extraction'!$AC$2:$AC$58,0)),""))</f>
        <v/>
      </c>
      <c r="P57" s="7" t="str">
        <f t="shared" si="2"/>
        <v>Excluded at title/abstract</v>
      </c>
      <c r="Q57" s="6" t="str">
        <f t="shared" si="3"/>
        <v>Population</v>
      </c>
      <c r="R57" s="4"/>
    </row>
    <row r="58" spans="1:18" x14ac:dyDescent="0.3">
      <c r="A58" s="4">
        <f>'[1]Abstract review'!C58</f>
        <v>54</v>
      </c>
      <c r="B58" s="4" t="str">
        <f>IFERROR(LEFT('[1]Abstract review'!D58,FIND(";",'[1]Abstract review'!D58)-1),'[1]Abstract review'!D58)</f>
        <v>Jhommara Bautista</v>
      </c>
      <c r="C58" s="5" t="str">
        <f>'[1]Abstract review'!E58&amp;""</f>
        <v>2026</v>
      </c>
      <c r="D58" s="4" t="str">
        <f>'[1]Abstract review'!F58</f>
        <v>Decoding the microbial blueprint of pancreatic cancer</v>
      </c>
      <c r="E58" s="4" t="str">
        <f>IF('[1]Abstract review'!G58="","",'[1]Abstract review'!G58)</f>
        <v>10.3389/fmed.2026.1737582</v>
      </c>
      <c r="F58" s="4" t="str">
        <f>IF('[1]Abstract review'!I58="I","Include → full text",IF('[1]Abstract review'!I58="E","Exclude",IF('[1]Abstract review'!I58="DUP","Duplicate — removed",'[1]Abstract review'!I58)))</f>
        <v>Exclude</v>
      </c>
      <c r="G58" s="4" t="str">
        <f>IF('[1]Abstract review'!I58="E",'[1]Abstract review'!J58,"")</f>
        <v>Review</v>
      </c>
      <c r="H58" s="4"/>
      <c r="I58" s="4"/>
      <c r="J58" s="4"/>
      <c r="K58" s="4"/>
      <c r="L58" s="6" t="str">
        <f t="shared" si="0"/>
        <v/>
      </c>
      <c r="M58" s="6" t="str">
        <f t="shared" si="1"/>
        <v/>
      </c>
      <c r="N58" s="6" t="str">
        <f>IF(L58="Include",IFERROR(INDEX('[1]Data extraction'!$AC$2:$AC$58,MATCH(H58+1,'[1]Data extraction'!$AA$2:$AA$58,0)),"not found"),"")</f>
        <v/>
      </c>
      <c r="O58" s="6" t="str">
        <f>IF(N58="","",IFERROR(INDEX('[1]Data extraction'!$L$2:$L$58,MATCH(N58,'[1]Data extraction'!$AC$2:$AC$58,0)),""))</f>
        <v/>
      </c>
      <c r="P58" s="7" t="str">
        <f t="shared" si="2"/>
        <v>Excluded at title/abstract</v>
      </c>
      <c r="Q58" s="6" t="str">
        <f t="shared" si="3"/>
        <v>Study design</v>
      </c>
      <c r="R58" s="4"/>
    </row>
    <row r="59" spans="1:18" x14ac:dyDescent="0.3">
      <c r="A59" s="4">
        <f>'[1]Abstract review'!C59</f>
        <v>55</v>
      </c>
      <c r="B59" s="4" t="str">
        <f>IFERROR(LEFT('[1]Abstract review'!D59,FIND(";",'[1]Abstract review'!D59)-1),'[1]Abstract review'!D59)</f>
        <v>M. C. Baker</v>
      </c>
      <c r="C59" s="5" t="str">
        <f>'[1]Abstract review'!E59&amp;""</f>
        <v>2026</v>
      </c>
      <c r="D59" s="4" t="str">
        <f>'[1]Abstract review'!F59</f>
        <v>Better pancreatic adenocarcinoma outcomes linked to anti-EBV TCR CDR3 detection via tumor RNAseq files</v>
      </c>
      <c r="E59" s="4" t="str">
        <f>IF('[1]Abstract review'!G59="","",'[1]Abstract review'!G59)</f>
        <v>10.1016/j.humimm.2025.111633</v>
      </c>
      <c r="F59" s="4" t="str">
        <f>IF('[1]Abstract review'!I59="I","Include → full text",IF('[1]Abstract review'!I59="E","Exclude",IF('[1]Abstract review'!I59="DUP","Duplicate — removed",'[1]Abstract review'!I59)))</f>
        <v>Include → full text</v>
      </c>
      <c r="G59" s="4" t="str">
        <f>IF('[1]Abstract review'!I59="E",'[1]Abstract review'!J59,"")</f>
        <v/>
      </c>
      <c r="H59" s="4">
        <f>'[1]Full-text screening-extraction'!A27</f>
        <v>26</v>
      </c>
      <c r="I59" s="4" t="str">
        <f>IF('[1]Full-text screening-extraction'!AB27="","",'[1]Full-text screening-extraction'!AB27)</f>
        <v>no</v>
      </c>
      <c r="J59" s="4" t="str">
        <f>IF('[1]Full-text screening-extraction'!AC27="","",'[1]Full-text screening-extraction'!AC27)</f>
        <v>NA</v>
      </c>
      <c r="K59" s="4" t="str">
        <f>IF('[1]Full-text screening-extraction'!AG27="","",'[1]Full-text screening-extraction'!AG27)</f>
        <v/>
      </c>
      <c r="L59" s="6" t="str">
        <f t="shared" si="0"/>
        <v>Exclude</v>
      </c>
      <c r="M59" s="6" t="str">
        <f t="shared" si="1"/>
        <v>No adjusted multivariable model fitted</v>
      </c>
      <c r="N59" s="6" t="str">
        <f>IF(L59="Include",IFERROR(INDEX('[1]Data extraction'!$AC$2:$AC$58,MATCH(H59+1,'[1]Data extraction'!$AA$2:$AA$58,0)),"not found"),"")</f>
        <v/>
      </c>
      <c r="O59" s="6" t="str">
        <f>IF(N59="","",IFERROR(INDEX('[1]Data extraction'!$L$2:$L$58,MATCH(N59,'[1]Data extraction'!$AC$2:$AC$58,0)),""))</f>
        <v/>
      </c>
      <c r="P59" s="7" t="str">
        <f t="shared" si="2"/>
        <v>Excluded at full text</v>
      </c>
      <c r="Q59" s="6" t="str">
        <f t="shared" si="3"/>
        <v>Analysis &amp; synthesis eligibility</v>
      </c>
      <c r="R59" s="4" t="str">
        <f>IF(P59&lt;&gt;"INCLUDED","",'[1]Full-text screening-extraction'!M27&amp;" ("&amp;'[1]Full-text screening-extraction'!K27&amp;"); outcome: "&amp;'[1]Full-text screening-extraction'!P27&amp;"; multivariable: "&amp;LEFT('[1]Full-text screening-extraction'!T27,120)&amp;" | adjusted for: "&amp;LEFT('[1]Full-text screening-extraction'!U27,100))</f>
        <v/>
      </c>
    </row>
    <row r="60" spans="1:18" x14ac:dyDescent="0.3">
      <c r="A60" s="4">
        <f>'[1]Abstract review'!C60</f>
        <v>56</v>
      </c>
      <c r="B60" s="4" t="str">
        <f>IFERROR(LEFT('[1]Abstract review'!D60,FIND(";",'[1]Abstract review'!D60)-1),'[1]Abstract review'!D60)</f>
        <v>C. Allgöwer</v>
      </c>
      <c r="C60" s="5" t="str">
        <f>'[1]Abstract review'!E60&amp;""</f>
        <v>2026</v>
      </c>
      <c r="D60" s="4" t="str">
        <f>'[1]Abstract review'!F60</f>
        <v>An oncogenic KRAS-driven secretome involving TNFα promotes niche preparation prior to pancreatic cancer onset</v>
      </c>
      <c r="E60" s="4" t="str">
        <f>IF('[1]Abstract review'!G60="","",'[1]Abstract review'!G60)</f>
        <v>10.1186/s12943-025-02541-1</v>
      </c>
      <c r="F60" s="4" t="str">
        <f>IF('[1]Abstract review'!I60="I","Include → full text",IF('[1]Abstract review'!I60="E","Exclude",IF('[1]Abstract review'!I60="DUP","Duplicate — removed",'[1]Abstract review'!I60)))</f>
        <v>Exclude</v>
      </c>
      <c r="G60" s="4" t="str">
        <f>IF('[1]Abstract review'!I60="E",'[1]Abstract review'!J60,"")</f>
        <v>Preclinical studies</v>
      </c>
      <c r="H60" s="4"/>
      <c r="I60" s="4"/>
      <c r="J60" s="4"/>
      <c r="K60" s="4"/>
      <c r="L60" s="6" t="str">
        <f t="shared" si="0"/>
        <v/>
      </c>
      <c r="M60" s="6" t="str">
        <f t="shared" si="1"/>
        <v/>
      </c>
      <c r="N60" s="6" t="str">
        <f>IF(L60="Include",IFERROR(INDEX('[1]Data extraction'!$AC$2:$AC$58,MATCH(H60+1,'[1]Data extraction'!$AA$2:$AA$58,0)),"not found"),"")</f>
        <v/>
      </c>
      <c r="O60" s="6" t="str">
        <f>IF(N60="","",IFERROR(INDEX('[1]Data extraction'!$L$2:$L$58,MATCH(N60,'[1]Data extraction'!$AC$2:$AC$58,0)),""))</f>
        <v/>
      </c>
      <c r="P60" s="7" t="str">
        <f t="shared" si="2"/>
        <v>Excluded at title/abstract</v>
      </c>
      <c r="Q60" s="6" t="str">
        <f t="shared" si="3"/>
        <v>Study design</v>
      </c>
      <c r="R60" s="4"/>
    </row>
    <row r="61" spans="1:18" x14ac:dyDescent="0.3">
      <c r="A61" s="4">
        <f>'[1]Abstract review'!C61</f>
        <v>57</v>
      </c>
      <c r="B61" s="4" t="str">
        <f>IFERROR(LEFT('[1]Abstract review'!D61,FIND(";",'[1]Abstract review'!D61)-1),'[1]Abstract review'!D61)</f>
        <v>A. R. Akbar</v>
      </c>
      <c r="C61" s="5" t="str">
        <f>'[1]Abstract review'!E61&amp;""</f>
        <v>2026</v>
      </c>
      <c r="D61" s="4" t="str">
        <f>'[1]Abstract review'!F61</f>
        <v>Inferring Clinically Relevant Molecular Subtypes of Pancreatic Cancer from Routine Histopathology Using Deep Learning</v>
      </c>
      <c r="E61" s="4" t="str">
        <f>IF('[1]Abstract review'!G61="","",'[1]Abstract review'!G61)</f>
        <v>10.64898/2026.01.06.26343539</v>
      </c>
      <c r="F61" s="4" t="str">
        <f>IF('[1]Abstract review'!I61="I","Include → full text",IF('[1]Abstract review'!I61="E","Exclude",IF('[1]Abstract review'!I61="DUP","Duplicate — removed",'[1]Abstract review'!I61)))</f>
        <v>Exclude</v>
      </c>
      <c r="G61" s="4" t="str">
        <f>IF('[1]Abstract review'!I61="E",'[1]Abstract review'!J61,"")</f>
        <v>AI-based prognosis</v>
      </c>
      <c r="H61" s="4"/>
      <c r="I61" s="4"/>
      <c r="J61" s="4"/>
      <c r="K61" s="4"/>
      <c r="L61" s="6" t="str">
        <f t="shared" si="0"/>
        <v/>
      </c>
      <c r="M61" s="6" t="str">
        <f t="shared" si="1"/>
        <v/>
      </c>
      <c r="N61" s="6" t="str">
        <f>IF(L61="Include",IFERROR(INDEX('[1]Data extraction'!$AC$2:$AC$58,MATCH(H61+1,'[1]Data extraction'!$AA$2:$AA$58,0)),"not found"),"")</f>
        <v/>
      </c>
      <c r="O61" s="6" t="str">
        <f>IF(N61="","",IFERROR(INDEX('[1]Data extraction'!$L$2:$L$58,MATCH(N61,'[1]Data extraction'!$AC$2:$AC$58,0)),""))</f>
        <v/>
      </c>
      <c r="P61" s="7" t="str">
        <f t="shared" si="2"/>
        <v>Excluded at title/abstract</v>
      </c>
      <c r="Q61" s="6" t="str">
        <f t="shared" si="3"/>
        <v>Biomarker modality &amp; sample type</v>
      </c>
      <c r="R61" s="4"/>
    </row>
    <row r="62" spans="1:18" x14ac:dyDescent="0.3">
      <c r="A62" s="4">
        <f>'[1]Abstract review'!C62</f>
        <v>58</v>
      </c>
      <c r="B62" s="4" t="str">
        <f>IFERROR(LEFT('[1]Abstract review'!D62,FIND(";",'[1]Abstract review'!D62)-1),'[1]Abstract review'!D62)</f>
        <v>Qi Zou</v>
      </c>
      <c r="C62" s="5" t="str">
        <f>'[1]Abstract review'!E62&amp;""</f>
        <v>2025</v>
      </c>
      <c r="D62" s="4" t="str">
        <f>'[1]Abstract review'!F62</f>
        <v>Machine learning-driven prognostic model based on sphingolipid-related gene signature in pancreatic cancer: development and validation</v>
      </c>
      <c r="E62" s="4" t="str">
        <f>IF('[1]Abstract review'!G62="","",'[1]Abstract review'!G62)</f>
        <v>10.21037/tcr-24-1893</v>
      </c>
      <c r="F62" s="4" t="str">
        <f>IF('[1]Abstract review'!I62="I","Include → full text",IF('[1]Abstract review'!I62="E","Exclude",IF('[1]Abstract review'!I62="DUP","Duplicate — removed",'[1]Abstract review'!I62)))</f>
        <v>Include → full text</v>
      </c>
      <c r="G62" s="4" t="str">
        <f>IF('[1]Abstract review'!I62="E",'[1]Abstract review'!J62,"")</f>
        <v/>
      </c>
      <c r="H62" s="4">
        <f>'[1]Full-text screening-extraction'!A28</f>
        <v>27</v>
      </c>
      <c r="I62" s="4" t="str">
        <f>IF('[1]Full-text screening-extraction'!AB28="","",'[1]Full-text screening-extraction'!AB28)</f>
        <v>unclear</v>
      </c>
      <c r="J62" s="4" t="str">
        <f>IF('[1]Full-text screening-extraction'!AC28="","",'[1]Full-text screening-extraction'!AC28)</f>
        <v>unclear</v>
      </c>
      <c r="K62" s="4" t="str">
        <f>IF('[1]Full-text screening-extraction'!AG28="","",'[1]Full-text screening-extraction'!AG28)</f>
        <v/>
      </c>
      <c r="L62" s="6" t="str">
        <f t="shared" si="0"/>
        <v>Exclude</v>
      </c>
      <c r="M62" s="6" t="str">
        <f t="shared" si="1"/>
        <v>Unclear whether an adjusted model was fitted</v>
      </c>
      <c r="N62" s="6" t="str">
        <f>IF(L62="Include",IFERROR(INDEX('[1]Data extraction'!$AC$2:$AC$58,MATCH(H62+1,'[1]Data extraction'!$AA$2:$AA$58,0)),"not found"),"")</f>
        <v/>
      </c>
      <c r="O62" s="6" t="str">
        <f>IF(N62="","",IFERROR(INDEX('[1]Data extraction'!$L$2:$L$58,MATCH(N62,'[1]Data extraction'!$AC$2:$AC$58,0)),""))</f>
        <v/>
      </c>
      <c r="P62" s="7" t="str">
        <f t="shared" si="2"/>
        <v>Excluded at full text</v>
      </c>
      <c r="Q62" s="6" t="str">
        <f t="shared" si="3"/>
        <v>Analysis &amp; synthesis eligibility</v>
      </c>
      <c r="R62" s="4" t="str">
        <f>IF(P62&lt;&gt;"INCLUDED","",'[1]Full-text screening-extraction'!M28&amp;" ("&amp;'[1]Full-text screening-extraction'!K28&amp;"); outcome: "&amp;'[1]Full-text screening-extraction'!P28&amp;"; multivariable: "&amp;LEFT('[1]Full-text screening-extraction'!T28,120)&amp;" | adjusted for: "&amp;LEFT('[1]Full-text screening-extraction'!U28,100))</f>
        <v/>
      </c>
    </row>
    <row r="63" spans="1:18" x14ac:dyDescent="0.3">
      <c r="A63" s="4">
        <f>'[1]Abstract review'!C63</f>
        <v>59</v>
      </c>
      <c r="B63" s="4" t="str">
        <f>IFERROR(LEFT('[1]Abstract review'!D63,FIND(";",'[1]Abstract review'!D63)-1),'[1]Abstract review'!D63)</f>
        <v>Nitzan Zohar</v>
      </c>
      <c r="C63" s="5" t="str">
        <f>'[1]Abstract review'!E63&amp;""</f>
        <v>2025</v>
      </c>
      <c r="D63" s="4" t="str">
        <f>'[1]Abstract review'!F63</f>
        <v>Gene Expression Profiling of Pancreatic Ductal Adenocarcinoma Cells in Hypercapnia Identifies SIAH3 as a Novel Prognostic Biomarker</v>
      </c>
      <c r="E63" s="4" t="str">
        <f>IF('[1]Abstract review'!G63="","",'[1]Abstract review'!G63)</f>
        <v>10.3390/ijms26072848</v>
      </c>
      <c r="F63" s="4" t="str">
        <f>IF('[1]Abstract review'!I63="I","Include → full text",IF('[1]Abstract review'!I63="E","Exclude",IF('[1]Abstract review'!I63="DUP","Duplicate — removed",'[1]Abstract review'!I63)))</f>
        <v>Exclude</v>
      </c>
      <c r="G63" s="4" t="str">
        <f>IF('[1]Abstract review'!I63="E",'[1]Abstract review'!J63,"")</f>
        <v>Preclinical studies</v>
      </c>
      <c r="H63" s="4"/>
      <c r="I63" s="4"/>
      <c r="J63" s="4"/>
      <c r="K63" s="4"/>
      <c r="L63" s="6" t="str">
        <f t="shared" si="0"/>
        <v/>
      </c>
      <c r="M63" s="6" t="str">
        <f t="shared" si="1"/>
        <v/>
      </c>
      <c r="N63" s="6" t="str">
        <f>IF(L63="Include",IFERROR(INDEX('[1]Data extraction'!$AC$2:$AC$58,MATCH(H63+1,'[1]Data extraction'!$AA$2:$AA$58,0)),"not found"),"")</f>
        <v/>
      </c>
      <c r="O63" s="6" t="str">
        <f>IF(N63="","",IFERROR(INDEX('[1]Data extraction'!$L$2:$L$58,MATCH(N63,'[1]Data extraction'!$AC$2:$AC$58,0)),""))</f>
        <v/>
      </c>
      <c r="P63" s="7" t="str">
        <f t="shared" si="2"/>
        <v>Excluded at title/abstract</v>
      </c>
      <c r="Q63" s="6" t="str">
        <f t="shared" si="3"/>
        <v>Study design</v>
      </c>
      <c r="R63" s="4"/>
    </row>
    <row r="64" spans="1:18" x14ac:dyDescent="0.3">
      <c r="A64" s="4">
        <f>'[1]Abstract review'!C64</f>
        <v>60</v>
      </c>
      <c r="B64" s="4" t="str">
        <f>IFERROR(LEFT('[1]Abstract review'!D64,FIND(";",'[1]Abstract review'!D64)-1),'[1]Abstract review'!D64)</f>
        <v>X. Zhu</v>
      </c>
      <c r="C64" s="5" t="str">
        <f>'[1]Abstract review'!E64&amp;""</f>
        <v>2025</v>
      </c>
      <c r="D64" s="4" t="str">
        <f>'[1]Abstract review'!F64</f>
        <v>FN1 from cancer-associated fibroblasts orchestrates pancreatic cancer metastasis via integrin-PI3K/AKT signaling</v>
      </c>
      <c r="E64" s="4" t="str">
        <f>IF('[1]Abstract review'!G64="","",'[1]Abstract review'!G64)</f>
        <v>10.3389/fonc.2025.1595523</v>
      </c>
      <c r="F64" s="4" t="str">
        <f>IF('[1]Abstract review'!I64="I","Include → full text",IF('[1]Abstract review'!I64="E","Exclude",IF('[1]Abstract review'!I64="DUP","Duplicate — removed",'[1]Abstract review'!I64)))</f>
        <v>Include → full text</v>
      </c>
      <c r="G64" s="4" t="str">
        <f>IF('[1]Abstract review'!I64="E",'[1]Abstract review'!J64,"")</f>
        <v/>
      </c>
      <c r="H64" s="4">
        <f>'[1]Full-text screening-extraction'!A29</f>
        <v>28</v>
      </c>
      <c r="I64" s="4" t="str">
        <f>IF('[1]Full-text screening-extraction'!AB29="","",'[1]Full-text screening-extraction'!AB29)</f>
        <v>no</v>
      </c>
      <c r="J64" s="4" t="str">
        <f>IF('[1]Full-text screening-extraction'!AC29="","",'[1]Full-text screening-extraction'!AC29)</f>
        <v>NA</v>
      </c>
      <c r="K64" s="4" t="str">
        <f>IF('[1]Full-text screening-extraction'!AG29="","",'[1]Full-text screening-extraction'!AG29)</f>
        <v/>
      </c>
      <c r="L64" s="6" t="str">
        <f t="shared" si="0"/>
        <v>Exclude</v>
      </c>
      <c r="M64" s="6" t="str">
        <f t="shared" si="1"/>
        <v>No adjusted multivariable model fitted</v>
      </c>
      <c r="N64" s="6" t="str">
        <f>IF(L64="Include",IFERROR(INDEX('[1]Data extraction'!$AC$2:$AC$58,MATCH(H64+1,'[1]Data extraction'!$AA$2:$AA$58,0)),"not found"),"")</f>
        <v/>
      </c>
      <c r="O64" s="6" t="str">
        <f>IF(N64="","",IFERROR(INDEX('[1]Data extraction'!$L$2:$L$58,MATCH(N64,'[1]Data extraction'!$AC$2:$AC$58,0)),""))</f>
        <v/>
      </c>
      <c r="P64" s="7" t="str">
        <f t="shared" si="2"/>
        <v>Excluded at full text</v>
      </c>
      <c r="Q64" s="6" t="str">
        <f t="shared" si="3"/>
        <v>Analysis &amp; synthesis eligibility</v>
      </c>
      <c r="R64" s="4" t="str">
        <f>IF(P64&lt;&gt;"INCLUDED","",'[1]Full-text screening-extraction'!M29&amp;" ("&amp;'[1]Full-text screening-extraction'!K29&amp;"); outcome: "&amp;'[1]Full-text screening-extraction'!P29&amp;"; multivariable: "&amp;LEFT('[1]Full-text screening-extraction'!T29,120)&amp;" | adjusted for: "&amp;LEFT('[1]Full-text screening-extraction'!U29,100))</f>
        <v/>
      </c>
    </row>
    <row r="65" spans="1:18" x14ac:dyDescent="0.3">
      <c r="A65" s="4">
        <f>'[1]Abstract review'!C65</f>
        <v>61</v>
      </c>
      <c r="B65" s="4" t="str">
        <f>IFERROR(LEFT('[1]Abstract review'!D65,FIND(";",'[1]Abstract review'!D65)-1),'[1]Abstract review'!D65)</f>
        <v>H. Zhu</v>
      </c>
      <c r="C65" s="5" t="str">
        <f>'[1]Abstract review'!E65&amp;""</f>
        <v>2025</v>
      </c>
      <c r="D65" s="4" t="str">
        <f>'[1]Abstract review'!F65</f>
        <v>Deciphering immune landscapes: an ICD-lncRNA-derived prognostic signature for pancreatic adenocarcinoma</v>
      </c>
      <c r="E65" s="4" t="str">
        <f>IF('[1]Abstract review'!G65="","",'[1]Abstract review'!G65)</f>
        <v>10.21037/tcr-2025-582</v>
      </c>
      <c r="F65" s="4" t="str">
        <f>IF('[1]Abstract review'!I65="I","Include → full text",IF('[1]Abstract review'!I65="E","Exclude",IF('[1]Abstract review'!I65="DUP","Duplicate — removed",'[1]Abstract review'!I65)))</f>
        <v>Include → full text</v>
      </c>
      <c r="G65" s="4" t="str">
        <f>IF('[1]Abstract review'!I65="E",'[1]Abstract review'!J65,"")</f>
        <v/>
      </c>
      <c r="H65" s="4">
        <f>'[1]Full-text screening-extraction'!A30</f>
        <v>29</v>
      </c>
      <c r="I65" s="4" t="str">
        <f>IF('[1]Full-text screening-extraction'!AB30="","",'[1]Full-text screening-extraction'!AB30)</f>
        <v>yes</v>
      </c>
      <c r="J65" s="4" t="str">
        <f>IF('[1]Full-text screening-extraction'!AC30="","",'[1]Full-text screening-extraction'!AC30)</f>
        <v>yes</v>
      </c>
      <c r="K65" s="4" t="str">
        <f>IF('[1]Full-text screening-extraction'!AG30="","",'[1]Full-text screening-extraction'!AG30)</f>
        <v/>
      </c>
      <c r="L65" s="6" t="str">
        <f t="shared" si="0"/>
        <v>Include</v>
      </c>
      <c r="M65" s="6" t="str">
        <f t="shared" si="1"/>
        <v/>
      </c>
      <c r="N65" s="6" t="str">
        <f>IF(L65="Include",IFERROR(INDEX('[1]Data extraction'!$AC$2:$AC$58,MATCH(H65+1,'[1]Data extraction'!$AA$2:$AA$58,0)),"not found"),"")</f>
        <v>EV-32</v>
      </c>
      <c r="O65" s="6" t="str">
        <f>IF(N65="","",IFERROR(INDEX('[1]Data extraction'!$L$2:$L$58,MATCH(N65,'[1]Data extraction'!$AC$2:$AC$58,0)),""))</f>
        <v>A-</v>
      </c>
      <c r="P65" s="7" t="str">
        <f t="shared" si="2"/>
        <v>INCLUDED</v>
      </c>
      <c r="Q65" s="6" t="str">
        <f t="shared" si="3"/>
        <v>All PICOS rows + Independent prognostic value</v>
      </c>
      <c r="R65" s="4" t="str">
        <f>IF(P65&lt;&gt;"INCLUDED","",'[1]Full-text screening-extraction'!M30&amp;" ("&amp;'[1]Full-text screening-extraction'!K30&amp;"); outcome: "&amp;'[1]Full-text screening-extraction'!P30&amp;"; multivariable: "&amp;LEFT('[1]Full-text screening-extraction'!T30,120)&amp;" | adjusted for: "&amp;LEFT('[1]Full-text screening-extraction'!U30,100))</f>
        <v>Six ICD-associated lncRNA prognostic signature: ZEB2-AS1, AC099792.1, LINC01091, LINC02613, AC005304.3, LINC00705 (Transcriptomics (lncRNA-focused) + functional cell assays); outcome: Overall survival (OS); multivariable: Multivariate Cox showed risk score remained an independent prognostic factor; N stage and risk score were independent pr | adjusted for: Age, gender, stage, T stage, N stage</v>
      </c>
    </row>
    <row r="66" spans="1:18" x14ac:dyDescent="0.3">
      <c r="A66" s="4">
        <f>'[1]Abstract review'!C66</f>
        <v>62</v>
      </c>
      <c r="B66" s="4" t="str">
        <f>IFERROR(LEFT('[1]Abstract review'!D66,FIND(";",'[1]Abstract review'!D66)-1),'[1]Abstract review'!D66)</f>
        <v>Y. Zhou</v>
      </c>
      <c r="C66" s="5" t="str">
        <f>'[1]Abstract review'!E66&amp;""</f>
        <v>2025</v>
      </c>
      <c r="D66" s="4" t="str">
        <f>'[1]Abstract review'!F66</f>
        <v>Identification of Cancer Associated Fibroblasts Related Genes Signature to Facilitate Improved Prediction of Prognosis and Responses to Therapy in Patients with Pancreatic Cancer</v>
      </c>
      <c r="E66" s="4" t="str">
        <f>IF('[1]Abstract review'!G66="","",'[1]Abstract review'!G66)</f>
        <v>10.3390/ijms26104876</v>
      </c>
      <c r="F66" s="4" t="str">
        <f>IF('[1]Abstract review'!I66="I","Include → full text",IF('[1]Abstract review'!I66="E","Exclude",IF('[1]Abstract review'!I66="DUP","Duplicate — removed",'[1]Abstract review'!I66)))</f>
        <v>Include → full text</v>
      </c>
      <c r="G66" s="4" t="str">
        <f>IF('[1]Abstract review'!I66="E",'[1]Abstract review'!J66,"")</f>
        <v/>
      </c>
      <c r="H66" s="4">
        <f>'[1]Full-text screening-extraction'!A31</f>
        <v>30</v>
      </c>
      <c r="I66" s="4" t="str">
        <f>IF('[1]Full-text screening-extraction'!AB31="","",'[1]Full-text screening-extraction'!AB31)</f>
        <v>no</v>
      </c>
      <c r="J66" s="4" t="str">
        <f>IF('[1]Full-text screening-extraction'!AC31="","",'[1]Full-text screening-extraction'!AC31)</f>
        <v>NA</v>
      </c>
      <c r="K66" s="4" t="str">
        <f>IF('[1]Full-text screening-extraction'!AG31="","",'[1]Full-text screening-extraction'!AG31)</f>
        <v/>
      </c>
      <c r="L66" s="6" t="str">
        <f t="shared" si="0"/>
        <v>Exclude</v>
      </c>
      <c r="M66" s="6" t="str">
        <f t="shared" si="1"/>
        <v>No adjusted multivariable model fitted</v>
      </c>
      <c r="N66" s="6" t="str">
        <f>IF(L66="Include",IFERROR(INDEX('[1]Data extraction'!$AC$2:$AC$58,MATCH(H66+1,'[1]Data extraction'!$AA$2:$AA$58,0)),"not found"),"")</f>
        <v/>
      </c>
      <c r="O66" s="6" t="str">
        <f>IF(N66="","",IFERROR(INDEX('[1]Data extraction'!$L$2:$L$58,MATCH(N66,'[1]Data extraction'!$AC$2:$AC$58,0)),""))</f>
        <v/>
      </c>
      <c r="P66" s="7" t="str">
        <f t="shared" si="2"/>
        <v>Excluded at full text</v>
      </c>
      <c r="Q66" s="6" t="str">
        <f t="shared" si="3"/>
        <v>Analysis &amp; synthesis eligibility</v>
      </c>
      <c r="R66" s="4" t="str">
        <f>IF(P66&lt;&gt;"INCLUDED","",'[1]Full-text screening-extraction'!M31&amp;" ("&amp;'[1]Full-text screening-extraction'!K31&amp;"); outcome: "&amp;'[1]Full-text screening-extraction'!P31&amp;"; multivariable: "&amp;LEFT('[1]Full-text screening-extraction'!T31,120)&amp;" | adjusted for: "&amp;LEFT('[1]Full-text screening-extraction'!U31,100))</f>
        <v/>
      </c>
    </row>
    <row r="67" spans="1:18" x14ac:dyDescent="0.3">
      <c r="A67" s="4">
        <f>'[1]Abstract review'!C67</f>
        <v>63</v>
      </c>
      <c r="B67" s="4" t="str">
        <f>IFERROR(LEFT('[1]Abstract review'!D67,FIND(";",'[1]Abstract review'!D67)-1),'[1]Abstract review'!D67)</f>
        <v>D. Zhou</v>
      </c>
      <c r="C67" s="5" t="str">
        <f>'[1]Abstract review'!E67&amp;""</f>
        <v>2025</v>
      </c>
      <c r="D67" s="4" t="str">
        <f>'[1]Abstract review'!F67</f>
        <v>Integration of bulk and single-cell transcriptomic data reveals a novel signature related to liver metastasis and basement membrane in pancreatic cancer</v>
      </c>
      <c r="E67" s="4" t="str">
        <f>IF('[1]Abstract review'!G67="","",'[1]Abstract review'!G67)</f>
        <v>10.3389/fimmu.2025.1671956</v>
      </c>
      <c r="F67" s="4" t="str">
        <f>IF('[1]Abstract review'!I67="I","Include → full text",IF('[1]Abstract review'!I67="E","Exclude",IF('[1]Abstract review'!I67="DUP","Duplicate — removed",'[1]Abstract review'!I67)))</f>
        <v>Include → full text</v>
      </c>
      <c r="G67" s="4" t="str">
        <f>IF('[1]Abstract review'!I67="E",'[1]Abstract review'!J67,"")</f>
        <v/>
      </c>
      <c r="H67" s="4">
        <f>'[1]Full-text screening-extraction'!A32</f>
        <v>31</v>
      </c>
      <c r="I67" s="4" t="str">
        <f>IF('[1]Full-text screening-extraction'!AB32="","",'[1]Full-text screening-extraction'!AB32)</f>
        <v>yes</v>
      </c>
      <c r="J67" s="4" t="str">
        <f>IF('[1]Full-text screening-extraction'!AC32="","",'[1]Full-text screening-extraction'!AC32)</f>
        <v>yes</v>
      </c>
      <c r="K67" s="4" t="str">
        <f>IF('[1]Full-text screening-extraction'!AG32="","",'[1]Full-text screening-extraction'!AG32)</f>
        <v/>
      </c>
      <c r="L67" s="6" t="str">
        <f t="shared" si="0"/>
        <v>Include</v>
      </c>
      <c r="M67" s="6" t="str">
        <f t="shared" si="1"/>
        <v/>
      </c>
      <c r="N67" s="6" t="str">
        <f>IF(L67="Include",IFERROR(INDEX('[1]Data extraction'!$AC$2:$AC$58,MATCH(H67+1,'[1]Data extraction'!$AA$2:$AA$58,0)),"not found"),"")</f>
        <v>EV-06</v>
      </c>
      <c r="O67" s="6" t="str">
        <f>IF(N67="","",IFERROR(INDEX('[1]Data extraction'!$L$2:$L$58,MATCH(N67,'[1]Data extraction'!$AC$2:$AC$58,0)),""))</f>
        <v>A-</v>
      </c>
      <c r="P67" s="7" t="str">
        <f t="shared" si="2"/>
        <v>INCLUDED</v>
      </c>
      <c r="Q67" s="6" t="str">
        <f t="shared" si="3"/>
        <v>All PICOS rows + Independent prognostic value</v>
      </c>
      <c r="R67" s="4" t="str">
        <f>IF(P67&lt;&gt;"INCLUDED","",'[1]Full-text screening-extraction'!M32&amp;" ("&amp;'[1]Full-text screening-extraction'!K32&amp;"); outcome: "&amp;'[1]Full-text screening-extraction'!P32&amp;"; multivariable: "&amp;LEFT('[1]Full-text screening-extraction'!T32,120)&amp;" | adjusted for: "&amp;LEFT('[1]Full-text screening-extraction'!U32,100))</f>
        <v>Six-gene PCLM-BM signature: COL7A1, ITGA6, ITGA7, ITGB5, ITGB7, NTN4 (Transcriptomics); outcome: Overall survival (OS); multivariable: Multivariate Cox confirmed risk score as independent prognostic factor | adjusted for: Age, TNM stage, tumor grade</v>
      </c>
    </row>
    <row r="68" spans="1:18" x14ac:dyDescent="0.3">
      <c r="A68" s="4">
        <f>'[1]Abstract review'!C68</f>
        <v>64</v>
      </c>
      <c r="B68" s="4" t="str">
        <f>IFERROR(LEFT('[1]Abstract review'!D68,FIND(";",'[1]Abstract review'!D68)-1),'[1]Abstract review'!D68)</f>
        <v>X. Zhao</v>
      </c>
      <c r="C68" s="5" t="str">
        <f>'[1]Abstract review'!E68&amp;""</f>
        <v>2025</v>
      </c>
      <c r="D68" s="4" t="str">
        <f>'[1]Abstract review'!F68</f>
        <v>Core-fucosylated glycoproteins as biomarkers for diagnosing pancreatic ductal adenocarcinoma</v>
      </c>
      <c r="E68" s="4" t="str">
        <f>IF('[1]Abstract review'!G68="","",'[1]Abstract review'!G68)</f>
        <v>10.1016/j.ijbiomac.2025.146774</v>
      </c>
      <c r="F68" s="4" t="str">
        <f>IF('[1]Abstract review'!I68="I","Include → full text",IF('[1]Abstract review'!I68="E","Exclude",IF('[1]Abstract review'!I68="DUP","Duplicate — removed",'[1]Abstract review'!I68)))</f>
        <v>Exclude</v>
      </c>
      <c r="G68" s="4" t="str">
        <f>IF('[1]Abstract review'!I68="E",'[1]Abstract review'!J68,"")</f>
        <v>No prognostic value</v>
      </c>
      <c r="H68" s="4"/>
      <c r="I68" s="4"/>
      <c r="J68" s="4"/>
      <c r="K68" s="4"/>
      <c r="L68" s="6" t="str">
        <f t="shared" si="0"/>
        <v/>
      </c>
      <c r="M68" s="6" t="str">
        <f t="shared" si="1"/>
        <v/>
      </c>
      <c r="N68" s="6" t="str">
        <f>IF(L68="Include",IFERROR(INDEX('[1]Data extraction'!$AC$2:$AC$58,MATCH(H68+1,'[1]Data extraction'!$AA$2:$AA$58,0)),"not found"),"")</f>
        <v/>
      </c>
      <c r="O68" s="6" t="str">
        <f>IF(N68="","",IFERROR(INDEX('[1]Data extraction'!$L$2:$L$58,MATCH(N68,'[1]Data extraction'!$AC$2:$AC$58,0)),""))</f>
        <v/>
      </c>
      <c r="P68" s="7" t="str">
        <f t="shared" si="2"/>
        <v>Excluded at title/abstract</v>
      </c>
      <c r="Q68" s="6" t="str">
        <f t="shared" si="3"/>
        <v>Outcomes</v>
      </c>
      <c r="R68" s="4"/>
    </row>
    <row r="69" spans="1:18" x14ac:dyDescent="0.3">
      <c r="A69" s="4">
        <f>'[1]Abstract review'!C69</f>
        <v>65</v>
      </c>
      <c r="B69" s="4" t="str">
        <f>IFERROR(LEFT('[1]Abstract review'!D69,FIND(";",'[1]Abstract review'!D69)-1),'[1]Abstract review'!D69)</f>
        <v>L. Zhao</v>
      </c>
      <c r="C69" s="5" t="str">
        <f>'[1]Abstract review'!E69&amp;""</f>
        <v>2025</v>
      </c>
      <c r="D69" s="4" t="str">
        <f>'[1]Abstract review'!F69</f>
        <v>Integrating bulk and single-cell RNA sequencing reveals intratumor heterogeneity phenotypes and immune infiltration in pancreatic cancer</v>
      </c>
      <c r="E69" s="4" t="str">
        <f>IF('[1]Abstract review'!G69="","",'[1]Abstract review'!G69)</f>
        <v>10.1007/s12672-025-03080-3</v>
      </c>
      <c r="F69" s="4" t="str">
        <f>IF('[1]Abstract review'!I69="I","Include → full text",IF('[1]Abstract review'!I69="E","Exclude",IF('[1]Abstract review'!I69="DUP","Duplicate — removed",'[1]Abstract review'!I69)))</f>
        <v>Include → full text</v>
      </c>
      <c r="G69" s="4" t="str">
        <f>IF('[1]Abstract review'!I69="E",'[1]Abstract review'!J69,"")</f>
        <v/>
      </c>
      <c r="H69" s="4">
        <f>'[1]Full-text screening-extraction'!A33</f>
        <v>32</v>
      </c>
      <c r="I69" s="4" t="str">
        <f>IF('[1]Full-text screening-extraction'!AB33="","",'[1]Full-text screening-extraction'!AB33)</f>
        <v>yes</v>
      </c>
      <c r="J69" s="4" t="str">
        <f>IF('[1]Full-text screening-extraction'!AC33="","",'[1]Full-text screening-extraction'!AC33)</f>
        <v>yes</v>
      </c>
      <c r="K69" s="4" t="str">
        <f>IF('[1]Full-text screening-extraction'!AG33="","",'[1]Full-text screening-extraction'!AG33)</f>
        <v/>
      </c>
      <c r="L69" s="6" t="str">
        <f t="shared" ref="L69:L132" si="5">IF(H69="","",IF(K69&lt;&gt;"","Exclude",IF(J69="yes","Include","Exclude")))</f>
        <v>Include</v>
      </c>
      <c r="M69" s="6" t="str">
        <f t="shared" ref="M69:M132" si="6">IF(L69&lt;&gt;"Exclude","",IF(K69&lt;&gt;"",IF(ISNUMBER(SEARCH("biomarker modality",K69)),"Biomarker modality not transcriptomic/proteomic","Primary question not prognostic; adjustment unclear"),IF(J69="NA","No adjusted multivariable model fitted",IF(J69="no","Biomarker not independent after adjustment","Unclear whether an adjusted model was fitted"))))</f>
        <v/>
      </c>
      <c r="N69" s="6" t="str">
        <f>IF(L69="Include",IFERROR(INDEX('[1]Data extraction'!$AC$2:$AC$58,MATCH(H69+1,'[1]Data extraction'!$AA$2:$AA$58,0)),"not found"),"")</f>
        <v>EV-33</v>
      </c>
      <c r="O69" s="6" t="str">
        <f>IF(N69="","",IFERROR(INDEX('[1]Data extraction'!$L$2:$L$58,MATCH(N69,'[1]Data extraction'!$AC$2:$AC$58,0)),""))</f>
        <v>A</v>
      </c>
      <c r="P69" s="7" t="str">
        <f t="shared" ref="P69:P132" si="7">IF(F69="Exclude","Excluded at title/abstract",IF(LEFT(F69,9)="Duplicate","Duplicate removed",IF(L69="Include","INCLUDED","Excluded at full text")))</f>
        <v>INCLUDED</v>
      </c>
      <c r="Q69" s="6" t="str">
        <f t="shared" ref="Q69:Q132" si="8">IF(P69="INCLUDED",$W$23,IFERROR(INDEX($W$5:$W$22,MATCH(IF(G69&lt;&gt;"",G69,M69),$V$5:$V$22,0)),IF(P69="Duplicate removed","Duplicate record","")))</f>
        <v>All PICOS rows + Independent prognostic value</v>
      </c>
      <c r="R69" s="4" t="str">
        <f>IF(P69&lt;&gt;"INCLUDED","",'[1]Full-text screening-extraction'!M33&amp;" ("&amp;'[1]Full-text screening-extraction'!K33&amp;"); outcome: "&amp;'[1]Full-text screening-extraction'!P33&amp;"; multivariable: "&amp;LEFT('[1]Full-text screening-extraction'!T33,120)&amp;" | adjusted for: "&amp;LEFT('[1]Full-text screening-extraction'!U33,100))</f>
        <v>11-gene ITH-related prognostic signature (Transcriptomics); outcome: Overall survival (OS); multivariable: Multivariate Cox confirmed risk score as an independent prognostic factor | adjusted for: Age, sex, grade, stage, T stage</v>
      </c>
    </row>
    <row r="70" spans="1:18" x14ac:dyDescent="0.3">
      <c r="A70" s="4">
        <f>'[1]Abstract review'!C70</f>
        <v>66</v>
      </c>
      <c r="B70" s="4" t="str">
        <f>IFERROR(LEFT('[1]Abstract review'!D70,FIND(";",'[1]Abstract review'!D70)-1),'[1]Abstract review'!D70)</f>
        <v>Y. Zhang</v>
      </c>
      <c r="C70" s="5" t="str">
        <f>'[1]Abstract review'!E70&amp;""</f>
        <v>2025</v>
      </c>
      <c r="D70" s="4" t="str">
        <f>'[1]Abstract review'!F70</f>
        <v>A myeloid IFN gamma response gene signature correlates with cancer prognosis</v>
      </c>
      <c r="E70" s="4" t="str">
        <f>IF('[1]Abstract review'!G70="","",'[1]Abstract review'!G70)</f>
        <v>10.1002/ctm2.70139</v>
      </c>
      <c r="F70" s="4" t="str">
        <f>IF('[1]Abstract review'!I70="I","Include → full text",IF('[1]Abstract review'!I70="E","Exclude",IF('[1]Abstract review'!I70="DUP","Duplicate — removed",'[1]Abstract review'!I70)))</f>
        <v>Exclude</v>
      </c>
      <c r="G70" s="4" t="str">
        <f>IF('[1]Abstract review'!I70="E",'[1]Abstract review'!J70,"")</f>
        <v>no pdac</v>
      </c>
      <c r="H70" s="4"/>
      <c r="I70" s="4"/>
      <c r="J70" s="4"/>
      <c r="K70" s="4"/>
      <c r="L70" s="6" t="str">
        <f t="shared" si="5"/>
        <v/>
      </c>
      <c r="M70" s="6" t="str">
        <f t="shared" si="6"/>
        <v/>
      </c>
      <c r="N70" s="6" t="str">
        <f>IF(L70="Include",IFERROR(INDEX('[1]Data extraction'!$AC$2:$AC$58,MATCH(H70+1,'[1]Data extraction'!$AA$2:$AA$58,0)),"not found"),"")</f>
        <v/>
      </c>
      <c r="O70" s="6" t="str">
        <f>IF(N70="","",IFERROR(INDEX('[1]Data extraction'!$L$2:$L$58,MATCH(N70,'[1]Data extraction'!$AC$2:$AC$58,0)),""))</f>
        <v/>
      </c>
      <c r="P70" s="7" t="str">
        <f t="shared" si="7"/>
        <v>Excluded at title/abstract</v>
      </c>
      <c r="Q70" s="6" t="str">
        <f t="shared" si="8"/>
        <v>Population</v>
      </c>
      <c r="R70" s="4"/>
    </row>
    <row r="71" spans="1:18" x14ac:dyDescent="0.3">
      <c r="A71" s="4">
        <f>'[1]Abstract review'!C71</f>
        <v>67</v>
      </c>
      <c r="B71" s="4" t="str">
        <f>IFERROR(LEFT('[1]Abstract review'!D71,FIND(";",'[1]Abstract review'!D71)-1),'[1]Abstract review'!D71)</f>
        <v>Xinghai Zhang</v>
      </c>
      <c r="C71" s="5" t="str">
        <f>'[1]Abstract review'!E71&amp;""</f>
        <v>2025</v>
      </c>
      <c r="D71" s="4" t="str">
        <f>'[1]Abstract review'!F71</f>
        <v>Multiomics profiling Identifies MCMBP as a prognostic biomarker and a potential immune-related target in pancreatic ductal adenocarcinoma via the JAK-STAT3 pathway</v>
      </c>
      <c r="E71" s="4" t="str">
        <f>IF('[1]Abstract review'!G71="","",'[1]Abstract review'!G71)</f>
        <v>10.3389/fimmu.2025.1621927</v>
      </c>
      <c r="F71" s="4" t="str">
        <f>IF('[1]Abstract review'!I71="I","Include → full text",IF('[1]Abstract review'!I71="E","Exclude",IF('[1]Abstract review'!I71="DUP","Duplicate — removed",'[1]Abstract review'!I71)))</f>
        <v>Include → full text</v>
      </c>
      <c r="G71" s="4" t="str">
        <f>IF('[1]Abstract review'!I71="E",'[1]Abstract review'!J71,"")</f>
        <v/>
      </c>
      <c r="H71" s="4">
        <f>'[1]Full-text screening-extraction'!A34</f>
        <v>33</v>
      </c>
      <c r="I71" s="4" t="str">
        <f>IF('[1]Full-text screening-extraction'!AB34="","",'[1]Full-text screening-extraction'!AB34)</f>
        <v>yes</v>
      </c>
      <c r="J71" s="4" t="str">
        <f>IF('[1]Full-text screening-extraction'!AC34="","",'[1]Full-text screening-extraction'!AC34)</f>
        <v>yes</v>
      </c>
      <c r="K71" s="4" t="str">
        <f>IF('[1]Full-text screening-extraction'!AG34="","",'[1]Full-text screening-extraction'!AG34)</f>
        <v/>
      </c>
      <c r="L71" s="6" t="str">
        <f t="shared" si="5"/>
        <v>Include</v>
      </c>
      <c r="M71" s="6" t="str">
        <f t="shared" si="6"/>
        <v/>
      </c>
      <c r="N71" s="6" t="str">
        <f>IF(L71="Include",IFERROR(INDEX('[1]Data extraction'!$AC$2:$AC$58,MATCH(H71+1,'[1]Data extraction'!$AA$2:$AA$58,0)),"not found"),"")</f>
        <v>EV-07</v>
      </c>
      <c r="O71" s="6" t="str">
        <f>IF(N71="","",IFERROR(INDEX('[1]Data extraction'!$L$2:$L$58,MATCH(N71,'[1]Data extraction'!$AC$2:$AC$58,0)),""))</f>
        <v>A</v>
      </c>
      <c r="P71" s="7" t="str">
        <f t="shared" si="7"/>
        <v>INCLUDED</v>
      </c>
      <c r="Q71" s="6" t="str">
        <f t="shared" si="8"/>
        <v>All PICOS rows + Independent prognostic value</v>
      </c>
      <c r="R71" s="4" t="str">
        <f>IF(P71&lt;&gt;"INCLUDED","",'[1]Full-text screening-extraction'!M34&amp;" ("&amp;'[1]Full-text screening-extraction'!K34&amp;"); outcome: "&amp;'[1]Full-text screening-extraction'!P34&amp;"; multivariable: "&amp;LEFT('[1]Full-text screening-extraction'!T34,120)&amp;" | adjusted for: "&amp;LEFT('[1]Full-text screening-extraction'!U34,100))</f>
        <v>MCMBP (Multi-omics (transcriptomics, proteomics, phosphoproteomics, epigenomics)); outcome: Overall survival (OS); multivariable: MCMBP remained an independent prognostic factor in multivariate Cox in both TCGA and CPTAC cohorts | adjusted for: TCGA multivariable model included clinicopathologic factors such as T stage, N stage, tumor grade; n</v>
      </c>
    </row>
    <row r="72" spans="1:18" x14ac:dyDescent="0.3">
      <c r="A72" s="4">
        <f>'[1]Abstract review'!C72</f>
        <v>68</v>
      </c>
      <c r="B72" s="4" t="str">
        <f>IFERROR(LEFT('[1]Abstract review'!D72,FIND(";",'[1]Abstract review'!D72)-1),'[1]Abstract review'!D72)</f>
        <v>Xiaofei Zhang</v>
      </c>
      <c r="C72" s="5" t="str">
        <f>'[1]Abstract review'!E72&amp;""</f>
        <v>2025</v>
      </c>
      <c r="D72" s="4" t="str">
        <f>'[1]Abstract review'!F72</f>
        <v>Complement activation in tumor microenvironment after neoadjuvant therapy and its impact on pancreatic cancer outcomes</v>
      </c>
      <c r="E72" s="4" t="str">
        <f>IF('[1]Abstract review'!G72="","",'[1]Abstract review'!G72)</f>
        <v>10.1038/s41698-025-00848-2</v>
      </c>
      <c r="F72" s="4" t="str">
        <f>IF('[1]Abstract review'!I72="I","Include → full text",IF('[1]Abstract review'!I72="E","Exclude",IF('[1]Abstract review'!I72="DUP","Duplicate — removed",'[1]Abstract review'!I72)))</f>
        <v>Include → full text</v>
      </c>
      <c r="G72" s="4" t="str">
        <f>IF('[1]Abstract review'!I72="E",'[1]Abstract review'!J72,"")</f>
        <v/>
      </c>
      <c r="H72" s="4">
        <f>'[1]Full-text screening-extraction'!A35</f>
        <v>34</v>
      </c>
      <c r="I72" s="4" t="str">
        <f>IF('[1]Full-text screening-extraction'!AB35="","",'[1]Full-text screening-extraction'!AB35)</f>
        <v>yes</v>
      </c>
      <c r="J72" s="4" t="str">
        <f>IF('[1]Full-text screening-extraction'!AC35="","",'[1]Full-text screening-extraction'!AC35)</f>
        <v>yes</v>
      </c>
      <c r="K72" s="4" t="str">
        <f>IF('[1]Full-text screening-extraction'!AG35="","",'[1]Full-text screening-extraction'!AG35)</f>
        <v/>
      </c>
      <c r="L72" s="6" t="str">
        <f t="shared" si="5"/>
        <v>Include</v>
      </c>
      <c r="M72" s="6" t="str">
        <f t="shared" si="6"/>
        <v/>
      </c>
      <c r="N72" s="6" t="str">
        <f>IF(L72="Include",IFERROR(INDEX('[1]Data extraction'!$AC$2:$AC$58,MATCH(H72+1,'[1]Data extraction'!$AA$2:$AA$58,0)),"not found"),"")</f>
        <v>EV-63</v>
      </c>
      <c r="O72" s="6" t="str">
        <f>IF(N72="","",IFERROR(INDEX('[1]Data extraction'!$L$2:$L$58,MATCH(N72,'[1]Data extraction'!$AC$2:$AC$58,0)),""))</f>
        <v>B+</v>
      </c>
      <c r="P72" s="7" t="str">
        <f t="shared" si="7"/>
        <v>INCLUDED</v>
      </c>
      <c r="Q72" s="6" t="str">
        <f t="shared" si="8"/>
        <v>All PICOS rows + Independent prognostic value</v>
      </c>
      <c r="R72" s="4" t="str">
        <f>IF(P72&lt;&gt;"INCLUDED","",'[1]Full-text screening-extraction'!M35&amp;" ("&amp;'[1]Full-text screening-extraction'!K35&amp;"); outcome: "&amp;'[1]Full-text screening-extraction'!P35&amp;"; multivariable: "&amp;LEFT('[1]Full-text screening-extraction'!T35,120)&amp;" | adjusted for: "&amp;LEFT('[1]Full-text screening-extraction'!U35,100))</f>
        <v>Complement pathway genes (C1R, C1S, C3, C4B, C7) expressed in tumor microenvironment (Spatial transcriptomics); outcome: Overall survival (OS); multivariable: High complement expression remained an independent favorable prognostic factor (HR ≈ 0.21) | adjusted for: Tumor stage, treatment status, clinicopathologic variables</v>
      </c>
    </row>
    <row r="73" spans="1:18" x14ac:dyDescent="0.3">
      <c r="A73" s="4">
        <f>'[1]Abstract review'!C73</f>
        <v>69</v>
      </c>
      <c r="B73" s="4" t="str">
        <f>IFERROR(LEFT('[1]Abstract review'!D73,FIND(";",'[1]Abstract review'!D73)-1),'[1]Abstract review'!D73)</f>
        <v>W. Zhang</v>
      </c>
      <c r="C73" s="5" t="str">
        <f>'[1]Abstract review'!E73&amp;""</f>
        <v>2025</v>
      </c>
      <c r="D73" s="4" t="str">
        <f>'[1]Abstract review'!F73</f>
        <v>Small extracellular vesicle-miR-183-5p mediated crosstalk between tumor cells and macrophages in high-risk pancreatic neuroendocrine tumors</v>
      </c>
      <c r="E73" s="4" t="str">
        <f>IF('[1]Abstract review'!G73="","",'[1]Abstract review'!G73)</f>
        <v>10.1038/s41388-025-03462-5</v>
      </c>
      <c r="F73" s="4" t="str">
        <f>IF('[1]Abstract review'!I73="I","Include → full text",IF('[1]Abstract review'!I73="E","Exclude",IF('[1]Abstract review'!I73="DUP","Duplicate — removed",'[1]Abstract review'!I73)))</f>
        <v>Exclude</v>
      </c>
      <c r="G73" s="4" t="str">
        <f>IF('[1]Abstract review'!I73="E",'[1]Abstract review'!J73,"")</f>
        <v>no pdac</v>
      </c>
      <c r="H73" s="4"/>
      <c r="I73" s="4"/>
      <c r="J73" s="4"/>
      <c r="K73" s="4"/>
      <c r="L73" s="6" t="str">
        <f t="shared" si="5"/>
        <v/>
      </c>
      <c r="M73" s="6" t="str">
        <f t="shared" si="6"/>
        <v/>
      </c>
      <c r="N73" s="6" t="str">
        <f>IF(L73="Include",IFERROR(INDEX('[1]Data extraction'!$AC$2:$AC$58,MATCH(H73+1,'[1]Data extraction'!$AA$2:$AA$58,0)),"not found"),"")</f>
        <v/>
      </c>
      <c r="O73" s="6" t="str">
        <f>IF(N73="","",IFERROR(INDEX('[1]Data extraction'!$L$2:$L$58,MATCH(N73,'[1]Data extraction'!$AC$2:$AC$58,0)),""))</f>
        <v/>
      </c>
      <c r="P73" s="7" t="str">
        <f t="shared" si="7"/>
        <v>Excluded at title/abstract</v>
      </c>
      <c r="Q73" s="6" t="str">
        <f t="shared" si="8"/>
        <v>Population</v>
      </c>
      <c r="R73" s="4"/>
    </row>
    <row r="74" spans="1:18" x14ac:dyDescent="0.3">
      <c r="A74" s="4">
        <f>'[1]Abstract review'!C74</f>
        <v>70</v>
      </c>
      <c r="B74" s="4" t="str">
        <f>IFERROR(LEFT('[1]Abstract review'!D74,FIND(";",'[1]Abstract review'!D74)-1),'[1]Abstract review'!D74)</f>
        <v>S. Zhang</v>
      </c>
      <c r="C74" s="5" t="str">
        <f>'[1]Abstract review'!E74&amp;""</f>
        <v>2025</v>
      </c>
      <c r="D74" s="4" t="str">
        <f>'[1]Abstract review'!F74</f>
        <v>Development of a ferroptosis-related signature and identification of NOTCH2 as a novel prognostic biomarker in pancreatic cancer</v>
      </c>
      <c r="E74" s="4" t="str">
        <f>IF('[1]Abstract review'!G74="","",'[1]Abstract review'!G74)</f>
        <v>10.3389/fimmu.2025.1659652</v>
      </c>
      <c r="F74" s="4" t="str">
        <f>IF('[1]Abstract review'!I74="I","Include → full text",IF('[1]Abstract review'!I74="E","Exclude",IF('[1]Abstract review'!I74="DUP","Duplicate — removed",'[1]Abstract review'!I74)))</f>
        <v>Include → full text</v>
      </c>
      <c r="G74" s="4" t="str">
        <f>IF('[1]Abstract review'!I74="E",'[1]Abstract review'!J74,"")</f>
        <v/>
      </c>
      <c r="H74" s="4">
        <f>'[1]Full-text screening-extraction'!A36</f>
        <v>35</v>
      </c>
      <c r="I74" s="4" t="str">
        <f>IF('[1]Full-text screening-extraction'!AB36="","",'[1]Full-text screening-extraction'!AB36)</f>
        <v>yes</v>
      </c>
      <c r="J74" s="4" t="str">
        <f>IF('[1]Full-text screening-extraction'!AC36="","",'[1]Full-text screening-extraction'!AC36)</f>
        <v>yes</v>
      </c>
      <c r="K74" s="4" t="str">
        <f>IF('[1]Full-text screening-extraction'!AG36="","",'[1]Full-text screening-extraction'!AG36)</f>
        <v/>
      </c>
      <c r="L74" s="6" t="str">
        <f t="shared" si="5"/>
        <v>Include</v>
      </c>
      <c r="M74" s="6" t="str">
        <f t="shared" si="6"/>
        <v/>
      </c>
      <c r="N74" s="6" t="str">
        <f>IF(L74="Include",IFERROR(INDEX('[1]Data extraction'!$AC$2:$AC$58,MATCH(H74+1,'[1]Data extraction'!$AA$2:$AA$58,0)),"not found"),"")</f>
        <v>EV-34</v>
      </c>
      <c r="O74" s="6" t="str">
        <f>IF(N74="","",IFERROR(INDEX('[1]Data extraction'!$L$2:$L$58,MATCH(N74,'[1]Data extraction'!$AC$2:$AC$58,0)),""))</f>
        <v>A</v>
      </c>
      <c r="P74" s="7" t="str">
        <f t="shared" si="7"/>
        <v>INCLUDED</v>
      </c>
      <c r="Q74" s="6" t="str">
        <f t="shared" si="8"/>
        <v>All PICOS rows + Independent prognostic value</v>
      </c>
      <c r="R74" s="4" t="str">
        <f>IF(P74&lt;&gt;"INCLUDED","",'[1]Full-text screening-extraction'!M36&amp;" ("&amp;'[1]Full-text screening-extraction'!K36&amp;"); outcome: "&amp;'[1]Full-text screening-extraction'!P36&amp;"; multivariable: "&amp;LEFT('[1]Full-text screening-extraction'!T36,120)&amp;" | adjusted for: "&amp;LEFT('[1]Full-text screening-extraction'!U36,100))</f>
        <v xml:space="preserve">Ferroptosis-related 3-gene signature (NOTCH2, KRT18, H1-2); key single biomarker: NOTCH2 (Transcriptomics); outcome: Overall survival (OS); multivariable: Multivariable Cox confirmed age (HR 1.039, 95% CI 1.014–1.065, P=0.002) and risk score (HR 2.343, 95% CI 1.597–3.437, P&lt; | adjusted for: Age and clinicopathologic variables included in multivariable/nomogram analyses (sex, stage, grade, </v>
      </c>
    </row>
    <row r="75" spans="1:18" x14ac:dyDescent="0.3">
      <c r="A75" s="4">
        <f>'[1]Abstract review'!C75</f>
        <v>71</v>
      </c>
      <c r="B75" s="4" t="str">
        <f>IFERROR(LEFT('[1]Abstract review'!D75,FIND(";",'[1]Abstract review'!D75)-1),'[1]Abstract review'!D75)</f>
        <v>K. Zhang</v>
      </c>
      <c r="C75" s="5" t="str">
        <f>'[1]Abstract review'!E75&amp;""</f>
        <v>2025</v>
      </c>
      <c r="D75" s="4" t="str">
        <f>'[1]Abstract review'!F75</f>
        <v>Molecular Classification and Characterization of Noninsulinoma: Ready for Prime Time in Clinical Practice?</v>
      </c>
      <c r="E75" s="4" t="str">
        <f>IF('[1]Abstract review'!G75="","",'[1]Abstract review'!G75)</f>
        <v>10.1177/10668969251327748</v>
      </c>
      <c r="F75" s="4" t="str">
        <f>IF('[1]Abstract review'!I75="I","Include → full text",IF('[1]Abstract review'!I75="E","Exclude",IF('[1]Abstract review'!I75="DUP","Duplicate — removed",'[1]Abstract review'!I75)))</f>
        <v>Exclude</v>
      </c>
      <c r="G75" s="4" t="str">
        <f>IF('[1]Abstract review'!I75="E",'[1]Abstract review'!J75,"")</f>
        <v>Review</v>
      </c>
      <c r="H75" s="4"/>
      <c r="I75" s="4"/>
      <c r="J75" s="4"/>
      <c r="K75" s="4"/>
      <c r="L75" s="6" t="str">
        <f t="shared" si="5"/>
        <v/>
      </c>
      <c r="M75" s="6" t="str">
        <f t="shared" si="6"/>
        <v/>
      </c>
      <c r="N75" s="6" t="str">
        <f>IF(L75="Include",IFERROR(INDEX('[1]Data extraction'!$AC$2:$AC$58,MATCH(H75+1,'[1]Data extraction'!$AA$2:$AA$58,0)),"not found"),"")</f>
        <v/>
      </c>
      <c r="O75" s="6" t="str">
        <f>IF(N75="","",IFERROR(INDEX('[1]Data extraction'!$L$2:$L$58,MATCH(N75,'[1]Data extraction'!$AC$2:$AC$58,0)),""))</f>
        <v/>
      </c>
      <c r="P75" s="7" t="str">
        <f t="shared" si="7"/>
        <v>Excluded at title/abstract</v>
      </c>
      <c r="Q75" s="6" t="str">
        <f t="shared" si="8"/>
        <v>Study design</v>
      </c>
      <c r="R75" s="4"/>
    </row>
    <row r="76" spans="1:18" x14ac:dyDescent="0.3">
      <c r="A76" s="4">
        <f>'[1]Abstract review'!C76</f>
        <v>72</v>
      </c>
      <c r="B76" s="4" t="str">
        <f>IFERROR(LEFT('[1]Abstract review'!D76,FIND(";",'[1]Abstract review'!D76)-1),'[1]Abstract review'!D76)</f>
        <v>J. Zhang</v>
      </c>
      <c r="C76" s="5" t="str">
        <f>'[1]Abstract review'!E76&amp;""</f>
        <v>2025</v>
      </c>
      <c r="D76" s="4" t="str">
        <f>'[1]Abstract review'!F76</f>
        <v>Deciphering the interaction between the expression of LRP2 served as a mitochondrial metabolism-related gene and prognosis in colon cancer integrating multi-omics analysis</v>
      </c>
      <c r="E76" s="4" t="str">
        <f>IF('[1]Abstract review'!G76="","",'[1]Abstract review'!G76)</f>
        <v>10.1007/s12672-025-02568-2</v>
      </c>
      <c r="F76" s="4" t="str">
        <f>IF('[1]Abstract review'!I76="I","Include → full text",IF('[1]Abstract review'!I76="E","Exclude",IF('[1]Abstract review'!I76="DUP","Duplicate — removed",'[1]Abstract review'!I76)))</f>
        <v>Exclude</v>
      </c>
      <c r="G76" s="4" t="str">
        <f>IF('[1]Abstract review'!I76="E",'[1]Abstract review'!J76,"")</f>
        <v>no pdac</v>
      </c>
      <c r="H76" s="4"/>
      <c r="I76" s="4"/>
      <c r="J76" s="4"/>
      <c r="K76" s="4"/>
      <c r="L76" s="6" t="str">
        <f t="shared" si="5"/>
        <v/>
      </c>
      <c r="M76" s="6" t="str">
        <f t="shared" si="6"/>
        <v/>
      </c>
      <c r="N76" s="6" t="str">
        <f>IF(L76="Include",IFERROR(INDEX('[1]Data extraction'!$AC$2:$AC$58,MATCH(H76+1,'[1]Data extraction'!$AA$2:$AA$58,0)),"not found"),"")</f>
        <v/>
      </c>
      <c r="O76" s="6" t="str">
        <f>IF(N76="","",IFERROR(INDEX('[1]Data extraction'!$L$2:$L$58,MATCH(N76,'[1]Data extraction'!$AC$2:$AC$58,0)),""))</f>
        <v/>
      </c>
      <c r="P76" s="7" t="str">
        <f t="shared" si="7"/>
        <v>Excluded at title/abstract</v>
      </c>
      <c r="Q76" s="6" t="str">
        <f t="shared" si="8"/>
        <v>Population</v>
      </c>
      <c r="R76" s="4"/>
    </row>
    <row r="77" spans="1:18" x14ac:dyDescent="0.3">
      <c r="A77" s="4">
        <f>'[1]Abstract review'!C77</f>
        <v>73</v>
      </c>
      <c r="B77" s="4" t="str">
        <f>IFERROR(LEFT('[1]Abstract review'!D77,FIND(";",'[1]Abstract review'!D77)-1),'[1]Abstract review'!D77)</f>
        <v>E. Zhang</v>
      </c>
      <c r="C77" s="5" t="str">
        <f>'[1]Abstract review'!E77&amp;""</f>
        <v>2025</v>
      </c>
      <c r="D77" s="4" t="str">
        <f>'[1]Abstract review'!F77</f>
        <v>Prognostic implications and characterization of tumor-associated tertiary lymphoid structures genes in pancreatic cancer</v>
      </c>
      <c r="E77" s="4" t="str">
        <f>IF('[1]Abstract review'!G77="","",'[1]Abstract review'!G77)</f>
        <v>10.1186/s12967-025-06152-8</v>
      </c>
      <c r="F77" s="4" t="str">
        <f>IF('[1]Abstract review'!I77="I","Include → full text",IF('[1]Abstract review'!I77="E","Exclude",IF('[1]Abstract review'!I77="DUP","Duplicate — removed",'[1]Abstract review'!I77)))</f>
        <v>Include → full text</v>
      </c>
      <c r="G77" s="4" t="str">
        <f>IF('[1]Abstract review'!I77="E",'[1]Abstract review'!J77,"")</f>
        <v/>
      </c>
      <c r="H77" s="4">
        <f>'[1]Full-text screening-extraction'!A37</f>
        <v>36</v>
      </c>
      <c r="I77" s="4" t="str">
        <f>IF('[1]Full-text screening-extraction'!AB37="","",'[1]Full-text screening-extraction'!AB37)</f>
        <v>unclear</v>
      </c>
      <c r="J77" s="4" t="str">
        <f>IF('[1]Full-text screening-extraction'!AC37="","",'[1]Full-text screening-extraction'!AC37)</f>
        <v>unclear</v>
      </c>
      <c r="K77" s="4" t="str">
        <f>IF('[1]Full-text screening-extraction'!AG37="","",'[1]Full-text screening-extraction'!AG37)</f>
        <v/>
      </c>
      <c r="L77" s="6" t="str">
        <f t="shared" si="5"/>
        <v>Exclude</v>
      </c>
      <c r="M77" s="6" t="str">
        <f t="shared" si="6"/>
        <v>Unclear whether an adjusted model was fitted</v>
      </c>
      <c r="N77" s="6" t="str">
        <f>IF(L77="Include",IFERROR(INDEX('[1]Data extraction'!$AC$2:$AC$58,MATCH(H77+1,'[1]Data extraction'!$AA$2:$AA$58,0)),"not found"),"")</f>
        <v/>
      </c>
      <c r="O77" s="6" t="str">
        <f>IF(N77="","",IFERROR(INDEX('[1]Data extraction'!$L$2:$L$58,MATCH(N77,'[1]Data extraction'!$AC$2:$AC$58,0)),""))</f>
        <v/>
      </c>
      <c r="P77" s="7" t="str">
        <f t="shared" si="7"/>
        <v>Excluded at full text</v>
      </c>
      <c r="Q77" s="6" t="str">
        <f t="shared" si="8"/>
        <v>Analysis &amp; synthesis eligibility</v>
      </c>
      <c r="R77" s="4" t="str">
        <f>IF(P77&lt;&gt;"INCLUDED","",'[1]Full-text screening-extraction'!M37&amp;" ("&amp;'[1]Full-text screening-extraction'!K37&amp;"); outcome: "&amp;'[1]Full-text screening-extraction'!P37&amp;"; multivariable: "&amp;LEFT('[1]Full-text screening-extraction'!T37,120)&amp;" | adjusted for: "&amp;LEFT('[1]Full-text screening-extraction'!U37,100))</f>
        <v/>
      </c>
    </row>
    <row r="78" spans="1:18" x14ac:dyDescent="0.3">
      <c r="A78" s="4">
        <f>'[1]Abstract review'!C78</f>
        <v>74</v>
      </c>
      <c r="B78" s="4" t="str">
        <f>IFERROR(LEFT('[1]Abstract review'!D78,FIND(";",'[1]Abstract review'!D78)-1),'[1]Abstract review'!D78)</f>
        <v>E. Zhang</v>
      </c>
      <c r="C78" s="5" t="str">
        <f>'[1]Abstract review'!E78&amp;""</f>
        <v>2025</v>
      </c>
      <c r="D78" s="4" t="str">
        <f>'[1]Abstract review'!F78</f>
        <v>Multi-omics analysis of polyamine metabolism implicates NT5E/CD73 in the progression of pancreatic cancer</v>
      </c>
      <c r="E78" s="4" t="str">
        <f>IF('[1]Abstract review'!G78="","",'[1]Abstract review'!G78)</f>
        <v>10.1016/j.canlet.2025.217887</v>
      </c>
      <c r="F78" s="4" t="str">
        <f>IF('[1]Abstract review'!I78="I","Include → full text",IF('[1]Abstract review'!I78="E","Exclude",IF('[1]Abstract review'!I78="DUP","Duplicate — removed",'[1]Abstract review'!I78)))</f>
        <v>Include → full text</v>
      </c>
      <c r="G78" s="4" t="str">
        <f>IF('[1]Abstract review'!I78="E",'[1]Abstract review'!J78,"")</f>
        <v/>
      </c>
      <c r="H78" s="4">
        <f>'[1]Full-text screening-extraction'!A38</f>
        <v>37</v>
      </c>
      <c r="I78" s="4" t="str">
        <f>IF('[1]Full-text screening-extraction'!AB38="","",'[1]Full-text screening-extraction'!AB38)</f>
        <v>no</v>
      </c>
      <c r="J78" s="4" t="str">
        <f>IF('[1]Full-text screening-extraction'!AC38="","",'[1]Full-text screening-extraction'!AC38)</f>
        <v>NA</v>
      </c>
      <c r="K78" s="4" t="str">
        <f>IF('[1]Full-text screening-extraction'!AG38="","",'[1]Full-text screening-extraction'!AG38)</f>
        <v/>
      </c>
      <c r="L78" s="6" t="str">
        <f t="shared" si="5"/>
        <v>Exclude</v>
      </c>
      <c r="M78" s="6" t="str">
        <f t="shared" si="6"/>
        <v>No adjusted multivariable model fitted</v>
      </c>
      <c r="N78" s="6" t="str">
        <f>IF(L78="Include",IFERROR(INDEX('[1]Data extraction'!$AC$2:$AC$58,MATCH(H78+1,'[1]Data extraction'!$AA$2:$AA$58,0)),"not found"),"")</f>
        <v/>
      </c>
      <c r="O78" s="6" t="str">
        <f>IF(N78="","",IFERROR(INDEX('[1]Data extraction'!$L$2:$L$58,MATCH(N78,'[1]Data extraction'!$AC$2:$AC$58,0)),""))</f>
        <v/>
      </c>
      <c r="P78" s="7" t="str">
        <f t="shared" si="7"/>
        <v>Excluded at full text</v>
      </c>
      <c r="Q78" s="6" t="str">
        <f t="shared" si="8"/>
        <v>Analysis &amp; synthesis eligibility</v>
      </c>
      <c r="R78" s="4" t="str">
        <f>IF(P78&lt;&gt;"INCLUDED","",'[1]Full-text screening-extraction'!M38&amp;" ("&amp;'[1]Full-text screening-extraction'!K38&amp;"); outcome: "&amp;'[1]Full-text screening-extraction'!P38&amp;"; multivariable: "&amp;LEFT('[1]Full-text screening-extraction'!T38,120)&amp;" | adjusted for: "&amp;LEFT('[1]Full-text screening-extraction'!U38,100))</f>
        <v/>
      </c>
    </row>
    <row r="79" spans="1:18" x14ac:dyDescent="0.3">
      <c r="A79" s="4">
        <f>'[1]Abstract review'!C79</f>
        <v>75</v>
      </c>
      <c r="B79" s="4" t="str">
        <f>IFERROR(LEFT('[1]Abstract review'!D79,FIND(";",'[1]Abstract review'!D79)-1),'[1]Abstract review'!D79)</f>
        <v>C. Zhang</v>
      </c>
      <c r="C79" s="5" t="str">
        <f>'[1]Abstract review'!E79&amp;""</f>
        <v>2025</v>
      </c>
      <c r="D79" s="4" t="str">
        <f>'[1]Abstract review'!F79</f>
        <v>Identification of DNA damage and repair gene-related markers in pancreatic ductal adenocarcinoma by single-cell and bulk RNA sequencing</v>
      </c>
      <c r="E79" s="4" t="str">
        <f>IF('[1]Abstract review'!G79="","",'[1]Abstract review'!G79)</f>
        <v>10.1007/s12672-025-02293-w</v>
      </c>
      <c r="F79" s="4" t="str">
        <f>IF('[1]Abstract review'!I79="I","Include → full text",IF('[1]Abstract review'!I79="E","Exclude",IF('[1]Abstract review'!I79="DUP","Duplicate — removed",'[1]Abstract review'!I79)))</f>
        <v>Include → full text</v>
      </c>
      <c r="G79" s="4" t="str">
        <f>IF('[1]Abstract review'!I79="E",'[1]Abstract review'!J79,"")</f>
        <v/>
      </c>
      <c r="H79" s="4">
        <f>'[1]Full-text screening-extraction'!A39</f>
        <v>38</v>
      </c>
      <c r="I79" s="4" t="str">
        <f>IF('[1]Full-text screening-extraction'!AB39="","",'[1]Full-text screening-extraction'!AB39)</f>
        <v>yes</v>
      </c>
      <c r="J79" s="4" t="str">
        <f>IF('[1]Full-text screening-extraction'!AC39="","",'[1]Full-text screening-extraction'!AC39)</f>
        <v>yes</v>
      </c>
      <c r="K79" s="4" t="str">
        <f>IF('[1]Full-text screening-extraction'!AG39="","",'[1]Full-text screening-extraction'!AG39)</f>
        <v/>
      </c>
      <c r="L79" s="6" t="str">
        <f t="shared" si="5"/>
        <v>Include</v>
      </c>
      <c r="M79" s="6" t="str">
        <f t="shared" si="6"/>
        <v/>
      </c>
      <c r="N79" s="6" t="str">
        <f>IF(L79="Include",IFERROR(INDEX('[1]Data extraction'!$AC$2:$AC$58,MATCH(H79+1,'[1]Data extraction'!$AA$2:$AA$58,0)),"not found"),"")</f>
        <v>EV-35</v>
      </c>
      <c r="O79" s="6" t="str">
        <f>IF(N79="","",IFERROR(INDEX('[1]Data extraction'!$L$2:$L$58,MATCH(N79,'[1]Data extraction'!$AC$2:$AC$58,0)),""))</f>
        <v>A</v>
      </c>
      <c r="P79" s="7" t="str">
        <f t="shared" si="7"/>
        <v>INCLUDED</v>
      </c>
      <c r="Q79" s="6" t="str">
        <f t="shared" si="8"/>
        <v>All PICOS rows + Independent prognostic value</v>
      </c>
      <c r="R79" s="4" t="str">
        <f>IF(P79&lt;&gt;"INCLUDED","",'[1]Full-text screening-extraction'!M39&amp;" ("&amp;'[1]Full-text screening-extraction'!K39&amp;"); outcome: "&amp;'[1]Full-text screening-extraction'!P39&amp;"; multivariable: "&amp;LEFT('[1]Full-text screening-extraction'!T39,120)&amp;" | adjusted for: "&amp;LEFT('[1]Full-text screening-extraction'!U39,100))</f>
        <v>16-gene DNA damage and repair-related prognostic risk score model; key experimental gene: LY6D (Single-cell RNA-seq + bulk RNA-seq); outcome: Overall survival (OS) / prognosis prediction; multivariable: The risk score was reported as an independent predictor of prognosis in multivariable Cox analysis | adjusted for: Age and stage explicitly mentioned; text says multivariable Cox on clinical characteristics includin</v>
      </c>
    </row>
    <row r="80" spans="1:18" x14ac:dyDescent="0.3">
      <c r="A80" s="4">
        <f>'[1]Abstract review'!C80</f>
        <v>76</v>
      </c>
      <c r="B80" s="4" t="str">
        <f>IFERROR(LEFT('[1]Abstract review'!D80,FIND(";",'[1]Abstract review'!D80)-1),'[1]Abstract review'!D80)</f>
        <v>Sun Yuan</v>
      </c>
      <c r="C80" s="5" t="str">
        <f>'[1]Abstract review'!E80&amp;""</f>
        <v>2025</v>
      </c>
      <c r="D80" s="4" t="str">
        <f>'[1]Abstract review'!F80</f>
        <v>Development and Validation of a Centrosome Amplification-Related Prognostic Model in Pancreatic Cancer: Multi-Omics Guided Risk Stratification and Tumor Microenvironment</v>
      </c>
      <c r="E80" s="4" t="str">
        <f>IF('[1]Abstract review'!G80="","",'[1]Abstract review'!G80)</f>
        <v>10.20944/preprints202508.0803.v1</v>
      </c>
      <c r="F80" s="4" t="str">
        <f>IF('[1]Abstract review'!I80="I","Include → full text",IF('[1]Abstract review'!I80="E","Exclude",IF('[1]Abstract review'!I80="DUP","Duplicate — removed",'[1]Abstract review'!I80)))</f>
        <v>Exclude</v>
      </c>
      <c r="G80" s="4" t="str">
        <f>IF('[1]Abstract review'!I80="E",'[1]Abstract review'!J80,"")</f>
        <v>Preprint (not peer-reviewed)</v>
      </c>
      <c r="H80" s="4"/>
      <c r="I80" s="4"/>
      <c r="J80" s="4"/>
      <c r="K80" s="4"/>
      <c r="L80" s="6" t="str">
        <f t="shared" si="5"/>
        <v/>
      </c>
      <c r="M80" s="6" t="str">
        <f t="shared" si="6"/>
        <v/>
      </c>
      <c r="N80" s="6" t="str">
        <f>IF(L80="Include",IFERROR(INDEX('[1]Data extraction'!$AC$2:$AC$58,MATCH(H80+1,'[1]Data extraction'!$AA$2:$AA$58,0)),"not found"),"")</f>
        <v/>
      </c>
      <c r="O80" s="6" t="str">
        <f>IF(N80="","",IFERROR(INDEX('[1]Data extraction'!$L$2:$L$58,MATCH(N80,'[1]Data extraction'!$AC$2:$AC$58,0)),""))</f>
        <v/>
      </c>
      <c r="P80" s="7" t="str">
        <f t="shared" si="7"/>
        <v>Excluded at title/abstract</v>
      </c>
      <c r="Q80" s="6" t="str">
        <f t="shared" si="8"/>
        <v>Study design</v>
      </c>
      <c r="R80" s="4"/>
    </row>
    <row r="81" spans="1:18" x14ac:dyDescent="0.3">
      <c r="A81" s="4">
        <f>'[1]Abstract review'!C81</f>
        <v>77</v>
      </c>
      <c r="B81" s="4" t="str">
        <f>IFERROR(LEFT('[1]Abstract review'!D81,FIND(";",'[1]Abstract review'!D81)-1),'[1]Abstract review'!D81)</f>
        <v>X. Yu</v>
      </c>
      <c r="C81" s="5" t="str">
        <f>'[1]Abstract review'!E81&amp;""</f>
        <v>2025</v>
      </c>
      <c r="D81" s="4" t="str">
        <f>'[1]Abstract review'!F81</f>
        <v>The role of APOBEC mutagenesis in the progression and therapeutic guidance of pancreatic cancer</v>
      </c>
      <c r="E81" s="4" t="str">
        <f>IF('[1]Abstract review'!G81="","",'[1]Abstract review'!G81)</f>
        <v>10.1016/j.ygeno.2025.111098</v>
      </c>
      <c r="F81" s="4" t="str">
        <f>IF('[1]Abstract review'!I81="I","Include → full text",IF('[1]Abstract review'!I81="E","Exclude",IF('[1]Abstract review'!I81="DUP","Duplicate — removed",'[1]Abstract review'!I81)))</f>
        <v>Include → full text</v>
      </c>
      <c r="G81" s="4" t="str">
        <f>IF('[1]Abstract review'!I81="E",'[1]Abstract review'!J81,"")</f>
        <v/>
      </c>
      <c r="H81" s="4">
        <f>'[1]Full-text screening-extraction'!A40</f>
        <v>39</v>
      </c>
      <c r="I81" s="4" t="str">
        <f>IF('[1]Full-text screening-extraction'!AB40="","",'[1]Full-text screening-extraction'!AB40)</f>
        <v>yes</v>
      </c>
      <c r="J81" s="4" t="str">
        <f>IF('[1]Full-text screening-extraction'!AC40="","",'[1]Full-text screening-extraction'!AC40)</f>
        <v>yes</v>
      </c>
      <c r="K81" s="4" t="str">
        <f>IF('[1]Full-text screening-extraction'!AG40="","",'[1]Full-text screening-extraction'!AG40)</f>
        <v/>
      </c>
      <c r="L81" s="6" t="str">
        <f t="shared" si="5"/>
        <v>Include</v>
      </c>
      <c r="M81" s="6" t="str">
        <f t="shared" si="6"/>
        <v/>
      </c>
      <c r="N81" s="6" t="str">
        <f>IF(L81="Include",IFERROR(INDEX('[1]Data extraction'!$AC$2:$AC$58,MATCH(H81+1,'[1]Data extraction'!$AA$2:$AA$58,0)),"not found"),"")</f>
        <v>EV-09</v>
      </c>
      <c r="O81" s="6" t="str">
        <f>IF(N81="","",IFERROR(INDEX('[1]Data extraction'!$L$2:$L$58,MATCH(N81,'[1]Data extraction'!$AC$2:$AC$58,0)),""))</f>
        <v>A</v>
      </c>
      <c r="P81" s="7" t="str">
        <f t="shared" si="7"/>
        <v>INCLUDED</v>
      </c>
      <c r="Q81" s="6" t="str">
        <f t="shared" si="8"/>
        <v>All PICOS rows + Independent prognostic value</v>
      </c>
      <c r="R81" s="4" t="str">
        <f>IF(P81&lt;&gt;"INCLUDED","",'[1]Full-text screening-extraction'!M40&amp;" ("&amp;'[1]Full-text screening-extraction'!K40&amp;"); outcome: "&amp;'[1]Full-text screening-extraction'!P40&amp;"; multivariable: "&amp;LEFT('[1]Full-text screening-extraction'!T40,120)&amp;" | adjusted for: "&amp;LEFT('[1]Full-text screening-extraction'!U40,100))</f>
        <v>APOBEC mutagenesis-related risk score (AMrs) derived from APOBEC-associated genes; APOBEC1 identified as key driver gene (Transcriptomics + mutational analysis + single-cell RNA-seq); outcome: Overall survival (OS); multivariable: AMrs risk score remained significant prognostic factor in multivariate Cox | adjusted for: Clinical variables including age, stage and other clinicopathologic characteristics (not fully detai</v>
      </c>
    </row>
    <row r="82" spans="1:18" x14ac:dyDescent="0.3">
      <c r="A82" s="4">
        <f>'[1]Abstract review'!C82</f>
        <v>78</v>
      </c>
      <c r="B82" s="4" t="str">
        <f>IFERROR(LEFT('[1]Abstract review'!D82,FIND(";",'[1]Abstract review'!D82)-1),'[1]Abstract review'!D82)</f>
        <v>Wenjing Yu</v>
      </c>
      <c r="C82" s="5" t="str">
        <f>'[1]Abstract review'!E82&amp;""</f>
        <v>2025</v>
      </c>
      <c r="D82" s="4" t="str">
        <f>'[1]Abstract review'!F82</f>
        <v>Stimulator of interferon genes signaling network-driven prognostic signature for pancreatic cancer: Hub gene discovery with multimodal validation</v>
      </c>
      <c r="E82" s="4" t="str">
        <f>IF('[1]Abstract review'!G82="","",'[1]Abstract review'!G82)</f>
        <v>10.3892/ol.2025.15348</v>
      </c>
      <c r="F82" s="4" t="str">
        <f>IF('[1]Abstract review'!I82="I","Include → full text",IF('[1]Abstract review'!I82="E","Exclude",IF('[1]Abstract review'!I82="DUP","Duplicate — removed",'[1]Abstract review'!I82)))</f>
        <v>Include → full text</v>
      </c>
      <c r="G82" s="4" t="str">
        <f>IF('[1]Abstract review'!I82="E",'[1]Abstract review'!J82,"")</f>
        <v/>
      </c>
      <c r="H82" s="4">
        <f>'[1]Full-text screening-extraction'!A41</f>
        <v>40</v>
      </c>
      <c r="I82" s="4" t="str">
        <f>IF('[1]Full-text screening-extraction'!AB41="","",'[1]Full-text screening-extraction'!AB41)</f>
        <v>yes</v>
      </c>
      <c r="J82" s="4" t="str">
        <f>IF('[1]Full-text screening-extraction'!AC41="","",'[1]Full-text screening-extraction'!AC41)</f>
        <v>yes</v>
      </c>
      <c r="K82" s="4" t="str">
        <f>IF('[1]Full-text screening-extraction'!AG41="","",'[1]Full-text screening-extraction'!AG41)</f>
        <v/>
      </c>
      <c r="L82" s="6" t="str">
        <f t="shared" si="5"/>
        <v>Include</v>
      </c>
      <c r="M82" s="6" t="str">
        <f t="shared" si="6"/>
        <v/>
      </c>
      <c r="N82" s="6" t="str">
        <f>IF(L82="Include",IFERROR(INDEX('[1]Data extraction'!$AC$2:$AC$58,MATCH(H82+1,'[1]Data extraction'!$AA$2:$AA$58,0)),"not found"),"")</f>
        <v>EV-36</v>
      </c>
      <c r="O82" s="6" t="str">
        <f>IF(N82="","",IFERROR(INDEX('[1]Data extraction'!$L$2:$L$58,MATCH(N82,'[1]Data extraction'!$AC$2:$AC$58,0)),""))</f>
        <v>A</v>
      </c>
      <c r="P82" s="7" t="str">
        <f t="shared" si="7"/>
        <v>INCLUDED</v>
      </c>
      <c r="Q82" s="6" t="str">
        <f t="shared" si="8"/>
        <v>All PICOS rows + Independent prognostic value</v>
      </c>
      <c r="R82" s="4" t="str">
        <f>IF(P82&lt;&gt;"INCLUDED","",'[1]Full-text screening-extraction'!M41&amp;" ("&amp;'[1]Full-text screening-extraction'!K41&amp;"); outcome: "&amp;'[1]Full-text screening-extraction'!P41&amp;"; multivariable: "&amp;LEFT('[1]Full-text screening-extraction'!T41,120)&amp;" | adjusted for: "&amp;LEFT('[1]Full-text screening-extraction'!U41,100))</f>
        <v>STING signaling pathway-derived 6-gene prognostic signature: DTX4, IFI16, MAVS, PRKDC, ZDHHC1, IFIT2 (Transcriptomics); outcome: Overall survival; multivariable: Risk score remained an independent prognostic factor in multivariable Cox; N stage also independent | adjusted for: Clinical features and N stage included; exact full covariate list not fully reported in the pasted t</v>
      </c>
    </row>
    <row r="83" spans="1:18" x14ac:dyDescent="0.3">
      <c r="A83" s="4">
        <f>'[1]Abstract review'!C83</f>
        <v>79</v>
      </c>
      <c r="B83" s="4" t="str">
        <f>IFERROR(LEFT('[1]Abstract review'!D83,FIND(";",'[1]Abstract review'!D83)-1),'[1]Abstract review'!D83)</f>
        <v>Z. Yousefli</v>
      </c>
      <c r="C83" s="5" t="str">
        <f>'[1]Abstract review'!E83&amp;""</f>
        <v>2025</v>
      </c>
      <c r="D83" s="4" t="str">
        <f>'[1]Abstract review'!F83</f>
        <v>Recent advances of circulating biomarkers with potential diagnostic, prognostic, and therapeutic value in pancreatic cancer: Limitations of clinical application</v>
      </c>
      <c r="E83" s="4" t="str">
        <f>IF('[1]Abstract review'!G83="","",'[1]Abstract review'!G83)</f>
        <v>10.1016/j.prp.2025.156045</v>
      </c>
      <c r="F83" s="4" t="str">
        <f>IF('[1]Abstract review'!I83="I","Include → full text",IF('[1]Abstract review'!I83="E","Exclude",IF('[1]Abstract review'!I83="DUP","Duplicate — removed",'[1]Abstract review'!I83)))</f>
        <v>Exclude</v>
      </c>
      <c r="G83" s="4" t="str">
        <f>IF('[1]Abstract review'!I83="E",'[1]Abstract review'!J83,"")</f>
        <v>Review</v>
      </c>
      <c r="H83" s="4"/>
      <c r="I83" s="4"/>
      <c r="J83" s="4"/>
      <c r="K83" s="4"/>
      <c r="L83" s="6" t="str">
        <f t="shared" si="5"/>
        <v/>
      </c>
      <c r="M83" s="6" t="str">
        <f t="shared" si="6"/>
        <v/>
      </c>
      <c r="N83" s="6" t="str">
        <f>IF(L83="Include",IFERROR(INDEX('[1]Data extraction'!$AC$2:$AC$58,MATCH(H83+1,'[1]Data extraction'!$AA$2:$AA$58,0)),"not found"),"")</f>
        <v/>
      </c>
      <c r="O83" s="6" t="str">
        <f>IF(N83="","",IFERROR(INDEX('[1]Data extraction'!$L$2:$L$58,MATCH(N83,'[1]Data extraction'!$AC$2:$AC$58,0)),""))</f>
        <v/>
      </c>
      <c r="P83" s="7" t="str">
        <f t="shared" si="7"/>
        <v>Excluded at title/abstract</v>
      </c>
      <c r="Q83" s="6" t="str">
        <f t="shared" si="8"/>
        <v>Study design</v>
      </c>
      <c r="R83" s="4"/>
    </row>
    <row r="84" spans="1:18" x14ac:dyDescent="0.3">
      <c r="A84" s="4">
        <f>'[1]Abstract review'!C84</f>
        <v>80</v>
      </c>
      <c r="B84" s="4" t="str">
        <f>IFERROR(LEFT('[1]Abstract review'!D84,FIND(";",'[1]Abstract review'!D84)-1),'[1]Abstract review'!D84)</f>
        <v>N. Yao</v>
      </c>
      <c r="C84" s="5" t="str">
        <f>'[1]Abstract review'!E84&amp;""</f>
        <v>2025</v>
      </c>
      <c r="D84" s="4" t="str">
        <f>'[1]Abstract review'!F84</f>
        <v>CEMIP2 sensitizes PDAC to chemotherapy through extracellular matrix remodeling by hyaluronan degradation</v>
      </c>
      <c r="E84" s="4" t="str">
        <f>IF('[1]Abstract review'!G84="","",'[1]Abstract review'!G84)</f>
        <v>10.1016/j.canlet.2025.217898</v>
      </c>
      <c r="F84" s="4" t="str">
        <f>IF('[1]Abstract review'!I84="I","Include → full text",IF('[1]Abstract review'!I84="E","Exclude",IF('[1]Abstract review'!I84="DUP","Duplicate — removed",'[1]Abstract review'!I84)))</f>
        <v>Include → full text</v>
      </c>
      <c r="G84" s="4" t="str">
        <f>IF('[1]Abstract review'!I84="E",'[1]Abstract review'!J84,"")</f>
        <v/>
      </c>
      <c r="H84" s="4">
        <f>'[1]Full-text screening-extraction'!A42</f>
        <v>41</v>
      </c>
      <c r="I84" s="4" t="str">
        <f>IF('[1]Full-text screening-extraction'!AB42="","",'[1]Full-text screening-extraction'!AB42)</f>
        <v>unclear</v>
      </c>
      <c r="J84" s="4" t="str">
        <f>IF('[1]Full-text screening-extraction'!AC42="","",'[1]Full-text screening-extraction'!AC42)</f>
        <v>unclear</v>
      </c>
      <c r="K84" s="4" t="str">
        <f>IF('[1]Full-text screening-extraction'!AG42="","",'[1]Full-text screening-extraction'!AG42)</f>
        <v/>
      </c>
      <c r="L84" s="6" t="str">
        <f t="shared" si="5"/>
        <v>Exclude</v>
      </c>
      <c r="M84" s="6" t="str">
        <f t="shared" si="6"/>
        <v>Unclear whether an adjusted model was fitted</v>
      </c>
      <c r="N84" s="6" t="str">
        <f>IF(L84="Include",IFERROR(INDEX('[1]Data extraction'!$AC$2:$AC$58,MATCH(H84+1,'[1]Data extraction'!$AA$2:$AA$58,0)),"not found"),"")</f>
        <v/>
      </c>
      <c r="O84" s="6" t="str">
        <f>IF(N84="","",IFERROR(INDEX('[1]Data extraction'!$L$2:$L$58,MATCH(N84,'[1]Data extraction'!$AC$2:$AC$58,0)),""))</f>
        <v/>
      </c>
      <c r="P84" s="7" t="str">
        <f t="shared" si="7"/>
        <v>Excluded at full text</v>
      </c>
      <c r="Q84" s="6" t="str">
        <f t="shared" si="8"/>
        <v>Analysis &amp; synthesis eligibility</v>
      </c>
      <c r="R84" s="4" t="str">
        <f>IF(P84&lt;&gt;"INCLUDED","",'[1]Full-text screening-extraction'!M42&amp;" ("&amp;'[1]Full-text screening-extraction'!K42&amp;"); outcome: "&amp;'[1]Full-text screening-extraction'!P42&amp;"; multivariable: "&amp;LEFT('[1]Full-text screening-extraction'!T42,120)&amp;" | adjusted for: "&amp;LEFT('[1]Full-text screening-extraction'!U42,100))</f>
        <v/>
      </c>
    </row>
    <row r="85" spans="1:18" x14ac:dyDescent="0.3">
      <c r="A85" s="4">
        <f>'[1]Abstract review'!C85</f>
        <v>81</v>
      </c>
      <c r="B85" s="4" t="str">
        <f>IFERROR(LEFT('[1]Abstract review'!D85,FIND(";",'[1]Abstract review'!D85)-1),'[1]Abstract review'!D85)</f>
        <v>Zhiqiang Yang</v>
      </c>
      <c r="C85" s="5" t="str">
        <f>'[1]Abstract review'!E85&amp;""</f>
        <v>2025</v>
      </c>
      <c r="D85" s="4" t="str">
        <f>'[1]Abstract review'!F85</f>
        <v>PCDH1 facilitates migration, proliferation, and stemness of pancreatic cancer cells through PI3K-Akt signaling</v>
      </c>
      <c r="E85" s="4" t="str">
        <f>IF('[1]Abstract review'!G85="","",'[1]Abstract review'!G85)</f>
        <v>10.3389/fonc.2025.1696695</v>
      </c>
      <c r="F85" s="4" t="str">
        <f>IF('[1]Abstract review'!I85="I","Include → full text",IF('[1]Abstract review'!I85="E","Exclude",IF('[1]Abstract review'!I85="DUP","Duplicate — removed",'[1]Abstract review'!I85)))</f>
        <v>Include → full text</v>
      </c>
      <c r="G85" s="4" t="str">
        <f>IF('[1]Abstract review'!I85="E",'[1]Abstract review'!J85,"")</f>
        <v/>
      </c>
      <c r="H85" s="4">
        <f>'[1]Full-text screening-extraction'!A43</f>
        <v>42</v>
      </c>
      <c r="I85" s="4" t="str">
        <f>IF('[1]Full-text screening-extraction'!AB43="","",'[1]Full-text screening-extraction'!AB43)</f>
        <v>no</v>
      </c>
      <c r="J85" s="4" t="str">
        <f>IF('[1]Full-text screening-extraction'!AC43="","",'[1]Full-text screening-extraction'!AC43)</f>
        <v>NA</v>
      </c>
      <c r="K85" s="4" t="str">
        <f>IF('[1]Full-text screening-extraction'!AG43="","",'[1]Full-text screening-extraction'!AG43)</f>
        <v/>
      </c>
      <c r="L85" s="6" t="str">
        <f t="shared" si="5"/>
        <v>Exclude</v>
      </c>
      <c r="M85" s="6" t="str">
        <f t="shared" si="6"/>
        <v>No adjusted multivariable model fitted</v>
      </c>
      <c r="N85" s="6" t="str">
        <f>IF(L85="Include",IFERROR(INDEX('[1]Data extraction'!$AC$2:$AC$58,MATCH(H85+1,'[1]Data extraction'!$AA$2:$AA$58,0)),"not found"),"")</f>
        <v/>
      </c>
      <c r="O85" s="6" t="str">
        <f>IF(N85="","",IFERROR(INDEX('[1]Data extraction'!$L$2:$L$58,MATCH(N85,'[1]Data extraction'!$AC$2:$AC$58,0)),""))</f>
        <v/>
      </c>
      <c r="P85" s="7" t="str">
        <f t="shared" si="7"/>
        <v>Excluded at full text</v>
      </c>
      <c r="Q85" s="6" t="str">
        <f t="shared" si="8"/>
        <v>Analysis &amp; synthesis eligibility</v>
      </c>
      <c r="R85" s="4" t="str">
        <f>IF(P85&lt;&gt;"INCLUDED","",'[1]Full-text screening-extraction'!M43&amp;" ("&amp;'[1]Full-text screening-extraction'!K43&amp;"); outcome: "&amp;'[1]Full-text screening-extraction'!P43&amp;"; multivariable: "&amp;LEFT('[1]Full-text screening-extraction'!T43,120)&amp;" | adjusted for: "&amp;LEFT('[1]Full-text screening-extraction'!U43,100))</f>
        <v/>
      </c>
    </row>
    <row r="86" spans="1:18" x14ac:dyDescent="0.3">
      <c r="A86" s="4">
        <f>'[1]Abstract review'!C86</f>
        <v>82</v>
      </c>
      <c r="B86" s="4" t="str">
        <f>IFERROR(LEFT('[1]Abstract review'!D86,FIND(";",'[1]Abstract review'!D86)-1),'[1]Abstract review'!D86)</f>
        <v>Qiuxia Yang</v>
      </c>
      <c r="C86" s="5" t="str">
        <f>'[1]Abstract review'!E86&amp;""</f>
        <v>2025</v>
      </c>
      <c r="D86" s="4" t="str">
        <f>'[1]Abstract review'!F86</f>
        <v>Noninvasive Computed Tomography-Based Quantification of Tumor Fibrosis Predicts Pancreatic Cancer Response to Gemcitabine/Nab-Paclitaxel</v>
      </c>
      <c r="E86" s="4" t="str">
        <f>IF('[1]Abstract review'!G86="","",'[1]Abstract review'!G86)</f>
        <v>10.34133/research.0937</v>
      </c>
      <c r="F86" s="4" t="str">
        <f>IF('[1]Abstract review'!I86="I","Include → full text",IF('[1]Abstract review'!I86="E","Exclude",IF('[1]Abstract review'!I86="DUP","Duplicate — removed",'[1]Abstract review'!I86)))</f>
        <v>Exclude</v>
      </c>
      <c r="G86" s="4" t="str">
        <f>IF('[1]Abstract review'!I86="E",'[1]Abstract review'!J86,"")</f>
        <v>AI-based prognosis</v>
      </c>
      <c r="H86" s="4"/>
      <c r="I86" s="4"/>
      <c r="J86" s="4"/>
      <c r="K86" s="4"/>
      <c r="L86" s="6" t="str">
        <f t="shared" si="5"/>
        <v/>
      </c>
      <c r="M86" s="6" t="str">
        <f t="shared" si="6"/>
        <v/>
      </c>
      <c r="N86" s="6" t="str">
        <f>IF(L86="Include",IFERROR(INDEX('[1]Data extraction'!$AC$2:$AC$58,MATCH(H86+1,'[1]Data extraction'!$AA$2:$AA$58,0)),"not found"),"")</f>
        <v/>
      </c>
      <c r="O86" s="6" t="str">
        <f>IF(N86="","",IFERROR(INDEX('[1]Data extraction'!$L$2:$L$58,MATCH(N86,'[1]Data extraction'!$AC$2:$AC$58,0)),""))</f>
        <v/>
      </c>
      <c r="P86" s="7" t="str">
        <f t="shared" si="7"/>
        <v>Excluded at title/abstract</v>
      </c>
      <c r="Q86" s="6" t="str">
        <f t="shared" si="8"/>
        <v>Biomarker modality &amp; sample type</v>
      </c>
      <c r="R86" s="4"/>
    </row>
    <row r="87" spans="1:18" x14ac:dyDescent="0.3">
      <c r="A87" s="4">
        <f>'[1]Abstract review'!C87</f>
        <v>83</v>
      </c>
      <c r="B87" s="4" t="str">
        <f>IFERROR(LEFT('[1]Abstract review'!D87,FIND(";",'[1]Abstract review'!D87)-1),'[1]Abstract review'!D87)</f>
        <v>Kailing Yang</v>
      </c>
      <c r="C87" s="5" t="str">
        <f>'[1]Abstract review'!E87&amp;""</f>
        <v>2025</v>
      </c>
      <c r="D87" s="4" t="str">
        <f>'[1]Abstract review'!F87</f>
        <v>Transcriptional deregulation by FOXM1-JUP signaling confers dual oncogenic drivers for pancreatic tumorigenesis and therapeutic resistance</v>
      </c>
      <c r="E87" s="4" t="str">
        <f>IF('[1]Abstract review'!G87="","",'[1]Abstract review'!G87)</f>
        <v>10.1186/s12964-025-02512-5</v>
      </c>
      <c r="F87" s="4" t="str">
        <f>IF('[1]Abstract review'!I87="I","Include → full text",IF('[1]Abstract review'!I87="E","Exclude",IF('[1]Abstract review'!I87="DUP","Duplicate — removed",'[1]Abstract review'!I87)))</f>
        <v>Include → full text</v>
      </c>
      <c r="G87" s="4" t="str">
        <f>IF('[1]Abstract review'!I87="E",'[1]Abstract review'!J87,"")</f>
        <v/>
      </c>
      <c r="H87" s="4">
        <f>'[1]Full-text screening-extraction'!A44</f>
        <v>43</v>
      </c>
      <c r="I87" s="4" t="str">
        <f>IF('[1]Full-text screening-extraction'!AB44="","",'[1]Full-text screening-extraction'!AB44)</f>
        <v>yes</v>
      </c>
      <c r="J87" s="4" t="str">
        <f>IF('[1]Full-text screening-extraction'!AC44="","",'[1]Full-text screening-extraction'!AC44)</f>
        <v>yes</v>
      </c>
      <c r="K87" s="4" t="str">
        <f>IF('[1]Full-text screening-extraction'!AG44="","",'[1]Full-text screening-extraction'!AG44)</f>
        <v/>
      </c>
      <c r="L87" s="6" t="str">
        <f t="shared" si="5"/>
        <v>Include</v>
      </c>
      <c r="M87" s="6" t="str">
        <f t="shared" si="6"/>
        <v/>
      </c>
      <c r="N87" s="6" t="str">
        <f>IF(L87="Include",IFERROR(INDEX('[1]Data extraction'!$AC$2:$AC$58,MATCH(H87+1,'[1]Data extraction'!$AA$2:$AA$58,0)),"not found"),"")</f>
        <v>EV-10</v>
      </c>
      <c r="O87" s="6" t="str">
        <f>IF(N87="","",IFERROR(INDEX('[1]Data extraction'!$L$2:$L$58,MATCH(N87,'[1]Data extraction'!$AC$2:$AC$58,0)),""))</f>
        <v>B</v>
      </c>
      <c r="P87" s="7" t="str">
        <f t="shared" si="7"/>
        <v>INCLUDED</v>
      </c>
      <c r="Q87" s="6" t="str">
        <f t="shared" si="8"/>
        <v>All PICOS rows + Independent prognostic value</v>
      </c>
      <c r="R87" s="4" t="str">
        <f>IF(P87&lt;&gt;"INCLUDED","",'[1]Full-text screening-extraction'!M44&amp;" ("&amp;'[1]Full-text screening-extraction'!K44&amp;"); outcome: "&amp;'[1]Full-text screening-extraction'!P44&amp;"; multivariable: "&amp;LEFT('[1]Full-text screening-extraction'!T44,120)&amp;" | adjusted for: "&amp;LEFT('[1]Full-text screening-extraction'!U44,100))</f>
        <v>JUP (junction plakoglobin) and FOXM1-JUP axis (Transcriptomics + proteomics validation); outcome: Overall survival; multivariable: JUP remained an independent prognostic factor in multivariate analysis | adjusted for: Age, disease stage, treatment response and other clinical factors</v>
      </c>
    </row>
    <row r="88" spans="1:18" x14ac:dyDescent="0.3">
      <c r="A88" s="4">
        <f>'[1]Abstract review'!C88</f>
        <v>84</v>
      </c>
      <c r="B88" s="4" t="str">
        <f>IFERROR(LEFT('[1]Abstract review'!D88,FIND(";",'[1]Abstract review'!D88)-1),'[1]Abstract review'!D88)</f>
        <v>A. Yang</v>
      </c>
      <c r="C88" s="5" t="str">
        <f>'[1]Abstract review'!E88&amp;""</f>
        <v>2025</v>
      </c>
      <c r="D88" s="4" t="str">
        <f>'[1]Abstract review'!F88</f>
        <v>ITGB5-mediated biomechanical regulation in pancreatic ductal adenocarcinoma stroma impacts tumor progression and prognosis</v>
      </c>
      <c r="E88" s="4" t="str">
        <f>IF('[1]Abstract review'!G88="","",'[1]Abstract review'!G88)</f>
        <v>10.1186/s12967-025-07119-5</v>
      </c>
      <c r="F88" s="4" t="str">
        <f>IF('[1]Abstract review'!I88="I","Include → full text",IF('[1]Abstract review'!I88="E","Exclude",IF('[1]Abstract review'!I88="DUP","Duplicate — removed",'[1]Abstract review'!I88)))</f>
        <v>Include → full text</v>
      </c>
      <c r="G88" s="4" t="str">
        <f>IF('[1]Abstract review'!I88="E",'[1]Abstract review'!J88,"")</f>
        <v/>
      </c>
      <c r="H88" s="4">
        <f>'[1]Full-text screening-extraction'!A45</f>
        <v>44</v>
      </c>
      <c r="I88" s="4" t="str">
        <f>IF('[1]Full-text screening-extraction'!AB45="","",'[1]Full-text screening-extraction'!AB45)</f>
        <v>yes</v>
      </c>
      <c r="J88" s="4" t="str">
        <f>IF('[1]Full-text screening-extraction'!AC45="","",'[1]Full-text screening-extraction'!AC45)</f>
        <v>unclear</v>
      </c>
      <c r="K88" s="4" t="str">
        <f>IF('[1]Full-text screening-extraction'!AG45="","",'[1]Full-text screening-extraction'!AG45)</f>
        <v/>
      </c>
      <c r="L88" s="6" t="str">
        <f t="shared" si="5"/>
        <v>Exclude</v>
      </c>
      <c r="M88" s="6" t="str">
        <f t="shared" si="6"/>
        <v>Unclear whether an adjusted model was fitted</v>
      </c>
      <c r="N88" s="6" t="str">
        <f>IF(L88="Include",IFERROR(INDEX('[1]Data extraction'!$AC$2:$AC$58,MATCH(H88+1,'[1]Data extraction'!$AA$2:$AA$58,0)),"not found"),"")</f>
        <v/>
      </c>
      <c r="O88" s="6" t="str">
        <f>IF(N88="","",IFERROR(INDEX('[1]Data extraction'!$L$2:$L$58,MATCH(N88,'[1]Data extraction'!$AC$2:$AC$58,0)),""))</f>
        <v/>
      </c>
      <c r="P88" s="7" t="str">
        <f t="shared" si="7"/>
        <v>Excluded at full text</v>
      </c>
      <c r="Q88" s="6" t="str">
        <f t="shared" si="8"/>
        <v>Analysis &amp; synthesis eligibility</v>
      </c>
      <c r="R88" s="4" t="str">
        <f>IF(P88&lt;&gt;"INCLUDED","",'[1]Full-text screening-extraction'!M45&amp;" ("&amp;'[1]Full-text screening-extraction'!K45&amp;"); outcome: "&amp;'[1]Full-text screening-extraction'!P45&amp;"; multivariable: "&amp;LEFT('[1]Full-text screening-extraction'!T45,120)&amp;" | adjusted for: "&amp;LEFT('[1]Full-text screening-extraction'!U45,100))</f>
        <v/>
      </c>
    </row>
    <row r="89" spans="1:18" x14ac:dyDescent="0.3">
      <c r="A89" s="4">
        <f>'[1]Abstract review'!C89</f>
        <v>85</v>
      </c>
      <c r="B89" s="4" t="str">
        <f>IFERROR(LEFT('[1]Abstract review'!D89,FIND(";",'[1]Abstract review'!D89)-1),'[1]Abstract review'!D89)</f>
        <v>S. N. Yamashita</v>
      </c>
      <c r="C89" s="5" t="str">
        <f>'[1]Abstract review'!E89&amp;""</f>
        <v>2025</v>
      </c>
      <c r="D89" s="4" t="str">
        <f>'[1]Abstract review'!F89</f>
        <v>Strong Association Between Higher Expression of Anillin Actin-binding Protein in Pancreatic Adenocarcinoma Tissues and Patient Survival Analyzed With the UALCAN and GEPIA Platforms Using the TCGA Database</v>
      </c>
      <c r="E89" s="4" t="str">
        <f>IF('[1]Abstract review'!G89="","",'[1]Abstract review'!G89)</f>
        <v>10.21873/cgp.20555</v>
      </c>
      <c r="F89" s="4" t="str">
        <f>IF('[1]Abstract review'!I89="I","Include → full text",IF('[1]Abstract review'!I89="E","Exclude",IF('[1]Abstract review'!I89="DUP","Duplicate — removed",'[1]Abstract review'!I89)))</f>
        <v>Include → full text</v>
      </c>
      <c r="G89" s="4" t="str">
        <f>IF('[1]Abstract review'!I89="E",'[1]Abstract review'!J89,"")</f>
        <v/>
      </c>
      <c r="H89" s="4">
        <f>'[1]Full-text screening-extraction'!A46</f>
        <v>45</v>
      </c>
      <c r="I89" s="4" t="str">
        <f>IF('[1]Full-text screening-extraction'!AB46="","",'[1]Full-text screening-extraction'!AB46)</f>
        <v>no</v>
      </c>
      <c r="J89" s="4" t="str">
        <f>IF('[1]Full-text screening-extraction'!AC46="","",'[1]Full-text screening-extraction'!AC46)</f>
        <v>NA</v>
      </c>
      <c r="K89" s="4" t="str">
        <f>IF('[1]Full-text screening-extraction'!AG46="","",'[1]Full-text screening-extraction'!AG46)</f>
        <v/>
      </c>
      <c r="L89" s="6" t="str">
        <f t="shared" si="5"/>
        <v>Exclude</v>
      </c>
      <c r="M89" s="6" t="str">
        <f t="shared" si="6"/>
        <v>No adjusted multivariable model fitted</v>
      </c>
      <c r="N89" s="6" t="str">
        <f>IF(L89="Include",IFERROR(INDEX('[1]Data extraction'!$AC$2:$AC$58,MATCH(H89+1,'[1]Data extraction'!$AA$2:$AA$58,0)),"not found"),"")</f>
        <v/>
      </c>
      <c r="O89" s="6" t="str">
        <f>IF(N89="","",IFERROR(INDEX('[1]Data extraction'!$L$2:$L$58,MATCH(N89,'[1]Data extraction'!$AC$2:$AC$58,0)),""))</f>
        <v/>
      </c>
      <c r="P89" s="7" t="str">
        <f t="shared" si="7"/>
        <v>Excluded at full text</v>
      </c>
      <c r="Q89" s="6" t="str">
        <f t="shared" si="8"/>
        <v>Analysis &amp; synthesis eligibility</v>
      </c>
      <c r="R89" s="4" t="str">
        <f>IF(P89&lt;&gt;"INCLUDED","",'[1]Full-text screening-extraction'!M46&amp;" ("&amp;'[1]Full-text screening-extraction'!K46&amp;"); outcome: "&amp;'[1]Full-text screening-extraction'!P46&amp;"; multivariable: "&amp;LEFT('[1]Full-text screening-extraction'!T46,120)&amp;" | adjusted for: "&amp;LEFT('[1]Full-text screening-extraction'!U46,100))</f>
        <v/>
      </c>
    </row>
    <row r="90" spans="1:18" x14ac:dyDescent="0.3">
      <c r="A90" s="4">
        <f>'[1]Abstract review'!C90</f>
        <v>86</v>
      </c>
      <c r="B90" s="4" t="str">
        <f>IFERROR(LEFT('[1]Abstract review'!D90,FIND(";",'[1]Abstract review'!D90)-1),'[1]Abstract review'!D90)</f>
        <v>S. Yadav</v>
      </c>
      <c r="C90" s="5" t="str">
        <f>'[1]Abstract review'!E90&amp;""</f>
        <v>2025</v>
      </c>
      <c r="D90" s="4" t="str">
        <f>'[1]Abstract review'!F90</f>
        <v>Genomic and Immune Landscape of Pancreatic Ductal Adenocarcinoma Associated with Germline Pathogenic Variants in ATM</v>
      </c>
      <c r="E90" s="4" t="str">
        <f>IF('[1]Abstract review'!G90="","",'[1]Abstract review'!G90)</f>
        <v>10.1158/1078-0432.Ccr-24-4120</v>
      </c>
      <c r="F90" s="4" t="str">
        <f>IF('[1]Abstract review'!I90="I","Include → full text",IF('[1]Abstract review'!I90="E","Exclude",IF('[1]Abstract review'!I90="DUP","Duplicate — removed",'[1]Abstract review'!I90)))</f>
        <v>Include → full text</v>
      </c>
      <c r="G90" s="4" t="str">
        <f>IF('[1]Abstract review'!I90="E",'[1]Abstract review'!J90,"")</f>
        <v/>
      </c>
      <c r="H90" s="4">
        <f>'[1]Full-text screening-extraction'!A47</f>
        <v>46</v>
      </c>
      <c r="I90" s="4" t="str">
        <f>IF('[1]Full-text screening-extraction'!AB47="","",'[1]Full-text screening-extraction'!AB47)</f>
        <v>no</v>
      </c>
      <c r="J90" s="4" t="str">
        <f>IF('[1]Full-text screening-extraction'!AC47="","",'[1]Full-text screening-extraction'!AC47)</f>
        <v>NA</v>
      </c>
      <c r="K90" s="4" t="str">
        <f>IF('[1]Full-text screening-extraction'!AG47="","",'[1]Full-text screening-extraction'!AG47)</f>
        <v/>
      </c>
      <c r="L90" s="6" t="str">
        <f t="shared" si="5"/>
        <v>Exclude</v>
      </c>
      <c r="M90" s="6" t="str">
        <f t="shared" si="6"/>
        <v>No adjusted multivariable model fitted</v>
      </c>
      <c r="N90" s="6" t="str">
        <f>IF(L90="Include",IFERROR(INDEX('[1]Data extraction'!$AC$2:$AC$58,MATCH(H90+1,'[1]Data extraction'!$AA$2:$AA$58,0)),"not found"),"")</f>
        <v/>
      </c>
      <c r="O90" s="6" t="str">
        <f>IF(N90="","",IFERROR(INDEX('[1]Data extraction'!$L$2:$L$58,MATCH(N90,'[1]Data extraction'!$AC$2:$AC$58,0)),""))</f>
        <v/>
      </c>
      <c r="P90" s="7" t="str">
        <f t="shared" si="7"/>
        <v>Excluded at full text</v>
      </c>
      <c r="Q90" s="6" t="str">
        <f t="shared" si="8"/>
        <v>Analysis &amp; synthesis eligibility</v>
      </c>
      <c r="R90" s="4" t="str">
        <f>IF(P90&lt;&gt;"INCLUDED","",'[1]Full-text screening-extraction'!M47&amp;" ("&amp;'[1]Full-text screening-extraction'!K47&amp;"); outcome: "&amp;'[1]Full-text screening-extraction'!P47&amp;"; multivariable: "&amp;LEFT('[1]Full-text screening-extraction'!T47,120)&amp;" | adjusted for: "&amp;LEFT('[1]Full-text screening-extraction'!U47,100))</f>
        <v/>
      </c>
    </row>
    <row r="91" spans="1:18" x14ac:dyDescent="0.3">
      <c r="A91" s="4">
        <f>'[1]Abstract review'!C91</f>
        <v>87</v>
      </c>
      <c r="B91" s="4" t="str">
        <f>IFERROR(LEFT('[1]Abstract review'!D91,FIND(";",'[1]Abstract review'!D91)-1),'[1]Abstract review'!D91)</f>
        <v>Z. Xuan</v>
      </c>
      <c r="C91" s="5" t="str">
        <f>'[1]Abstract review'!E91&amp;""</f>
        <v>2025</v>
      </c>
      <c r="D91" s="4" t="str">
        <f>'[1]Abstract review'!F91</f>
        <v>SCGB3A1-Epi and KLK10-Epi Crosstalk With Fibroblasts Promotes Liver Metastasis of Breast Cancer and Pancreatic Ductal Adenocarcinoma</v>
      </c>
      <c r="E91" s="4" t="str">
        <f>IF('[1]Abstract review'!G91="","",'[1]Abstract review'!G91)</f>
        <v>10.1002/cam4.70904</v>
      </c>
      <c r="F91" s="4" t="str">
        <f>IF('[1]Abstract review'!I91="I","Include → full text",IF('[1]Abstract review'!I91="E","Exclude",IF('[1]Abstract review'!I91="DUP","Duplicate — removed",'[1]Abstract review'!I91)))</f>
        <v>Exclude</v>
      </c>
      <c r="G91" s="4" t="str">
        <f>IF('[1]Abstract review'!I91="E",'[1]Abstract review'!J91,"")</f>
        <v>Preclinical studies</v>
      </c>
      <c r="H91" s="4"/>
      <c r="I91" s="4"/>
      <c r="J91" s="4"/>
      <c r="K91" s="4"/>
      <c r="L91" s="6" t="str">
        <f t="shared" si="5"/>
        <v/>
      </c>
      <c r="M91" s="6" t="str">
        <f t="shared" si="6"/>
        <v/>
      </c>
      <c r="N91" s="6" t="str">
        <f>IF(L91="Include",IFERROR(INDEX('[1]Data extraction'!$AC$2:$AC$58,MATCH(H91+1,'[1]Data extraction'!$AA$2:$AA$58,0)),"not found"),"")</f>
        <v/>
      </c>
      <c r="O91" s="6" t="str">
        <f>IF(N91="","",IFERROR(INDEX('[1]Data extraction'!$L$2:$L$58,MATCH(N91,'[1]Data extraction'!$AC$2:$AC$58,0)),""))</f>
        <v/>
      </c>
      <c r="P91" s="7" t="str">
        <f t="shared" si="7"/>
        <v>Excluded at title/abstract</v>
      </c>
      <c r="Q91" s="6" t="str">
        <f t="shared" si="8"/>
        <v>Study design</v>
      </c>
      <c r="R91" s="4"/>
    </row>
    <row r="92" spans="1:18" x14ac:dyDescent="0.3">
      <c r="A92" s="4">
        <f>'[1]Abstract review'!C92</f>
        <v>88</v>
      </c>
      <c r="B92" s="4" t="str">
        <f>IFERROR(LEFT('[1]Abstract review'!D92,FIND(";",'[1]Abstract review'!D92)-1),'[1]Abstract review'!D92)</f>
        <v>Y. Xu</v>
      </c>
      <c r="C92" s="5" t="str">
        <f>'[1]Abstract review'!E92&amp;""</f>
        <v>2025</v>
      </c>
      <c r="D92" s="4" t="str">
        <f>'[1]Abstract review'!F92</f>
        <v>Identification of A-to-I RNA editing profiles and their clinical relevance in pancreatic neuroendocrine neoplasms</v>
      </c>
      <c r="E92" s="4" t="str">
        <f>IF('[1]Abstract review'!G92="","",'[1]Abstract review'!G92)</f>
        <v>10.1016/j.pan.2025.09.006</v>
      </c>
      <c r="F92" s="4" t="str">
        <f>IF('[1]Abstract review'!I92="I","Include → full text",IF('[1]Abstract review'!I92="E","Exclude",IF('[1]Abstract review'!I92="DUP","Duplicate — removed",'[1]Abstract review'!I92)))</f>
        <v>Exclude</v>
      </c>
      <c r="G92" s="4" t="str">
        <f>IF('[1]Abstract review'!I92="E",'[1]Abstract review'!J92,"")</f>
        <v>no pdac</v>
      </c>
      <c r="H92" s="4"/>
      <c r="I92" s="4"/>
      <c r="J92" s="4"/>
      <c r="K92" s="4"/>
      <c r="L92" s="6" t="str">
        <f t="shared" si="5"/>
        <v/>
      </c>
      <c r="M92" s="6" t="str">
        <f t="shared" si="6"/>
        <v/>
      </c>
      <c r="N92" s="6" t="str">
        <f>IF(L92="Include",IFERROR(INDEX('[1]Data extraction'!$AC$2:$AC$58,MATCH(H92+1,'[1]Data extraction'!$AA$2:$AA$58,0)),"not found"),"")</f>
        <v/>
      </c>
      <c r="O92" s="6" t="str">
        <f>IF(N92="","",IFERROR(INDEX('[1]Data extraction'!$L$2:$L$58,MATCH(N92,'[1]Data extraction'!$AC$2:$AC$58,0)),""))</f>
        <v/>
      </c>
      <c r="P92" s="7" t="str">
        <f t="shared" si="7"/>
        <v>Excluded at title/abstract</v>
      </c>
      <c r="Q92" s="6" t="str">
        <f t="shared" si="8"/>
        <v>Population</v>
      </c>
      <c r="R92" s="4"/>
    </row>
    <row r="93" spans="1:18" x14ac:dyDescent="0.3">
      <c r="A93" s="4">
        <f>'[1]Abstract review'!C93</f>
        <v>89</v>
      </c>
      <c r="B93" s="4" t="str">
        <f>IFERROR(LEFT('[1]Abstract review'!D93,FIND(";",'[1]Abstract review'!D93)-1),'[1]Abstract review'!D93)</f>
        <v>Qinyu Xu</v>
      </c>
      <c r="C93" s="5" t="str">
        <f>'[1]Abstract review'!E93&amp;""</f>
        <v>2025</v>
      </c>
      <c r="D93" s="4" t="str">
        <f>'[1]Abstract review'!F93</f>
        <v>Single-cell Transcriptomic Profiling of Pancreatic Ductal Adenocarcinoma: Epithelial Reprogramming and Systemic Immune Exhaustion</v>
      </c>
      <c r="E93" s="4" t="str">
        <f>IF('[1]Abstract review'!G93="","",'[1]Abstract review'!G93)</f>
        <v>10.1101/2025.11.10.687730</v>
      </c>
      <c r="F93" s="4" t="str">
        <f>IF('[1]Abstract review'!I93="I","Include → full text",IF('[1]Abstract review'!I93="E","Exclude",IF('[1]Abstract review'!I93="DUP","Duplicate — removed",'[1]Abstract review'!I93)))</f>
        <v>Exclude</v>
      </c>
      <c r="G93" s="4" t="str">
        <f>IF('[1]Abstract review'!I93="E",'[1]Abstract review'!J93,"")</f>
        <v>Preclinical studies</v>
      </c>
      <c r="H93" s="4"/>
      <c r="I93" s="4"/>
      <c r="J93" s="4"/>
      <c r="K93" s="4"/>
      <c r="L93" s="6" t="str">
        <f t="shared" si="5"/>
        <v/>
      </c>
      <c r="M93" s="6" t="str">
        <f t="shared" si="6"/>
        <v/>
      </c>
      <c r="N93" s="6" t="str">
        <f>IF(L93="Include",IFERROR(INDEX('[1]Data extraction'!$AC$2:$AC$58,MATCH(H93+1,'[1]Data extraction'!$AA$2:$AA$58,0)),"not found"),"")</f>
        <v/>
      </c>
      <c r="O93" s="6" t="str">
        <f>IF(N93="","",IFERROR(INDEX('[1]Data extraction'!$L$2:$L$58,MATCH(N93,'[1]Data extraction'!$AC$2:$AC$58,0)),""))</f>
        <v/>
      </c>
      <c r="P93" s="7" t="str">
        <f t="shared" si="7"/>
        <v>Excluded at title/abstract</v>
      </c>
      <c r="Q93" s="6" t="str">
        <f t="shared" si="8"/>
        <v>Study design</v>
      </c>
      <c r="R93" s="4"/>
    </row>
    <row r="94" spans="1:18" x14ac:dyDescent="0.3">
      <c r="A94" s="4">
        <f>'[1]Abstract review'!C94</f>
        <v>90</v>
      </c>
      <c r="B94" s="4" t="str">
        <f>IFERROR(LEFT('[1]Abstract review'!D94,FIND(";",'[1]Abstract review'!D94)-1),'[1]Abstract review'!D94)</f>
        <v>N. Xu</v>
      </c>
      <c r="C94" s="5" t="str">
        <f>'[1]Abstract review'!E94&amp;""</f>
        <v>2025</v>
      </c>
      <c r="D94" s="4" t="str">
        <f>'[1]Abstract review'!F94</f>
        <v>Novel Machine Learning Approaches Revolutionize Pancreatic Malignancy Prognosis: Exploring Programed Cell Death</v>
      </c>
      <c r="E94" s="4" t="str">
        <f>IF('[1]Abstract review'!G94="","",'[1]Abstract review'!G94)</f>
        <v>10.1155/mi/4068444</v>
      </c>
      <c r="F94" s="4" t="str">
        <f>IF('[1]Abstract review'!I94="I","Include → full text",IF('[1]Abstract review'!I94="E","Exclude",IF('[1]Abstract review'!I94="DUP","Duplicate — removed",'[1]Abstract review'!I94)))</f>
        <v>Include → full text</v>
      </c>
      <c r="G94" s="4" t="str">
        <f>IF('[1]Abstract review'!I94="E",'[1]Abstract review'!J94,"")</f>
        <v/>
      </c>
      <c r="H94" s="4">
        <f>'[1]Full-text screening-extraction'!A48</f>
        <v>47</v>
      </c>
      <c r="I94" s="4" t="str">
        <f>IF('[1]Full-text screening-extraction'!AB48="","",'[1]Full-text screening-extraction'!AB48)</f>
        <v>unclear</v>
      </c>
      <c r="J94" s="4" t="str">
        <f>IF('[1]Full-text screening-extraction'!AC48="","",'[1]Full-text screening-extraction'!AC48)</f>
        <v>unclear</v>
      </c>
      <c r="K94" s="4" t="str">
        <f>IF('[1]Full-text screening-extraction'!AG48="","",'[1]Full-text screening-extraction'!AG48)</f>
        <v/>
      </c>
      <c r="L94" s="6" t="str">
        <f t="shared" si="5"/>
        <v>Exclude</v>
      </c>
      <c r="M94" s="6" t="str">
        <f t="shared" si="6"/>
        <v>Unclear whether an adjusted model was fitted</v>
      </c>
      <c r="N94" s="6" t="str">
        <f>IF(L94="Include",IFERROR(INDEX('[1]Data extraction'!$AC$2:$AC$58,MATCH(H94+1,'[1]Data extraction'!$AA$2:$AA$58,0)),"not found"),"")</f>
        <v/>
      </c>
      <c r="O94" s="6" t="str">
        <f>IF(N94="","",IFERROR(INDEX('[1]Data extraction'!$L$2:$L$58,MATCH(N94,'[1]Data extraction'!$AC$2:$AC$58,0)),""))</f>
        <v/>
      </c>
      <c r="P94" s="7" t="str">
        <f t="shared" si="7"/>
        <v>Excluded at full text</v>
      </c>
      <c r="Q94" s="6" t="str">
        <f t="shared" si="8"/>
        <v>Analysis &amp; synthesis eligibility</v>
      </c>
      <c r="R94" s="4" t="str">
        <f>IF(P94&lt;&gt;"INCLUDED","",'[1]Full-text screening-extraction'!M48&amp;" ("&amp;'[1]Full-text screening-extraction'!K48&amp;"); outcome: "&amp;'[1]Full-text screening-extraction'!P48&amp;"; multivariable: "&amp;LEFT('[1]Full-text screening-extraction'!T48,120)&amp;" | adjusted for: "&amp;LEFT('[1]Full-text screening-extraction'!U48,100))</f>
        <v/>
      </c>
    </row>
    <row r="95" spans="1:18" x14ac:dyDescent="0.3">
      <c r="A95" s="4">
        <f>'[1]Abstract review'!C95</f>
        <v>91</v>
      </c>
      <c r="B95" s="4" t="str">
        <f>IFERROR(LEFT('[1]Abstract review'!D95,FIND(";",'[1]Abstract review'!D95)-1),'[1]Abstract review'!D95)</f>
        <v>G. Xu</v>
      </c>
      <c r="C95" s="5" t="str">
        <f>'[1]Abstract review'!E95&amp;""</f>
        <v>2025</v>
      </c>
      <c r="D95" s="4" t="str">
        <f>'[1]Abstract review'!F95</f>
        <v>Diverse RNA methylation patterns in neutrophils: key drivers in hepatocellular carcinoma</v>
      </c>
      <c r="E95" s="4" t="str">
        <f>IF('[1]Abstract review'!G95="","",'[1]Abstract review'!G95)</f>
        <v>10.1007/s12094-024-03756-2</v>
      </c>
      <c r="F95" s="4" t="str">
        <f>IF('[1]Abstract review'!I95="I","Include → full text",IF('[1]Abstract review'!I95="E","Exclude",IF('[1]Abstract review'!I95="DUP","Duplicate — removed",'[1]Abstract review'!I95)))</f>
        <v>Exclude</v>
      </c>
      <c r="G95" s="4" t="str">
        <f>IF('[1]Abstract review'!I95="E",'[1]Abstract review'!J95,"")</f>
        <v>no pdac</v>
      </c>
      <c r="H95" s="4"/>
      <c r="I95" s="4"/>
      <c r="J95" s="4"/>
      <c r="K95" s="4"/>
      <c r="L95" s="6" t="str">
        <f t="shared" si="5"/>
        <v/>
      </c>
      <c r="M95" s="6" t="str">
        <f t="shared" si="6"/>
        <v/>
      </c>
      <c r="N95" s="6" t="str">
        <f>IF(L95="Include",IFERROR(INDEX('[1]Data extraction'!$AC$2:$AC$58,MATCH(H95+1,'[1]Data extraction'!$AA$2:$AA$58,0)),"not found"),"")</f>
        <v/>
      </c>
      <c r="O95" s="6" t="str">
        <f>IF(N95="","",IFERROR(INDEX('[1]Data extraction'!$L$2:$L$58,MATCH(N95,'[1]Data extraction'!$AC$2:$AC$58,0)),""))</f>
        <v/>
      </c>
      <c r="P95" s="7" t="str">
        <f t="shared" si="7"/>
        <v>Excluded at title/abstract</v>
      </c>
      <c r="Q95" s="6" t="str">
        <f t="shared" si="8"/>
        <v>Population</v>
      </c>
      <c r="R95" s="4"/>
    </row>
    <row r="96" spans="1:18" x14ac:dyDescent="0.3">
      <c r="A96" s="4">
        <f>'[1]Abstract review'!C96</f>
        <v>92</v>
      </c>
      <c r="B96" s="4" t="str">
        <f>IFERROR(LEFT('[1]Abstract review'!D96,FIND(";",'[1]Abstract review'!D96)-1),'[1]Abstract review'!D96)</f>
        <v>Zichao Xiong</v>
      </c>
      <c r="C96" s="5" t="str">
        <f>'[1]Abstract review'!E96&amp;""</f>
        <v>2025</v>
      </c>
      <c r="D96" s="4" t="str">
        <f>'[1]Abstract review'!F96</f>
        <v>A novel defined manganese metabolism-related gene signature for predicting the prognosis of pancreatic ductal adenocarcinoma</v>
      </c>
      <c r="E96" s="4" t="str">
        <f>IF('[1]Abstract review'!G96="","",'[1]Abstract review'!G96)</f>
        <v>10.3892/ol.2025.15182</v>
      </c>
      <c r="F96" s="4" t="str">
        <f>IF('[1]Abstract review'!I96="I","Include → full text",IF('[1]Abstract review'!I96="E","Exclude",IF('[1]Abstract review'!I96="DUP","Duplicate — removed",'[1]Abstract review'!I96)))</f>
        <v>Include → full text</v>
      </c>
      <c r="G96" s="4" t="str">
        <f>IF('[1]Abstract review'!I96="E",'[1]Abstract review'!J96,"")</f>
        <v/>
      </c>
      <c r="H96" s="4">
        <f>'[1]Full-text screening-extraction'!A49</f>
        <v>48</v>
      </c>
      <c r="I96" s="4" t="str">
        <f>IF('[1]Full-text screening-extraction'!AB49="","",'[1]Full-text screening-extraction'!AB49)</f>
        <v>yes</v>
      </c>
      <c r="J96" s="4" t="str">
        <f>IF('[1]Full-text screening-extraction'!AC49="","",'[1]Full-text screening-extraction'!AC49)</f>
        <v>yes</v>
      </c>
      <c r="K96" s="4" t="str">
        <f>IF('[1]Full-text screening-extraction'!AG49="","",'[1]Full-text screening-extraction'!AG49)</f>
        <v/>
      </c>
      <c r="L96" s="6" t="str">
        <f t="shared" si="5"/>
        <v>Include</v>
      </c>
      <c r="M96" s="6" t="str">
        <f t="shared" si="6"/>
        <v/>
      </c>
      <c r="N96" s="6" t="str">
        <f>IF(L96="Include",IFERROR(INDEX('[1]Data extraction'!$AC$2:$AC$58,MATCH(H96+1,'[1]Data extraction'!$AA$2:$AA$58,0)),"not found"),"")</f>
        <v>EV-11</v>
      </c>
      <c r="O96" s="6" t="str">
        <f>IF(N96="","",IFERROR(INDEX('[1]Data extraction'!$L$2:$L$58,MATCH(N96,'[1]Data extraction'!$AC$2:$AC$58,0)),""))</f>
        <v>A</v>
      </c>
      <c r="P96" s="7" t="str">
        <f t="shared" si="7"/>
        <v>INCLUDED</v>
      </c>
      <c r="Q96" s="6" t="str">
        <f t="shared" si="8"/>
        <v>All PICOS rows + Independent prognostic value</v>
      </c>
      <c r="R96" s="4" t="str">
        <f>IF(P96&lt;&gt;"INCLUDED","",'[1]Full-text screening-extraction'!M49&amp;" ("&amp;'[1]Full-text screening-extraction'!K49&amp;"); outcome: "&amp;'[1]Full-text screening-extraction'!P49&amp;"; multivariable: "&amp;LEFT('[1]Full-text screening-extraction'!T49,120)&amp;" | adjusted for: "&amp;LEFT('[1]Full-text screening-extraction'!U49,100))</f>
        <v>12 manganese metabolism-related gene signature (NPPA, KYNU, ITGB6, CYP27A1, CXCL10, PPP2R2B, MET, MMP3, KRT19, ATP1A3, PDXP, IL1RAPL2) (Transcriptomics); outcome: Overall survival (OS); multivariable: Risk score remained significant prognostic factor in multivariable Cox analysis | adjusted for: Age, sex, T stage, N stage, M stage, tumor stage</v>
      </c>
    </row>
    <row r="97" spans="1:18" x14ac:dyDescent="0.3">
      <c r="A97" s="4">
        <f>'[1]Abstract review'!C97</f>
        <v>93</v>
      </c>
      <c r="B97" s="4" t="str">
        <f>IFERROR(LEFT('[1]Abstract review'!D97,FIND(";",'[1]Abstract review'!D97)-1),'[1]Abstract review'!D97)</f>
        <v>J. Xia</v>
      </c>
      <c r="C97" s="5" t="str">
        <f>'[1]Abstract review'!E97&amp;""</f>
        <v>2025</v>
      </c>
      <c r="D97" s="4" t="str">
        <f>'[1]Abstract review'!F97</f>
        <v>Drug Resistance Analysis of Pancreatic Cancer Based on Universally Differentially Expressed Genes</v>
      </c>
      <c r="E97" s="4" t="str">
        <f>IF('[1]Abstract review'!G97="","",'[1]Abstract review'!G97)</f>
        <v>10.3390/ijms26093936</v>
      </c>
      <c r="F97" s="4" t="str">
        <f>IF('[1]Abstract review'!I97="I","Include → full text",IF('[1]Abstract review'!I97="E","Exclude",IF('[1]Abstract review'!I97="DUP","Duplicate — removed",'[1]Abstract review'!I97)))</f>
        <v>Include → full text</v>
      </c>
      <c r="G97" s="4" t="str">
        <f>IF('[1]Abstract review'!I97="E",'[1]Abstract review'!J97,"")</f>
        <v/>
      </c>
      <c r="H97" s="4">
        <f>'[1]Full-text screening-extraction'!A50</f>
        <v>49</v>
      </c>
      <c r="I97" s="4" t="str">
        <f>IF('[1]Full-text screening-extraction'!AB50="","",'[1]Full-text screening-extraction'!AB50)</f>
        <v>no</v>
      </c>
      <c r="J97" s="4" t="str">
        <f>IF('[1]Full-text screening-extraction'!AC50="","",'[1]Full-text screening-extraction'!AC50)</f>
        <v>NA</v>
      </c>
      <c r="K97" s="4" t="str">
        <f>IF('[1]Full-text screening-extraction'!AG50="","",'[1]Full-text screening-extraction'!AG50)</f>
        <v/>
      </c>
      <c r="L97" s="6" t="str">
        <f t="shared" si="5"/>
        <v>Exclude</v>
      </c>
      <c r="M97" s="6" t="str">
        <f t="shared" si="6"/>
        <v>No adjusted multivariable model fitted</v>
      </c>
      <c r="N97" s="6" t="str">
        <f>IF(L97="Include",IFERROR(INDEX('[1]Data extraction'!$AC$2:$AC$58,MATCH(H97+1,'[1]Data extraction'!$AA$2:$AA$58,0)),"not found"),"")</f>
        <v/>
      </c>
      <c r="O97" s="6" t="str">
        <f>IF(N97="","",IFERROR(INDEX('[1]Data extraction'!$L$2:$L$58,MATCH(N97,'[1]Data extraction'!$AC$2:$AC$58,0)),""))</f>
        <v/>
      </c>
      <c r="P97" s="7" t="str">
        <f t="shared" si="7"/>
        <v>Excluded at full text</v>
      </c>
      <c r="Q97" s="6" t="str">
        <f t="shared" si="8"/>
        <v>Analysis &amp; synthesis eligibility</v>
      </c>
      <c r="R97" s="4" t="str">
        <f>IF(P97&lt;&gt;"INCLUDED","",'[1]Full-text screening-extraction'!M50&amp;" ("&amp;'[1]Full-text screening-extraction'!K50&amp;"); outcome: "&amp;'[1]Full-text screening-extraction'!P50&amp;"; multivariable: "&amp;LEFT('[1]Full-text screening-extraction'!T50,120)&amp;" | adjusted for: "&amp;LEFT('[1]Full-text screening-extraction'!U50,100))</f>
        <v/>
      </c>
    </row>
    <row r="98" spans="1:18" x14ac:dyDescent="0.3">
      <c r="A98" s="4">
        <f>'[1]Abstract review'!C98</f>
        <v>94</v>
      </c>
      <c r="B98" s="4" t="str">
        <f>IFERROR(LEFT('[1]Abstract review'!D98,FIND(";",'[1]Abstract review'!D98)-1),'[1]Abstract review'!D98)</f>
        <v>Y. Wu</v>
      </c>
      <c r="C98" s="5" t="str">
        <f>'[1]Abstract review'!E98&amp;""</f>
        <v>2025</v>
      </c>
      <c r="D98" s="4" t="str">
        <f>'[1]Abstract review'!F98</f>
        <v>A Novel 14-Gene Panel Associated With Efferocytosis for Predicting Pancreatic Cancer Prognosis Through Bulk and Single-Cell Databases</v>
      </c>
      <c r="E98" s="4" t="str">
        <f>IF('[1]Abstract review'!G98="","",'[1]Abstract review'!G98)</f>
        <v>10.31083/fbl40818</v>
      </c>
      <c r="F98" s="4" t="str">
        <f>IF('[1]Abstract review'!I98="I","Include → full text",IF('[1]Abstract review'!I98="E","Exclude",IF('[1]Abstract review'!I98="DUP","Duplicate — removed",'[1]Abstract review'!I98)))</f>
        <v>Include → full text</v>
      </c>
      <c r="G98" s="4" t="str">
        <f>IF('[1]Abstract review'!I98="E",'[1]Abstract review'!J98,"")</f>
        <v/>
      </c>
      <c r="H98" s="4">
        <f>'[1]Full-text screening-extraction'!A51</f>
        <v>50</v>
      </c>
      <c r="I98" s="4" t="str">
        <f>IF('[1]Full-text screening-extraction'!AB51="","",'[1]Full-text screening-extraction'!AB51)</f>
        <v>unclear</v>
      </c>
      <c r="J98" s="4" t="str">
        <f>IF('[1]Full-text screening-extraction'!AC51="","",'[1]Full-text screening-extraction'!AC51)</f>
        <v>unclear</v>
      </c>
      <c r="K98" s="4" t="str">
        <f>IF('[1]Full-text screening-extraction'!AG51="","",'[1]Full-text screening-extraction'!AG51)</f>
        <v/>
      </c>
      <c r="L98" s="6" t="str">
        <f t="shared" si="5"/>
        <v>Exclude</v>
      </c>
      <c r="M98" s="6" t="str">
        <f t="shared" si="6"/>
        <v>Unclear whether an adjusted model was fitted</v>
      </c>
      <c r="N98" s="6" t="str">
        <f>IF(L98="Include",IFERROR(INDEX('[1]Data extraction'!$AC$2:$AC$58,MATCH(H98+1,'[1]Data extraction'!$AA$2:$AA$58,0)),"not found"),"")</f>
        <v/>
      </c>
      <c r="O98" s="6" t="str">
        <f>IF(N98="","",IFERROR(INDEX('[1]Data extraction'!$L$2:$L$58,MATCH(N98,'[1]Data extraction'!$AC$2:$AC$58,0)),""))</f>
        <v/>
      </c>
      <c r="P98" s="7" t="str">
        <f t="shared" si="7"/>
        <v>Excluded at full text</v>
      </c>
      <c r="Q98" s="6" t="str">
        <f t="shared" si="8"/>
        <v>Analysis &amp; synthesis eligibility</v>
      </c>
      <c r="R98" s="4" t="str">
        <f>IF(P98&lt;&gt;"INCLUDED","",'[1]Full-text screening-extraction'!M51&amp;" ("&amp;'[1]Full-text screening-extraction'!K51&amp;"); outcome: "&amp;'[1]Full-text screening-extraction'!P51&amp;"; multivariable: "&amp;LEFT('[1]Full-text screening-extraction'!T51,120)&amp;" | adjusted for: "&amp;LEFT('[1]Full-text screening-extraction'!U51,100))</f>
        <v/>
      </c>
    </row>
    <row r="99" spans="1:18" x14ac:dyDescent="0.3">
      <c r="A99" s="4">
        <f>'[1]Abstract review'!C99</f>
        <v>95</v>
      </c>
      <c r="B99" s="4" t="str">
        <f>IFERROR(LEFT('[1]Abstract review'!D99,FIND(";",'[1]Abstract review'!D99)-1),'[1]Abstract review'!D99)</f>
        <v>Y. Wu</v>
      </c>
      <c r="C99" s="5" t="str">
        <f>'[1]Abstract review'!E99&amp;""</f>
        <v>2025</v>
      </c>
      <c r="D99" s="4" t="str">
        <f>'[1]Abstract review'!F99</f>
        <v>Integrated analysis of scRNA-seq and bulk RNA-seq data identifies BHLHE40 as a key gene in pancreatic cancer progression and gemcitabine resistance</v>
      </c>
      <c r="E99" s="4" t="str">
        <f>IF('[1]Abstract review'!G99="","",'[1]Abstract review'!G99)</f>
        <v>10.1016/j.seminoncol.2025.152338</v>
      </c>
      <c r="F99" s="4" t="str">
        <f>IF('[1]Abstract review'!I99="I","Include → full text",IF('[1]Abstract review'!I99="E","Exclude",IF('[1]Abstract review'!I99="DUP","Duplicate — removed",'[1]Abstract review'!I99)))</f>
        <v>Include → full text</v>
      </c>
      <c r="G99" s="4" t="str">
        <f>IF('[1]Abstract review'!I99="E",'[1]Abstract review'!J99,"")</f>
        <v/>
      </c>
      <c r="H99" s="4">
        <f>'[1]Full-text screening-extraction'!A52</f>
        <v>51</v>
      </c>
      <c r="I99" s="4" t="str">
        <f>IF('[1]Full-text screening-extraction'!AB52="","",'[1]Full-text screening-extraction'!AB52)</f>
        <v>unclear</v>
      </c>
      <c r="J99" s="4" t="str">
        <f>IF('[1]Full-text screening-extraction'!AC52="","",'[1]Full-text screening-extraction'!AC52)</f>
        <v>unclear</v>
      </c>
      <c r="K99" s="4" t="str">
        <f>IF('[1]Full-text screening-extraction'!AG52="","",'[1]Full-text screening-extraction'!AG52)</f>
        <v/>
      </c>
      <c r="L99" s="6" t="str">
        <f t="shared" si="5"/>
        <v>Exclude</v>
      </c>
      <c r="M99" s="6" t="str">
        <f t="shared" si="6"/>
        <v>Unclear whether an adjusted model was fitted</v>
      </c>
      <c r="N99" s="6" t="str">
        <f>IF(L99="Include",IFERROR(INDEX('[1]Data extraction'!$AC$2:$AC$58,MATCH(H99+1,'[1]Data extraction'!$AA$2:$AA$58,0)),"not found"),"")</f>
        <v/>
      </c>
      <c r="O99" s="6" t="str">
        <f>IF(N99="","",IFERROR(INDEX('[1]Data extraction'!$L$2:$L$58,MATCH(N99,'[1]Data extraction'!$AC$2:$AC$58,0)),""))</f>
        <v/>
      </c>
      <c r="P99" s="7" t="str">
        <f t="shared" si="7"/>
        <v>Excluded at full text</v>
      </c>
      <c r="Q99" s="6" t="str">
        <f t="shared" si="8"/>
        <v>Analysis &amp; synthesis eligibility</v>
      </c>
      <c r="R99" s="4" t="str">
        <f>IF(P99&lt;&gt;"INCLUDED","",'[1]Full-text screening-extraction'!M52&amp;" ("&amp;'[1]Full-text screening-extraction'!K52&amp;"); outcome: "&amp;'[1]Full-text screening-extraction'!P52&amp;"; multivariable: "&amp;LEFT('[1]Full-text screening-extraction'!T52,120)&amp;" | adjusted for: "&amp;LEFT('[1]Full-text screening-extraction'!U52,100))</f>
        <v/>
      </c>
    </row>
    <row r="100" spans="1:18" x14ac:dyDescent="0.3">
      <c r="A100" s="4">
        <f>'[1]Abstract review'!C100</f>
        <v>96</v>
      </c>
      <c r="B100" s="4" t="str">
        <f>IFERROR(LEFT('[1]Abstract review'!D100,FIND(";",'[1]Abstract review'!D100)-1),'[1]Abstract review'!D100)</f>
        <v>X. Wu</v>
      </c>
      <c r="C100" s="5" t="str">
        <f>'[1]Abstract review'!E100&amp;""</f>
        <v>2025</v>
      </c>
      <c r="D100" s="4" t="str">
        <f>'[1]Abstract review'!F100</f>
        <v>The Role of the ALDH Family in Predicting Prognosis and Therapy Response in Pancreatic Cancer</v>
      </c>
      <c r="E100" s="4" t="str">
        <f>IF('[1]Abstract review'!G100="","",'[1]Abstract review'!G100)</f>
        <v>10.3390/biomedicines13082018</v>
      </c>
      <c r="F100" s="4" t="str">
        <f>IF('[1]Abstract review'!I100="I","Include → full text",IF('[1]Abstract review'!I100="E","Exclude",IF('[1]Abstract review'!I100="DUP","Duplicate — removed",'[1]Abstract review'!I100)))</f>
        <v>Include → full text</v>
      </c>
      <c r="G100" s="4" t="str">
        <f>IF('[1]Abstract review'!I100="E",'[1]Abstract review'!J100,"")</f>
        <v/>
      </c>
      <c r="H100" s="4">
        <f>'[1]Full-text screening-extraction'!A53</f>
        <v>52</v>
      </c>
      <c r="I100" s="4" t="str">
        <f>IF('[1]Full-text screening-extraction'!AB53="","",'[1]Full-text screening-extraction'!AB53)</f>
        <v>yes</v>
      </c>
      <c r="J100" s="4" t="str">
        <f>IF('[1]Full-text screening-extraction'!AC53="","",'[1]Full-text screening-extraction'!AC53)</f>
        <v>yes</v>
      </c>
      <c r="K100" s="4" t="str">
        <f>IF('[1]Full-text screening-extraction'!AG53="","",'[1]Full-text screening-extraction'!AG53)</f>
        <v/>
      </c>
      <c r="L100" s="6" t="str">
        <f t="shared" si="5"/>
        <v>Include</v>
      </c>
      <c r="M100" s="6" t="str">
        <f t="shared" si="6"/>
        <v/>
      </c>
      <c r="N100" s="6" t="str">
        <f>IF(L100="Include",IFERROR(INDEX('[1]Data extraction'!$AC$2:$AC$58,MATCH(H100+1,'[1]Data extraction'!$AA$2:$AA$58,0)),"not found"),"")</f>
        <v>EV-12</v>
      </c>
      <c r="O100" s="6" t="str">
        <f>IF(N100="","",IFERROR(INDEX('[1]Data extraction'!$L$2:$L$58,MATCH(N100,'[1]Data extraction'!$AC$2:$AC$58,0)),""))</f>
        <v>B+</v>
      </c>
      <c r="P100" s="7" t="str">
        <f t="shared" si="7"/>
        <v>INCLUDED</v>
      </c>
      <c r="Q100" s="6" t="str">
        <f t="shared" si="8"/>
        <v>All PICOS rows + Independent prognostic value</v>
      </c>
      <c r="R100" s="4" t="str">
        <f>IF(P100&lt;&gt;"INCLUDED","",'[1]Full-text screening-extraction'!M53&amp;" ("&amp;'[1]Full-text screening-extraction'!K53&amp;"); outcome: "&amp;'[1]Full-text screening-extraction'!P53&amp;"; multivariable: "&amp;LEFT('[1]Full-text screening-extraction'!T53,120)&amp;" | adjusted for: "&amp;LEFT('[1]Full-text screening-extraction'!U53,100))</f>
        <v xml:space="preserve">ALDH family members; key prognostic genes identified: ALDH1L1, ALDH3A1, ALDH3B1, ALDH5A1 (Transcriptomics with complementary single-cell and protein-level validation); outcome: Overall survival (OS); multivariable: Multivariate Cox regression supported prognostic relevance of ALDH1L1, ALDH3A1, ALDH3B1, ALDH5A1 | adjusted for: Not clearly fully specified in the article text excerpt; multivariable model appears to include the </v>
      </c>
    </row>
    <row r="101" spans="1:18" x14ac:dyDescent="0.3">
      <c r="A101" s="4">
        <f>'[1]Abstract review'!C101</f>
        <v>97</v>
      </c>
      <c r="B101" s="4" t="str">
        <f>IFERROR(LEFT('[1]Abstract review'!D101,FIND(";",'[1]Abstract review'!D101)-1),'[1]Abstract review'!D101)</f>
        <v>L. Wu</v>
      </c>
      <c r="C101" s="5" t="str">
        <f>'[1]Abstract review'!E101&amp;""</f>
        <v>2025</v>
      </c>
      <c r="D101" s="4" t="str">
        <f>'[1]Abstract review'!F101</f>
        <v>Identification of prognostic and therapeutic biomarkers associated with macrophage and lipid metabolism in pancreatic cancer</v>
      </c>
      <c r="E101" s="4" t="str">
        <f>IF('[1]Abstract review'!G101="","",'[1]Abstract review'!G101)</f>
        <v>10.1038/s41598-025-99144-z</v>
      </c>
      <c r="F101" s="4" t="str">
        <f>IF('[1]Abstract review'!I101="I","Include → full text",IF('[1]Abstract review'!I101="E","Exclude",IF('[1]Abstract review'!I101="DUP","Duplicate — removed",'[1]Abstract review'!I101)))</f>
        <v>Exclude</v>
      </c>
      <c r="G101" s="4" t="str">
        <f>IF('[1]Abstract review'!I101="E",'[1]Abstract review'!J101,"")</f>
        <v>Review</v>
      </c>
      <c r="H101" s="4"/>
      <c r="I101" s="4"/>
      <c r="J101" s="4"/>
      <c r="K101" s="4"/>
      <c r="L101" s="6" t="str">
        <f t="shared" si="5"/>
        <v/>
      </c>
      <c r="M101" s="6" t="str">
        <f t="shared" si="6"/>
        <v/>
      </c>
      <c r="N101" s="6" t="str">
        <f>IF(L101="Include",IFERROR(INDEX('[1]Data extraction'!$AC$2:$AC$58,MATCH(H101+1,'[1]Data extraction'!$AA$2:$AA$58,0)),"not found"),"")</f>
        <v/>
      </c>
      <c r="O101" s="6" t="str">
        <f>IF(N101="","",IFERROR(INDEX('[1]Data extraction'!$L$2:$L$58,MATCH(N101,'[1]Data extraction'!$AC$2:$AC$58,0)),""))</f>
        <v/>
      </c>
      <c r="P101" s="7" t="str">
        <f t="shared" si="7"/>
        <v>Excluded at title/abstract</v>
      </c>
      <c r="Q101" s="6" t="str">
        <f t="shared" si="8"/>
        <v>Study design</v>
      </c>
      <c r="R101" s="4"/>
    </row>
    <row r="102" spans="1:18" x14ac:dyDescent="0.3">
      <c r="A102" s="4">
        <f>'[1]Abstract review'!C102</f>
        <v>98</v>
      </c>
      <c r="B102" s="4" t="str">
        <f>IFERROR(LEFT('[1]Abstract review'!D102,FIND(";",'[1]Abstract review'!D102)-1),'[1]Abstract review'!D102)</f>
        <v>H. Wu</v>
      </c>
      <c r="C102" s="5" t="str">
        <f>'[1]Abstract review'!E102&amp;""</f>
        <v>2025</v>
      </c>
      <c r="D102" s="4" t="str">
        <f>'[1]Abstract review'!F102</f>
        <v>Identification of a novel prognostic marker ADGRG6 in pancreatic adenocarcinoma: multi-omics analysis and experimental validation</v>
      </c>
      <c r="E102" s="4" t="str">
        <f>IF('[1]Abstract review'!G102="","",'[1]Abstract review'!G102)</f>
        <v>10.3389/fimmu.2025.1530789</v>
      </c>
      <c r="F102" s="4" t="str">
        <f>IF('[1]Abstract review'!I102="I","Include → full text",IF('[1]Abstract review'!I102="E","Exclude",IF('[1]Abstract review'!I102="DUP","Duplicate — removed",'[1]Abstract review'!I102)))</f>
        <v>Include → full text</v>
      </c>
      <c r="G102" s="4" t="str">
        <f>IF('[1]Abstract review'!I102="E",'[1]Abstract review'!J102,"")</f>
        <v/>
      </c>
      <c r="H102" s="4">
        <f>'[1]Full-text screening-extraction'!A54</f>
        <v>53</v>
      </c>
      <c r="I102" s="4" t="str">
        <f>IF('[1]Full-text screening-extraction'!AB54="","",'[1]Full-text screening-extraction'!AB54)</f>
        <v>unclear</v>
      </c>
      <c r="J102" s="4" t="str">
        <f>IF('[1]Full-text screening-extraction'!AC54="","",'[1]Full-text screening-extraction'!AC54)</f>
        <v>unclear</v>
      </c>
      <c r="K102" s="4" t="str">
        <f>IF('[1]Full-text screening-extraction'!AG54="","",'[1]Full-text screening-extraction'!AG54)</f>
        <v/>
      </c>
      <c r="L102" s="6" t="str">
        <f t="shared" si="5"/>
        <v>Exclude</v>
      </c>
      <c r="M102" s="6" t="str">
        <f t="shared" si="6"/>
        <v>Unclear whether an adjusted model was fitted</v>
      </c>
      <c r="N102" s="6" t="str">
        <f>IF(L102="Include",IFERROR(INDEX('[1]Data extraction'!$AC$2:$AC$58,MATCH(H102+1,'[1]Data extraction'!$AA$2:$AA$58,0)),"not found"),"")</f>
        <v/>
      </c>
      <c r="O102" s="6" t="str">
        <f>IF(N102="","",IFERROR(INDEX('[1]Data extraction'!$L$2:$L$58,MATCH(N102,'[1]Data extraction'!$AC$2:$AC$58,0)),""))</f>
        <v/>
      </c>
      <c r="P102" s="7" t="str">
        <f t="shared" si="7"/>
        <v>Excluded at full text</v>
      </c>
      <c r="Q102" s="6" t="str">
        <f t="shared" si="8"/>
        <v>Analysis &amp; synthesis eligibility</v>
      </c>
      <c r="R102" s="4" t="str">
        <f>IF(P102&lt;&gt;"INCLUDED","",'[1]Full-text screening-extraction'!M54&amp;" ("&amp;'[1]Full-text screening-extraction'!K54&amp;"); outcome: "&amp;'[1]Full-text screening-extraction'!P54&amp;"; multivariable: "&amp;LEFT('[1]Full-text screening-extraction'!T54,120)&amp;" | adjusted for: "&amp;LEFT('[1]Full-text screening-extraction'!U54,100))</f>
        <v/>
      </c>
    </row>
    <row r="103" spans="1:18" x14ac:dyDescent="0.3">
      <c r="A103" s="4">
        <f>'[1]Abstract review'!C103</f>
        <v>99</v>
      </c>
      <c r="B103" s="4" t="str">
        <f>IFERROR(LEFT('[1]Abstract review'!D103,FIND(";",'[1]Abstract review'!D103)-1),'[1]Abstract review'!D103)</f>
        <v>Fang Wu</v>
      </c>
      <c r="C103" s="5" t="str">
        <f>'[1]Abstract review'!E103&amp;""</f>
        <v>2025</v>
      </c>
      <c r="D103" s="4" t="str">
        <f>'[1]Abstract review'!F103</f>
        <v>The Regulatory Role of Brown Adipocyte - Related Gene CALU in the Progression, Immune Microenvironment and Treatment Response of Pancreatic Cancer</v>
      </c>
      <c r="E103" s="4" t="str">
        <f>IF('[1]Abstract review'!G103="","",'[1]Abstract review'!G103)</f>
        <v>10.21203/rs.3.rs-6709366/v1</v>
      </c>
      <c r="F103" s="4" t="str">
        <f>IF('[1]Abstract review'!I103="I","Include → full text",IF('[1]Abstract review'!I103="E","Exclude",IF('[1]Abstract review'!I103="DUP","Duplicate — removed",'[1]Abstract review'!I103)))</f>
        <v>Duplicate — removed</v>
      </c>
      <c r="G103" s="4" t="str">
        <f>IF('[1]Abstract review'!I103="E",'[1]Abstract review'!J103,"")</f>
        <v/>
      </c>
      <c r="H103" s="4"/>
      <c r="I103" s="4"/>
      <c r="J103" s="4"/>
      <c r="K103" s="4"/>
      <c r="L103" s="6" t="str">
        <f t="shared" si="5"/>
        <v/>
      </c>
      <c r="M103" s="6" t="str">
        <f t="shared" si="6"/>
        <v/>
      </c>
      <c r="N103" s="6" t="str">
        <f>IF(L103="Include",IFERROR(INDEX('[1]Data extraction'!$AC$2:$AC$58,MATCH(H103+1,'[1]Data extraction'!$AA$2:$AA$58,0)),"not found"),"")</f>
        <v/>
      </c>
      <c r="O103" s="6" t="str">
        <f>IF(N103="","",IFERROR(INDEX('[1]Data extraction'!$L$2:$L$58,MATCH(N103,'[1]Data extraction'!$AC$2:$AC$58,0)),""))</f>
        <v/>
      </c>
      <c r="P103" s="7" t="str">
        <f t="shared" si="7"/>
        <v>Duplicate removed</v>
      </c>
      <c r="Q103" s="6" t="str">
        <f t="shared" si="8"/>
        <v>Duplicate record</v>
      </c>
      <c r="R103" s="4"/>
    </row>
    <row r="104" spans="1:18" x14ac:dyDescent="0.3">
      <c r="A104" s="4">
        <f>'[1]Abstract review'!C104</f>
        <v>100</v>
      </c>
      <c r="B104" s="4" t="str">
        <f>IFERROR(LEFT('[1]Abstract review'!D104,FIND(";",'[1]Abstract review'!D104)-1),'[1]Abstract review'!D104)</f>
        <v>M. A. Wood-Trageser</v>
      </c>
      <c r="C104" s="5" t="str">
        <f>'[1]Abstract review'!E104&amp;""</f>
        <v>2025</v>
      </c>
      <c r="D104" s="4" t="str">
        <f>'[1]Abstract review'!F104</f>
        <v>Recurrent BEND2 Fusion Genes Identified by Whole Transcriptome Sequencing of Nonfunctional Pancreatic Neuroendocrine Tumors Correlate With Poor Patient Prognosis</v>
      </c>
      <c r="E104" s="4" t="str">
        <f>IF('[1]Abstract review'!G104="","",'[1]Abstract review'!G104)</f>
        <v>10.1016/j.modpat.2025.100863</v>
      </c>
      <c r="F104" s="4" t="str">
        <f>IF('[1]Abstract review'!I104="I","Include → full text",IF('[1]Abstract review'!I104="E","Exclude",IF('[1]Abstract review'!I104="DUP","Duplicate — removed",'[1]Abstract review'!I104)))</f>
        <v>Exclude</v>
      </c>
      <c r="G104" s="4" t="str">
        <f>IF('[1]Abstract review'!I104="E",'[1]Abstract review'!J104,"")</f>
        <v>no pdac</v>
      </c>
      <c r="H104" s="4"/>
      <c r="I104" s="4"/>
      <c r="J104" s="4"/>
      <c r="K104" s="4"/>
      <c r="L104" s="6" t="str">
        <f t="shared" si="5"/>
        <v/>
      </c>
      <c r="M104" s="6" t="str">
        <f t="shared" si="6"/>
        <v/>
      </c>
      <c r="N104" s="6" t="str">
        <f>IF(L104="Include",IFERROR(INDEX('[1]Data extraction'!$AC$2:$AC$58,MATCH(H104+1,'[1]Data extraction'!$AA$2:$AA$58,0)),"not found"),"")</f>
        <v/>
      </c>
      <c r="O104" s="6" t="str">
        <f>IF(N104="","",IFERROR(INDEX('[1]Data extraction'!$L$2:$L$58,MATCH(N104,'[1]Data extraction'!$AC$2:$AC$58,0)),""))</f>
        <v/>
      </c>
      <c r="P104" s="7" t="str">
        <f t="shared" si="7"/>
        <v>Excluded at title/abstract</v>
      </c>
      <c r="Q104" s="6" t="str">
        <f t="shared" si="8"/>
        <v>Population</v>
      </c>
      <c r="R104" s="4"/>
    </row>
    <row r="105" spans="1:18" x14ac:dyDescent="0.3">
      <c r="A105" s="4">
        <f>'[1]Abstract review'!C105</f>
        <v>101</v>
      </c>
      <c r="B105" s="4" t="str">
        <f>IFERROR(LEFT('[1]Abstract review'!D105,FIND(";",'[1]Abstract review'!D105)-1),'[1]Abstract review'!D105)</f>
        <v>F. Wei</v>
      </c>
      <c r="C105" s="5" t="str">
        <f>'[1]Abstract review'!E105&amp;""</f>
        <v>2025</v>
      </c>
      <c r="D105" s="4" t="str">
        <f>'[1]Abstract review'!F105</f>
        <v>Unveiling FAM111B: A Pan-Cancer Biomarker for DNA Repair and Immune Infiltration</v>
      </c>
      <c r="E105" s="4" t="str">
        <f>IF('[1]Abstract review'!G105="","",'[1]Abstract review'!G105)</f>
        <v>10.3390/ijms26073151</v>
      </c>
      <c r="F105" s="4" t="str">
        <f>IF('[1]Abstract review'!I105="I","Include → full text",IF('[1]Abstract review'!I105="E","Exclude",IF('[1]Abstract review'!I105="DUP","Duplicate — removed",'[1]Abstract review'!I105)))</f>
        <v>Exclude</v>
      </c>
      <c r="G105" s="4" t="str">
        <f>IF('[1]Abstract review'!I105="E",'[1]Abstract review'!J105,"")</f>
        <v>no pdac</v>
      </c>
      <c r="H105" s="4"/>
      <c r="I105" s="4"/>
      <c r="J105" s="4"/>
      <c r="K105" s="4"/>
      <c r="L105" s="6" t="str">
        <f t="shared" si="5"/>
        <v/>
      </c>
      <c r="M105" s="6" t="str">
        <f t="shared" si="6"/>
        <v/>
      </c>
      <c r="N105" s="6" t="str">
        <f>IF(L105="Include",IFERROR(INDEX('[1]Data extraction'!$AC$2:$AC$58,MATCH(H105+1,'[1]Data extraction'!$AA$2:$AA$58,0)),"not found"),"")</f>
        <v/>
      </c>
      <c r="O105" s="6" t="str">
        <f>IF(N105="","",IFERROR(INDEX('[1]Data extraction'!$L$2:$L$58,MATCH(N105,'[1]Data extraction'!$AC$2:$AC$58,0)),""))</f>
        <v/>
      </c>
      <c r="P105" s="7" t="str">
        <f t="shared" si="7"/>
        <v>Excluded at title/abstract</v>
      </c>
      <c r="Q105" s="6" t="str">
        <f t="shared" si="8"/>
        <v>Population</v>
      </c>
      <c r="R105" s="4"/>
    </row>
    <row r="106" spans="1:18" x14ac:dyDescent="0.3">
      <c r="A106" s="4">
        <f>'[1]Abstract review'!C106</f>
        <v>102</v>
      </c>
      <c r="B106" s="4" t="str">
        <f>IFERROR(LEFT('[1]Abstract review'!D106,FIND(";",'[1]Abstract review'!D106)-1),'[1]Abstract review'!D106)</f>
        <v>Makoto Watanabe</v>
      </c>
      <c r="C106" s="5" t="str">
        <f>'[1]Abstract review'!E106&amp;""</f>
        <v>2025</v>
      </c>
      <c r="D106" s="4" t="str">
        <f>'[1]Abstract review'!F106</f>
        <v>Elevated plasma levels of WAP four-disulfide core domain 2 as a potential prognostic biomarker for various cancers</v>
      </c>
      <c r="E106" s="4" t="str">
        <f>IF('[1]Abstract review'!G106="","",'[1]Abstract review'!G106)</f>
        <v>10.3389/fonc.2025.1614102</v>
      </c>
      <c r="F106" s="4" t="str">
        <f>IF('[1]Abstract review'!I106="I","Include → full text",IF('[1]Abstract review'!I106="E","Exclude",IF('[1]Abstract review'!I106="DUP","Duplicate — removed",'[1]Abstract review'!I106)))</f>
        <v>Exclude</v>
      </c>
      <c r="G106" s="4" t="str">
        <f>IF('[1]Abstract review'!I106="E",'[1]Abstract review'!J106,"")</f>
        <v>no pdac</v>
      </c>
      <c r="H106" s="4"/>
      <c r="I106" s="4"/>
      <c r="J106" s="4"/>
      <c r="K106" s="4"/>
      <c r="L106" s="6" t="str">
        <f t="shared" si="5"/>
        <v/>
      </c>
      <c r="M106" s="6" t="str">
        <f t="shared" si="6"/>
        <v/>
      </c>
      <c r="N106" s="6" t="str">
        <f>IF(L106="Include",IFERROR(INDEX('[1]Data extraction'!$AC$2:$AC$58,MATCH(H106+1,'[1]Data extraction'!$AA$2:$AA$58,0)),"not found"),"")</f>
        <v/>
      </c>
      <c r="O106" s="6" t="str">
        <f>IF(N106="","",IFERROR(INDEX('[1]Data extraction'!$L$2:$L$58,MATCH(N106,'[1]Data extraction'!$AC$2:$AC$58,0)),""))</f>
        <v/>
      </c>
      <c r="P106" s="7" t="str">
        <f t="shared" si="7"/>
        <v>Excluded at title/abstract</v>
      </c>
      <c r="Q106" s="6" t="str">
        <f t="shared" si="8"/>
        <v>Population</v>
      </c>
      <c r="R106" s="4"/>
    </row>
    <row r="107" spans="1:18" x14ac:dyDescent="0.3">
      <c r="A107" s="4">
        <f>'[1]Abstract review'!C107</f>
        <v>103</v>
      </c>
      <c r="B107" s="4" t="str">
        <f>IFERROR(LEFT('[1]Abstract review'!D107,FIND(";",'[1]Abstract review'!D107)-1),'[1]Abstract review'!D107)</f>
        <v>Xuebo Wang</v>
      </c>
      <c r="C107" s="5" t="str">
        <f>'[1]Abstract review'!E107&amp;""</f>
        <v>2025</v>
      </c>
      <c r="D107" s="4" t="str">
        <f>'[1]Abstract review'!F107</f>
        <v>Integrative Analysis of eQTL Genes Reveals Key Biomarkers and Mechanisms for Early Diagnosis of Pancreatic Ductal Adenocarcinoma</v>
      </c>
      <c r="E107" s="4" t="str">
        <f>IF('[1]Abstract review'!G107="","",'[1]Abstract review'!G107)</f>
        <v>10.1177/11769351251400465</v>
      </c>
      <c r="F107" s="4" t="str">
        <f>IF('[1]Abstract review'!I107="I","Include → full text",IF('[1]Abstract review'!I107="E","Exclude",IF('[1]Abstract review'!I107="DUP","Duplicate — removed",'[1]Abstract review'!I107)))</f>
        <v>Exclude</v>
      </c>
      <c r="G107" s="4" t="str">
        <f>IF('[1]Abstract review'!I107="E",'[1]Abstract review'!J107,"")</f>
        <v>Diagnostic value</v>
      </c>
      <c r="H107" s="4"/>
      <c r="I107" s="4"/>
      <c r="J107" s="4"/>
      <c r="K107" s="4"/>
      <c r="L107" s="6" t="str">
        <f t="shared" si="5"/>
        <v/>
      </c>
      <c r="M107" s="6" t="str">
        <f t="shared" si="6"/>
        <v/>
      </c>
      <c r="N107" s="6" t="str">
        <f>IF(L107="Include",IFERROR(INDEX('[1]Data extraction'!$AC$2:$AC$58,MATCH(H107+1,'[1]Data extraction'!$AA$2:$AA$58,0)),"not found"),"")</f>
        <v/>
      </c>
      <c r="O107" s="6" t="str">
        <f>IF(N107="","",IFERROR(INDEX('[1]Data extraction'!$L$2:$L$58,MATCH(N107,'[1]Data extraction'!$AC$2:$AC$58,0)),""))</f>
        <v/>
      </c>
      <c r="P107" s="7" t="str">
        <f t="shared" si="7"/>
        <v>Excluded at title/abstract</v>
      </c>
      <c r="Q107" s="6" t="str">
        <f t="shared" si="8"/>
        <v>Outcomes</v>
      </c>
      <c r="R107" s="4"/>
    </row>
    <row r="108" spans="1:18" x14ac:dyDescent="0.3">
      <c r="A108" s="4">
        <f>'[1]Abstract review'!C108</f>
        <v>104</v>
      </c>
      <c r="B108" s="4" t="str">
        <f>IFERROR(LEFT('[1]Abstract review'!D108,FIND(";",'[1]Abstract review'!D108)-1),'[1]Abstract review'!D108)</f>
        <v>X. Wang</v>
      </c>
      <c r="C108" s="5" t="str">
        <f>'[1]Abstract review'!E108&amp;""</f>
        <v>2025</v>
      </c>
      <c r="D108" s="4" t="str">
        <f>'[1]Abstract review'!F108</f>
        <v>A autophagy related gene signature to predict the prognosis of pancreatic carcinoma and tumor immune microenvironment evaluation</v>
      </c>
      <c r="E108" s="4" t="str">
        <f>IF('[1]Abstract review'!G108="","",'[1]Abstract review'!G108)</f>
        <v>10.1038/s41598-025-26358-6</v>
      </c>
      <c r="F108" s="4" t="str">
        <f>IF('[1]Abstract review'!I108="I","Include → full text",IF('[1]Abstract review'!I108="E","Exclude",IF('[1]Abstract review'!I108="DUP","Duplicate — removed",'[1]Abstract review'!I108)))</f>
        <v>Include → full text</v>
      </c>
      <c r="G108" s="4" t="str">
        <f>IF('[1]Abstract review'!I108="E",'[1]Abstract review'!J108,"")</f>
        <v/>
      </c>
      <c r="H108" s="4">
        <f>'[1]Full-text screening-extraction'!A55</f>
        <v>54</v>
      </c>
      <c r="I108" s="4" t="str">
        <f>IF('[1]Full-text screening-extraction'!AB55="","",'[1]Full-text screening-extraction'!AB55)</f>
        <v>yes</v>
      </c>
      <c r="J108" s="4" t="str">
        <f>IF('[1]Full-text screening-extraction'!AC55="","",'[1]Full-text screening-extraction'!AC55)</f>
        <v>yes</v>
      </c>
      <c r="K108" s="4" t="str">
        <f>IF('[1]Full-text screening-extraction'!AG55="","",'[1]Full-text screening-extraction'!AG55)</f>
        <v/>
      </c>
      <c r="L108" s="6" t="str">
        <f t="shared" si="5"/>
        <v>Include</v>
      </c>
      <c r="M108" s="6" t="str">
        <f t="shared" si="6"/>
        <v/>
      </c>
      <c r="N108" s="6" t="str">
        <f>IF(L108="Include",IFERROR(INDEX('[1]Data extraction'!$AC$2:$AC$58,MATCH(H108+1,'[1]Data extraction'!$AA$2:$AA$58,0)),"not found"),"")</f>
        <v>EV-64</v>
      </c>
      <c r="O108" s="6" t="str">
        <f>IF(N108="","",IFERROR(INDEX('[1]Data extraction'!$L$2:$L$58,MATCH(N108,'[1]Data extraction'!$AC$2:$AC$58,0)),""))</f>
        <v>A-</v>
      </c>
      <c r="P108" s="7" t="str">
        <f t="shared" si="7"/>
        <v>INCLUDED</v>
      </c>
      <c r="Q108" s="6" t="str">
        <f t="shared" si="8"/>
        <v>All PICOS rows + Independent prognostic value</v>
      </c>
      <c r="R108" s="4" t="str">
        <f>IF(P108&lt;&gt;"INCLUDED","",'[1]Full-text screening-extraction'!M55&amp;" ("&amp;'[1]Full-text screening-extraction'!K55&amp;"); outcome: "&amp;'[1]Full-text screening-extraction'!P55&amp;"; multivariable: "&amp;LEFT('[1]Full-text screening-extraction'!T55,120)&amp;" | adjusted for: "&amp;LEFT('[1]Full-text screening-extraction'!U55,100))</f>
        <v>13-gene autophagy-related signature (EIF4EBP1, HDAC6, GABARAP, CASP4, ATG16L2, BCL2L1, BAG3, ATG4B, TNFSF10, PTK6, ITGA3, BIRC5, BAK1) (Bulk transcriptomics with ancillary methylation/CNV/mutation analyses); outcome: OS; multivariable: Risk score independent for OS: HR 4.237 (95% CI 2.836–6.331), p&lt;0.001 | adjusted for: Clinicopathological variables included; exact full list not fully specified</v>
      </c>
    </row>
    <row r="109" spans="1:18" x14ac:dyDescent="0.3">
      <c r="A109" s="4">
        <f>'[1]Abstract review'!C109</f>
        <v>105</v>
      </c>
      <c r="B109" s="4" t="str">
        <f>IFERROR(LEFT('[1]Abstract review'!D109,FIND(";",'[1]Abstract review'!D109)-1),'[1]Abstract review'!D109)</f>
        <v>Xiangjun Wang</v>
      </c>
      <c r="C109" s="5" t="str">
        <f>'[1]Abstract review'!E109&amp;""</f>
        <v>2025</v>
      </c>
      <c r="D109" s="4" t="str">
        <f>'[1]Abstract review'!F109</f>
        <v>Efferocytosis-associated genes serve as prognostic biomarkers for pancreatic ductal adenocarcinoma and identify P2RY6 as a therapeutic target</v>
      </c>
      <c r="E109" s="4" t="str">
        <f>IF('[1]Abstract review'!G109="","",'[1]Abstract review'!G109)</f>
        <v>10.3389/fimmu.2025.1708441</v>
      </c>
      <c r="F109" s="4" t="str">
        <f>IF('[1]Abstract review'!I109="I","Include → full text",IF('[1]Abstract review'!I109="E","Exclude",IF('[1]Abstract review'!I109="DUP","Duplicate — removed",'[1]Abstract review'!I109)))</f>
        <v>Include → full text</v>
      </c>
      <c r="G109" s="4" t="str">
        <f>IF('[1]Abstract review'!I109="E",'[1]Abstract review'!J109,"")</f>
        <v/>
      </c>
      <c r="H109" s="4">
        <f>'[1]Full-text screening-extraction'!A56</f>
        <v>55</v>
      </c>
      <c r="I109" s="4" t="str">
        <f>IF('[1]Full-text screening-extraction'!AB56="","",'[1]Full-text screening-extraction'!AB56)</f>
        <v>yes</v>
      </c>
      <c r="J109" s="4" t="str">
        <f>IF('[1]Full-text screening-extraction'!AC56="","",'[1]Full-text screening-extraction'!AC56)</f>
        <v>yes</v>
      </c>
      <c r="K109" s="4" t="str">
        <f>IF('[1]Full-text screening-extraction'!AG56="","",'[1]Full-text screening-extraction'!AG56)</f>
        <v/>
      </c>
      <c r="L109" s="6" t="str">
        <f t="shared" si="5"/>
        <v>Include</v>
      </c>
      <c r="M109" s="6" t="str">
        <f t="shared" si="6"/>
        <v/>
      </c>
      <c r="N109" s="6" t="str">
        <f>IF(L109="Include",IFERROR(INDEX('[1]Data extraction'!$AC$2:$AC$58,MATCH(H109+1,'[1]Data extraction'!$AA$2:$AA$58,0)),"not found"),"")</f>
        <v>EV-13</v>
      </c>
      <c r="O109" s="6" t="str">
        <f>IF(N109="","",IFERROR(INDEX('[1]Data extraction'!$L$2:$L$58,MATCH(N109,'[1]Data extraction'!$AC$2:$AC$58,0)),""))</f>
        <v>A</v>
      </c>
      <c r="P109" s="7" t="str">
        <f t="shared" si="7"/>
        <v>INCLUDED</v>
      </c>
      <c r="Q109" s="6" t="str">
        <f t="shared" si="8"/>
        <v>All PICOS rows + Independent prognostic value</v>
      </c>
      <c r="R109" s="4" t="str">
        <f>IF(P109&lt;&gt;"INCLUDED","",'[1]Full-text screening-extraction'!M56&amp;" ("&amp;'[1]Full-text screening-extraction'!K56&amp;"); outcome: "&amp;'[1]Full-text screening-extraction'!P56&amp;"; multivariable: "&amp;LEFT('[1]Full-text screening-extraction'!T56,120)&amp;" | adjusted for: "&amp;LEFT('[1]Full-text screening-extraction'!U56,100))</f>
        <v>EFFscore (ADAM9, P2RY6, CD36); P2RY6 (Bulk RNA-seq; scRNA-seq; RNA-seq; protein validation); outcome: Overall Survival (OS); multivariable: EFFscore and age independent prognostic factors; P2RY6 multivariable independence not clearly shown | adjusted for: Age; sex; grade; stage included in modeling/nomogram</v>
      </c>
    </row>
    <row r="110" spans="1:18" x14ac:dyDescent="0.3">
      <c r="A110" s="4">
        <f>'[1]Abstract review'!C110</f>
        <v>106</v>
      </c>
      <c r="B110" s="4" t="str">
        <f>IFERROR(LEFT('[1]Abstract review'!D110,FIND(";",'[1]Abstract review'!D110)-1),'[1]Abstract review'!D110)</f>
        <v>W. Wang</v>
      </c>
      <c r="C110" s="5" t="str">
        <f>'[1]Abstract review'!E110&amp;""</f>
        <v>2025</v>
      </c>
      <c r="D110" s="4" t="str">
        <f>'[1]Abstract review'!F110</f>
        <v>Identification of a fibroblast-derived gene signature reveals prognostic and therapeutic insights in pancreatic cancer</v>
      </c>
      <c r="E110" s="4" t="str">
        <f>IF('[1]Abstract review'!G110="","",'[1]Abstract review'!G110)</f>
        <v>10.1007/s10238-025-01801-0</v>
      </c>
      <c r="F110" s="4" t="str">
        <f>IF('[1]Abstract review'!I110="I","Include → full text",IF('[1]Abstract review'!I110="E","Exclude",IF('[1]Abstract review'!I110="DUP","Duplicate — removed",'[1]Abstract review'!I110)))</f>
        <v>Include → full text</v>
      </c>
      <c r="G110" s="4" t="str">
        <f>IF('[1]Abstract review'!I110="E",'[1]Abstract review'!J110,"")</f>
        <v/>
      </c>
      <c r="H110" s="4">
        <f>'[1]Full-text screening-extraction'!A57</f>
        <v>56</v>
      </c>
      <c r="I110" s="4" t="str">
        <f>IF('[1]Full-text screening-extraction'!AB57="","",'[1]Full-text screening-extraction'!AB57)</f>
        <v>yes</v>
      </c>
      <c r="J110" s="4" t="str">
        <f>IF('[1]Full-text screening-extraction'!AC57="","",'[1]Full-text screening-extraction'!AC57)</f>
        <v>yes</v>
      </c>
      <c r="K110" s="4" t="str">
        <f>IF('[1]Full-text screening-extraction'!AG57="","",'[1]Full-text screening-extraction'!AG57)</f>
        <v/>
      </c>
      <c r="L110" s="6" t="str">
        <f t="shared" si="5"/>
        <v>Include</v>
      </c>
      <c r="M110" s="6" t="str">
        <f t="shared" si="6"/>
        <v/>
      </c>
      <c r="N110" s="6" t="str">
        <f>IF(L110="Include",IFERROR(INDEX('[1]Data extraction'!$AC$2:$AC$58,MATCH(H110+1,'[1]Data extraction'!$AA$2:$AA$58,0)),"not found"),"")</f>
        <v>EV-65</v>
      </c>
      <c r="O110" s="6" t="str">
        <f>IF(N110="","",IFERROR(INDEX('[1]Data extraction'!$L$2:$L$58,MATCH(N110,'[1]Data extraction'!$AC$2:$AC$58,0)),""))</f>
        <v>A</v>
      </c>
      <c r="P110" s="7" t="str">
        <f t="shared" si="7"/>
        <v>INCLUDED</v>
      </c>
      <c r="Q110" s="6" t="str">
        <f t="shared" si="8"/>
        <v>All PICOS rows + Independent prognostic value</v>
      </c>
      <c r="R110" s="4" t="str">
        <f>IF(P110&lt;&gt;"INCLUDED","",'[1]Full-text screening-extraction'!M57&amp;" ("&amp;'[1]Full-text screening-extraction'!K57&amp;"); outcome: "&amp;'[1]Full-text screening-extraction'!P57&amp;"; multivariable: "&amp;LEFT('[1]Full-text screening-extraction'!T57,120)&amp;" | adjusted for: "&amp;LEFT('[1]Full-text screening-extraction'!U57,100))</f>
        <v>Fibroblast-related 14-gene prognostic signature (risk score model) (Bulk RNA-seq; scRNA-seq); outcome: Overall Survival (OS); multivariable: Risk score confirmed as independent prognostic factor | adjusted for: Age; gender; tumor grade; stage</v>
      </c>
    </row>
    <row r="111" spans="1:18" x14ac:dyDescent="0.3">
      <c r="A111" s="4">
        <f>'[1]Abstract review'!C111</f>
        <v>107</v>
      </c>
      <c r="B111" s="4" t="str">
        <f>IFERROR(LEFT('[1]Abstract review'!D111,FIND(";",'[1]Abstract review'!D111)-1),'[1]Abstract review'!D111)</f>
        <v>S. Wang</v>
      </c>
      <c r="C111" s="5" t="str">
        <f>'[1]Abstract review'!E111&amp;""</f>
        <v>2025</v>
      </c>
      <c r="D111" s="4" t="str">
        <f>'[1]Abstract review'!F111</f>
        <v>Exploring the causal relationship between hemoglobin and pancreatic cancer and its potential mechanisms through bioinformatics and Mendelian randomization</v>
      </c>
      <c r="E111" s="4" t="str">
        <f>IF('[1]Abstract review'!G111="","",'[1]Abstract review'!G111)</f>
        <v>10.1007/s12672-025-03352-y</v>
      </c>
      <c r="F111" s="4" t="str">
        <f>IF('[1]Abstract review'!I111="I","Include → full text",IF('[1]Abstract review'!I111="E","Exclude",IF('[1]Abstract review'!I111="DUP","Duplicate — removed",'[1]Abstract review'!I111)))</f>
        <v>Include → full text</v>
      </c>
      <c r="G111" s="4" t="str">
        <f>IF('[1]Abstract review'!I111="E",'[1]Abstract review'!J111,"")</f>
        <v/>
      </c>
      <c r="H111" s="4">
        <f>'[1]Full-text screening-extraction'!A58</f>
        <v>57</v>
      </c>
      <c r="I111" s="4" t="str">
        <f>IF('[1]Full-text screening-extraction'!AB58="","",'[1]Full-text screening-extraction'!AB58)</f>
        <v>yes</v>
      </c>
      <c r="J111" s="4" t="str">
        <f>IF('[1]Full-text screening-extraction'!AC58="","",'[1]Full-text screening-extraction'!AC58)</f>
        <v>yes</v>
      </c>
      <c r="K111" s="4" t="str">
        <f>IF('[1]Full-text screening-extraction'!AG58="","",'[1]Full-text screening-extraction'!AG58)</f>
        <v>Excluded — primary question not prognostic-biomarker: study addresses haemoglobin and Mendelian randomisation; the transcriptomic HGB-related signature is secondary and adjustment for clinicopathological factors is not clearly reported</v>
      </c>
      <c r="L111" s="6" t="str">
        <f t="shared" si="5"/>
        <v>Exclude</v>
      </c>
      <c r="M111" s="6" t="str">
        <f t="shared" si="6"/>
        <v>Primary question not prognostic; adjustment unclear</v>
      </c>
      <c r="N111" s="6" t="str">
        <f>IF(L111="Include",IFERROR(INDEX('[1]Data extraction'!$AC$2:$AC$58,MATCH(H111+1,'[1]Data extraction'!$AA$2:$AA$58,0)),"not found"),"")</f>
        <v/>
      </c>
      <c r="O111" s="6" t="str">
        <f>IF(N111="","",IFERROR(INDEX('[1]Data extraction'!$L$2:$L$58,MATCH(N111,'[1]Data extraction'!$AC$2:$AC$58,0)),""))</f>
        <v/>
      </c>
      <c r="P111" s="7" t="str">
        <f t="shared" si="7"/>
        <v>Excluded at full text</v>
      </c>
      <c r="Q111" s="6" t="str">
        <f t="shared" si="8"/>
        <v>Independent prognostic value</v>
      </c>
      <c r="R111" s="4" t="str">
        <f>IF(P111&lt;&gt;"INCLUDED","",'[1]Full-text screening-extraction'!M58&amp;" ("&amp;'[1]Full-text screening-extraction'!K58&amp;"); outcome: "&amp;'[1]Full-text screening-extraction'!P58&amp;"; multivariable: "&amp;LEFT('[1]Full-text screening-extraction'!T58,120)&amp;" | adjusted for: "&amp;LEFT('[1]Full-text screening-extraction'!U58,100))</f>
        <v/>
      </c>
    </row>
    <row r="112" spans="1:18" x14ac:dyDescent="0.3">
      <c r="A112" s="4">
        <f>'[1]Abstract review'!C112</f>
        <v>108</v>
      </c>
      <c r="B112" s="4" t="str">
        <f>IFERROR(LEFT('[1]Abstract review'!D112,FIND(";",'[1]Abstract review'!D112)-1),'[1]Abstract review'!D112)</f>
        <v>R. Wang</v>
      </c>
      <c r="C112" s="5" t="str">
        <f>'[1]Abstract review'!E112&amp;""</f>
        <v>2025</v>
      </c>
      <c r="D112" s="4" t="str">
        <f>'[1]Abstract review'!F112</f>
        <v>Integrated multiomics analysis identifies PHLDA1+ fibroblasts as prognostic biomarkers and mediators of biological functions in pancreatic cancer</v>
      </c>
      <c r="E112" s="4" t="str">
        <f>IF('[1]Abstract review'!G112="","",'[1]Abstract review'!G112)</f>
        <v>10.3389/fimmu.2025.1592416</v>
      </c>
      <c r="F112" s="4" t="str">
        <f>IF('[1]Abstract review'!I112="I","Include → full text",IF('[1]Abstract review'!I112="E","Exclude",IF('[1]Abstract review'!I112="DUP","Duplicate — removed",'[1]Abstract review'!I112)))</f>
        <v>Include → full text</v>
      </c>
      <c r="G112" s="4" t="str">
        <f>IF('[1]Abstract review'!I112="E",'[1]Abstract review'!J112,"")</f>
        <v/>
      </c>
      <c r="H112" s="4">
        <f>'[1]Full-text screening-extraction'!A59</f>
        <v>58</v>
      </c>
      <c r="I112" s="4" t="str">
        <f>IF('[1]Full-text screening-extraction'!AB59="","",'[1]Full-text screening-extraction'!AB59)</f>
        <v>yes</v>
      </c>
      <c r="J112" s="4" t="str">
        <f>IF('[1]Full-text screening-extraction'!AC59="","",'[1]Full-text screening-extraction'!AC59)</f>
        <v>yes</v>
      </c>
      <c r="K112" s="4" t="str">
        <f>IF('[1]Full-text screening-extraction'!AG59="","",'[1]Full-text screening-extraction'!AG59)</f>
        <v/>
      </c>
      <c r="L112" s="6" t="str">
        <f t="shared" si="5"/>
        <v>Include</v>
      </c>
      <c r="M112" s="6" t="str">
        <f t="shared" si="6"/>
        <v/>
      </c>
      <c r="N112" s="6" t="str">
        <f>IF(L112="Include",IFERROR(INDEX('[1]Data extraction'!$AC$2:$AC$58,MATCH(H112+1,'[1]Data extraction'!$AA$2:$AA$58,0)),"not found"),"")</f>
        <v>EV-14</v>
      </c>
      <c r="O112" s="6" t="str">
        <f>IF(N112="","",IFERROR(INDEX('[1]Data extraction'!$L$2:$L$58,MATCH(N112,'[1]Data extraction'!$AC$2:$AC$58,0)),""))</f>
        <v>A</v>
      </c>
      <c r="P112" s="7" t="str">
        <f t="shared" si="7"/>
        <v>INCLUDED</v>
      </c>
      <c r="Q112" s="6" t="str">
        <f t="shared" si="8"/>
        <v>All PICOS rows + Independent prognostic value</v>
      </c>
      <c r="R112" s="4" t="str">
        <f>IF(P112&lt;&gt;"INCLUDED","",'[1]Full-text screening-extraction'!M59&amp;" ("&amp;'[1]Full-text screening-extraction'!K59&amp;"); outcome: "&amp;'[1]Full-text screening-extraction'!P59&amp;"; multivariable: "&amp;LEFT('[1]Full-text screening-extraction'!T59,120)&amp;" | adjusted for: "&amp;LEFT('[1]Full-text screening-extraction'!U59,100))</f>
        <v>7-gene mCAF-related prognostic signature (USP36, KLF5, MT2A, KDM6B, PHLDA1, REL, DDIT4); key single marker/target: PHLDA1 (Bulk transcriptomics; scRNA-seq; spatial transcriptomics; pan-cancer transcriptomics; protein and RNA validation); outcome: Overall survival (OS); multivariable: Prognostic risk score showed robust performance with average C-index 0.748; exact single multivariable HRs/covariates no | adjusted for: clinical models appear to incorporate standard clinical features and risk score</v>
      </c>
    </row>
    <row r="113" spans="1:18" x14ac:dyDescent="0.3">
      <c r="A113" s="4">
        <f>'[1]Abstract review'!C113</f>
        <v>109</v>
      </c>
      <c r="B113" s="4" t="str">
        <f>IFERROR(LEFT('[1]Abstract review'!D113,FIND(";",'[1]Abstract review'!D113)-1),'[1]Abstract review'!D113)</f>
        <v>K. Wang</v>
      </c>
      <c r="C113" s="5" t="str">
        <f>'[1]Abstract review'!E113&amp;""</f>
        <v>2025</v>
      </c>
      <c r="D113" s="4" t="str">
        <f>'[1]Abstract review'!F113</f>
        <v>Establishment and validation of an immune-related nomogram for the prognosis of pancreatic adenocarcinoma</v>
      </c>
      <c r="E113" s="4" t="str">
        <f>IF('[1]Abstract review'!G113="","",'[1]Abstract review'!G113)</f>
        <v>10.1038/s41598-025-98503-0</v>
      </c>
      <c r="F113" s="4" t="str">
        <f>IF('[1]Abstract review'!I113="I","Include → full text",IF('[1]Abstract review'!I113="E","Exclude",IF('[1]Abstract review'!I113="DUP","Duplicate — removed",'[1]Abstract review'!I113)))</f>
        <v>Include → full text</v>
      </c>
      <c r="G113" s="4" t="str">
        <f>IF('[1]Abstract review'!I113="E",'[1]Abstract review'!J113,"")</f>
        <v/>
      </c>
      <c r="H113" s="4">
        <f>'[1]Full-text screening-extraction'!A60</f>
        <v>59</v>
      </c>
      <c r="I113" s="4" t="str">
        <f>IF('[1]Full-text screening-extraction'!AB60="","",'[1]Full-text screening-extraction'!AB60)</f>
        <v>yes</v>
      </c>
      <c r="J113" s="4" t="str">
        <f>IF('[1]Full-text screening-extraction'!AC60="","",'[1]Full-text screening-extraction'!AC60)</f>
        <v>yes</v>
      </c>
      <c r="K113" s="4" t="str">
        <f>IF('[1]Full-text screening-extraction'!AG60="","",'[1]Full-text screening-extraction'!AG60)</f>
        <v/>
      </c>
      <c r="L113" s="6" t="str">
        <f t="shared" si="5"/>
        <v>Include</v>
      </c>
      <c r="M113" s="6" t="str">
        <f t="shared" si="6"/>
        <v/>
      </c>
      <c r="N113" s="6" t="str">
        <f>IF(L113="Include",IFERROR(INDEX('[1]Data extraction'!$AC$2:$AC$58,MATCH(H113+1,'[1]Data extraction'!$AA$2:$AA$58,0)),"not found"),"")</f>
        <v>EV-15</v>
      </c>
      <c r="O113" s="6" t="str">
        <f>IF(N113="","",IFERROR(INDEX('[1]Data extraction'!$L$2:$L$58,MATCH(N113,'[1]Data extraction'!$AC$2:$AC$58,0)),""))</f>
        <v>A</v>
      </c>
      <c r="P113" s="7" t="str">
        <f t="shared" si="7"/>
        <v>INCLUDED</v>
      </c>
      <c r="Q113" s="6" t="str">
        <f t="shared" si="8"/>
        <v>All PICOS rows + Independent prognostic value</v>
      </c>
      <c r="R113" s="4" t="str">
        <f>IF(P113&lt;&gt;"INCLUDED","",'[1]Full-text screening-extraction'!M60&amp;" ("&amp;'[1]Full-text screening-extraction'!K60&amp;"); outcome: "&amp;'[1]Full-text screening-extraction'!P60&amp;"; multivariable: "&amp;LEFT('[1]Full-text screening-extraction'!T60,120)&amp;" | adjusted for: "&amp;LEFT('[1]Full-text screening-extraction'!U60,100))</f>
        <v>18-gene immune-related prognostic signature; key highlighted gene: IL6R (Bulk transcriptomics (RNA-seq)); outcome: Overall survival (OS); multivariable: Multivariate Cox confirmed risk score as independent prognostic factor (P&lt;0.05); nomogram included risk score + stage +  | adjusted for: Adjusted for clinical variables: age, gender, tumor grade, stage, treatment, comorbidities, lifestyl</v>
      </c>
    </row>
    <row r="114" spans="1:18" x14ac:dyDescent="0.3">
      <c r="A114" s="4">
        <f>'[1]Abstract review'!C114</f>
        <v>110</v>
      </c>
      <c r="B114" s="4" t="str">
        <f>IFERROR(LEFT('[1]Abstract review'!D114,FIND(";",'[1]Abstract review'!D114)-1),'[1]Abstract review'!D114)</f>
        <v>D. Wang</v>
      </c>
      <c r="C114" s="5" t="str">
        <f>'[1]Abstract review'!E114&amp;""</f>
        <v>2025</v>
      </c>
      <c r="D114" s="4" t="str">
        <f>'[1]Abstract review'!F114</f>
        <v>Integrated multi-omics and single-cell analysis identify SERPINE1 as a key mediator of the inflammatory tumor microenvironment in PDAC</v>
      </c>
      <c r="E114" s="4" t="str">
        <f>IF('[1]Abstract review'!G114="","",'[1]Abstract review'!G114)</f>
        <v>10.3389/fimmu.2025.1716878</v>
      </c>
      <c r="F114" s="4" t="str">
        <f>IF('[1]Abstract review'!I114="I","Include → full text",IF('[1]Abstract review'!I114="E","Exclude",IF('[1]Abstract review'!I114="DUP","Duplicate — removed",'[1]Abstract review'!I114)))</f>
        <v>Include → full text</v>
      </c>
      <c r="G114" s="4" t="str">
        <f>IF('[1]Abstract review'!I114="E",'[1]Abstract review'!J114,"")</f>
        <v/>
      </c>
      <c r="H114" s="4">
        <f>'[1]Full-text screening-extraction'!A61</f>
        <v>60</v>
      </c>
      <c r="I114" s="4" t="str">
        <f>IF('[1]Full-text screening-extraction'!AB61="","",'[1]Full-text screening-extraction'!AB61)</f>
        <v>yes</v>
      </c>
      <c r="J114" s="4" t="str">
        <f>IF('[1]Full-text screening-extraction'!AC61="","",'[1]Full-text screening-extraction'!AC61)</f>
        <v>yes</v>
      </c>
      <c r="K114" s="4" t="str">
        <f>IF('[1]Full-text screening-extraction'!AG61="","",'[1]Full-text screening-extraction'!AG61)</f>
        <v/>
      </c>
      <c r="L114" s="6" t="str">
        <f t="shared" si="5"/>
        <v>Include</v>
      </c>
      <c r="M114" s="6" t="str">
        <f t="shared" si="6"/>
        <v/>
      </c>
      <c r="N114" s="6" t="str">
        <f>IF(L114="Include",IFERROR(INDEX('[1]Data extraction'!$AC$2:$AC$58,MATCH(H114+1,'[1]Data extraction'!$AA$2:$AA$58,0)),"not found"),"")</f>
        <v>EV-39</v>
      </c>
      <c r="O114" s="6" t="str">
        <f>IF(N114="","",IFERROR(INDEX('[1]Data extraction'!$L$2:$L$58,MATCH(N114,'[1]Data extraction'!$AC$2:$AC$58,0)),""))</f>
        <v>A</v>
      </c>
      <c r="P114" s="7" t="str">
        <f t="shared" si="7"/>
        <v>INCLUDED</v>
      </c>
      <c r="Q114" s="6" t="str">
        <f t="shared" si="8"/>
        <v>All PICOS rows + Independent prognostic value</v>
      </c>
      <c r="R114" s="4" t="str">
        <f>IF(P114&lt;&gt;"INCLUDED","",'[1]Full-text screening-extraction'!M61&amp;" ("&amp;'[1]Full-text screening-extraction'!K61&amp;"); outcome: "&amp;'[1]Full-text screening-extraction'!P61&amp;"; multivariable: "&amp;LEFT('[1]Full-text screening-extraction'!T61,120)&amp;" | adjusted for: "&amp;LEFT('[1]Full-text screening-extraction'!U61,100))</f>
        <v>SERPINE1 (Bulk transcriptomics; scRNA-seq; methylation; somatic mutation/TMB; immune deconvolution; protein and serum validation); outcome: Overall survival (OS); multivariable: Age, lymph node metastasis, and SERPINE1 remained independent prognostic factors in multivariable Cox | adjusted for: Age and lymph node metastasis explicitly reported with SERPINE1 in final nomogram</v>
      </c>
    </row>
    <row r="115" spans="1:18" x14ac:dyDescent="0.3">
      <c r="A115" s="4">
        <f>'[1]Abstract review'!C115</f>
        <v>111</v>
      </c>
      <c r="B115" s="4" t="str">
        <f>IFERROR(LEFT('[1]Abstract review'!D115,FIND(";",'[1]Abstract review'!D115)-1),'[1]Abstract review'!D115)</f>
        <v>Chunyan Wang</v>
      </c>
      <c r="C115" s="5" t="str">
        <f>'[1]Abstract review'!E115&amp;""</f>
        <v>2025</v>
      </c>
      <c r="D115" s="4" t="str">
        <f>'[1]Abstract review'!F115</f>
        <v>Single-cell Sequencing Analysis Reveals Cell Subtypes With High Expression of Coagulation Factor 3 and Their Possible Roles in Pancreatic Ductal Adenocarcinoma</v>
      </c>
      <c r="E115" s="4" t="str">
        <f>IF('[1]Abstract review'!G115="","",'[1]Abstract review'!G115)</f>
        <v>10.31083/fbl44029</v>
      </c>
      <c r="F115" s="4" t="str">
        <f>IF('[1]Abstract review'!I115="I","Include → full text",IF('[1]Abstract review'!I115="E","Exclude",IF('[1]Abstract review'!I115="DUP","Duplicate — removed",'[1]Abstract review'!I115)))</f>
        <v>Include → full text</v>
      </c>
      <c r="G115" s="4" t="str">
        <f>IF('[1]Abstract review'!I115="E",'[1]Abstract review'!J115,"")</f>
        <v/>
      </c>
      <c r="H115" s="4">
        <f>'[1]Full-text screening-extraction'!A62</f>
        <v>61</v>
      </c>
      <c r="I115" s="4" t="str">
        <f>IF('[1]Full-text screening-extraction'!AB62="","",'[1]Full-text screening-extraction'!AB62)</f>
        <v>no</v>
      </c>
      <c r="J115" s="4" t="str">
        <f>IF('[1]Full-text screening-extraction'!AC62="","",'[1]Full-text screening-extraction'!AC62)</f>
        <v>NA</v>
      </c>
      <c r="K115" s="4" t="str">
        <f>IF('[1]Full-text screening-extraction'!AG62="","",'[1]Full-text screening-extraction'!AG62)</f>
        <v/>
      </c>
      <c r="L115" s="6" t="str">
        <f t="shared" si="5"/>
        <v>Exclude</v>
      </c>
      <c r="M115" s="6" t="str">
        <f t="shared" si="6"/>
        <v>No adjusted multivariable model fitted</v>
      </c>
      <c r="N115" s="6" t="str">
        <f>IF(L115="Include",IFERROR(INDEX('[1]Data extraction'!$AC$2:$AC$58,MATCH(H115+1,'[1]Data extraction'!$AA$2:$AA$58,0)),"not found"),"")</f>
        <v/>
      </c>
      <c r="O115" s="6" t="str">
        <f>IF(N115="","",IFERROR(INDEX('[1]Data extraction'!$L$2:$L$58,MATCH(N115,'[1]Data extraction'!$AC$2:$AC$58,0)),""))</f>
        <v/>
      </c>
      <c r="P115" s="7" t="str">
        <f t="shared" si="7"/>
        <v>Excluded at full text</v>
      </c>
      <c r="Q115" s="6" t="str">
        <f t="shared" si="8"/>
        <v>Analysis &amp; synthesis eligibility</v>
      </c>
      <c r="R115" s="4" t="str">
        <f>IF(P115&lt;&gt;"INCLUDED","",'[1]Full-text screening-extraction'!M62&amp;" ("&amp;'[1]Full-text screening-extraction'!K62&amp;"); outcome: "&amp;'[1]Full-text screening-extraction'!P62&amp;"; multivariable: "&amp;LEFT('[1]Full-text screening-extraction'!T62,120)&amp;" | adjusted for: "&amp;LEFT('[1]Full-text screening-extraction'!U62,100))</f>
        <v/>
      </c>
    </row>
    <row r="116" spans="1:18" x14ac:dyDescent="0.3">
      <c r="A116" s="4">
        <f>'[1]Abstract review'!C116</f>
        <v>112</v>
      </c>
      <c r="B116" s="4" t="str">
        <f>IFERROR(LEFT('[1]Abstract review'!D116,FIND(";",'[1]Abstract review'!D116)-1),'[1]Abstract review'!D116)</f>
        <v>B. Wang</v>
      </c>
      <c r="C116" s="5" t="str">
        <f>'[1]Abstract review'!E116&amp;""</f>
        <v>2025</v>
      </c>
      <c r="D116" s="4" t="str">
        <f>'[1]Abstract review'!F116</f>
        <v>Machine learning-based construction of a programmed cell death-related model reveals prognosis and immune infiltration in pancreatic adenocarcinoma patients</v>
      </c>
      <c r="E116" s="4" t="str">
        <f>IF('[1]Abstract review'!G116="","",'[1]Abstract review'!G116)</f>
        <v>10.1038/s41598-025-10847-9</v>
      </c>
      <c r="F116" s="4" t="str">
        <f>IF('[1]Abstract review'!I116="I","Include → full text",IF('[1]Abstract review'!I116="E","Exclude",IF('[1]Abstract review'!I116="DUP","Duplicate — removed",'[1]Abstract review'!I116)))</f>
        <v>Include → full text</v>
      </c>
      <c r="G116" s="4" t="str">
        <f>IF('[1]Abstract review'!I116="E",'[1]Abstract review'!J116,"")</f>
        <v/>
      </c>
      <c r="H116" s="4">
        <f>'[1]Full-text screening-extraction'!A63</f>
        <v>62</v>
      </c>
      <c r="I116" s="4" t="str">
        <f>IF('[1]Full-text screening-extraction'!AB63="","",'[1]Full-text screening-extraction'!AB63)</f>
        <v>yes</v>
      </c>
      <c r="J116" s="4" t="str">
        <f>IF('[1]Full-text screening-extraction'!AC63="","",'[1]Full-text screening-extraction'!AC63)</f>
        <v>yes</v>
      </c>
      <c r="K116" s="4" t="str">
        <f>IF('[1]Full-text screening-extraction'!AG63="","",'[1]Full-text screening-extraction'!AG63)</f>
        <v/>
      </c>
      <c r="L116" s="6" t="str">
        <f t="shared" si="5"/>
        <v>Include</v>
      </c>
      <c r="M116" s="6" t="str">
        <f t="shared" si="6"/>
        <v/>
      </c>
      <c r="N116" s="6" t="str">
        <f>IF(L116="Include",IFERROR(INDEX('[1]Data extraction'!$AC$2:$AC$58,MATCH(H116+1,'[1]Data extraction'!$AA$2:$AA$58,0)),"not found"),"")</f>
        <v>EV-16</v>
      </c>
      <c r="O116" s="6" t="str">
        <f>IF(N116="","",IFERROR(INDEX('[1]Data extraction'!$L$2:$L$58,MATCH(N116,'[1]Data extraction'!$AC$2:$AC$58,0)),""))</f>
        <v>A</v>
      </c>
      <c r="P116" s="7" t="str">
        <f t="shared" si="7"/>
        <v>INCLUDED</v>
      </c>
      <c r="Q116" s="6" t="str">
        <f t="shared" si="8"/>
        <v>All PICOS rows + Independent prognostic value</v>
      </c>
      <c r="R116" s="4" t="str">
        <f>IF(P116&lt;&gt;"INCLUDED","",'[1]Full-text screening-extraction'!M63&amp;" ("&amp;'[1]Full-text screening-extraction'!K63&amp;"); outcome: "&amp;'[1]Full-text screening-extraction'!P63&amp;"; multivariable: "&amp;LEFT('[1]Full-text screening-extraction'!T63,120)&amp;" | adjusted for: "&amp;LEFT('[1]Full-text screening-extraction'!U63,100))</f>
        <v>6-gene PCD-related signature: ITGA3, CDCP1, IL1RAP, CLU, PBK, PLAU (Bulk transcriptomics (RNA expression)); outcome: Overall survival (OS); multivariable: Multivariate Cox: risk score independently associated with OS along with grade, T stage, N stage, tumor position | adjusted for: Grade, T stage, N stage, tumor position, risk score</v>
      </c>
    </row>
    <row r="117" spans="1:18" x14ac:dyDescent="0.3">
      <c r="A117" s="4">
        <f>'[1]Abstract review'!C117</f>
        <v>113</v>
      </c>
      <c r="B117" s="4" t="str">
        <f>IFERROR(LEFT('[1]Abstract review'!D117,FIND(";",'[1]Abstract review'!D117)-1),'[1]Abstract review'!D117)</f>
        <v>Yu Wan</v>
      </c>
      <c r="C117" s="5" t="str">
        <f>'[1]Abstract review'!E117&amp;""</f>
        <v>2025</v>
      </c>
      <c r="D117" s="4" t="str">
        <f>'[1]Abstract review'!F117</f>
        <v>Heterogenous cancer-associated fibroblasts related tumor microenvironment marked by CD10/KLF4/TIAM1 were identified in pancreatic adenocarcinoma by integrated transcriptomics</v>
      </c>
      <c r="E117" s="4" t="str">
        <f>IF('[1]Abstract review'!G117="","",'[1]Abstract review'!G117)</f>
        <v>10.3389/fimmu.2025.1557698</v>
      </c>
      <c r="F117" s="4" t="str">
        <f>IF('[1]Abstract review'!I117="I","Include → full text",IF('[1]Abstract review'!I117="E","Exclude",IF('[1]Abstract review'!I117="DUP","Duplicate — removed",'[1]Abstract review'!I117)))</f>
        <v>Exclude</v>
      </c>
      <c r="G117" s="4" t="str">
        <f>IF('[1]Abstract review'!I117="E",'[1]Abstract review'!J117,"")</f>
        <v>No survival outcome</v>
      </c>
      <c r="H117" s="4"/>
      <c r="I117" s="4"/>
      <c r="J117" s="4"/>
      <c r="K117" s="4"/>
      <c r="L117" s="6" t="str">
        <f t="shared" si="5"/>
        <v/>
      </c>
      <c r="M117" s="6" t="str">
        <f t="shared" si="6"/>
        <v/>
      </c>
      <c r="N117" s="6" t="str">
        <f>IF(L117="Include",IFERROR(INDEX('[1]Data extraction'!$AC$2:$AC$58,MATCH(H117+1,'[1]Data extraction'!$AA$2:$AA$58,0)),"not found"),"")</f>
        <v/>
      </c>
      <c r="O117" s="6" t="str">
        <f>IF(N117="","",IFERROR(INDEX('[1]Data extraction'!$L$2:$L$58,MATCH(N117,'[1]Data extraction'!$AC$2:$AC$58,0)),""))</f>
        <v/>
      </c>
      <c r="P117" s="7" t="str">
        <f t="shared" si="7"/>
        <v>Excluded at title/abstract</v>
      </c>
      <c r="Q117" s="6" t="str">
        <f t="shared" si="8"/>
        <v>Outcomes</v>
      </c>
      <c r="R117" s="4"/>
    </row>
    <row r="118" spans="1:18" x14ac:dyDescent="0.3">
      <c r="A118" s="4">
        <f>'[1]Abstract review'!C118</f>
        <v>114</v>
      </c>
      <c r="B118" s="4" t="str">
        <f>IFERROR(LEFT('[1]Abstract review'!D118,FIND(";",'[1]Abstract review'!D118)-1),'[1]Abstract review'!D118)</f>
        <v>P. Villoslada-Blanco</v>
      </c>
      <c r="C118" s="5" t="str">
        <f>'[1]Abstract review'!E118&amp;""</f>
        <v>2025</v>
      </c>
      <c r="D118" s="4" t="str">
        <f>'[1]Abstract review'!F118</f>
        <v>Development of a consensus molecular classifier for pancreatic ductal adenocarcinoma</v>
      </c>
      <c r="E118" s="4" t="str">
        <f>IF('[1]Abstract review'!G118="","",'[1]Abstract review'!G118)</f>
        <v>10.1186/s13073-025-01568-9</v>
      </c>
      <c r="F118" s="4" t="str">
        <f>IF('[1]Abstract review'!I118="I","Include → full text",IF('[1]Abstract review'!I118="E","Exclude",IF('[1]Abstract review'!I118="DUP","Duplicate — removed",'[1]Abstract review'!I118)))</f>
        <v>Exclude</v>
      </c>
      <c r="G118" s="4" t="str">
        <f>IF('[1]Abstract review'!I118="E",'[1]Abstract review'!J118,"")</f>
        <v>No survival outcome</v>
      </c>
      <c r="H118" s="4"/>
      <c r="I118" s="4"/>
      <c r="J118" s="4"/>
      <c r="K118" s="4"/>
      <c r="L118" s="6" t="str">
        <f t="shared" si="5"/>
        <v/>
      </c>
      <c r="M118" s="6" t="str">
        <f t="shared" si="6"/>
        <v/>
      </c>
      <c r="N118" s="6" t="str">
        <f>IF(L118="Include",IFERROR(INDEX('[1]Data extraction'!$AC$2:$AC$58,MATCH(H118+1,'[1]Data extraction'!$AA$2:$AA$58,0)),"not found"),"")</f>
        <v/>
      </c>
      <c r="O118" s="6" t="str">
        <f>IF(N118="","",IFERROR(INDEX('[1]Data extraction'!$L$2:$L$58,MATCH(N118,'[1]Data extraction'!$AC$2:$AC$58,0)),""))</f>
        <v/>
      </c>
      <c r="P118" s="7" t="str">
        <f t="shared" si="7"/>
        <v>Excluded at title/abstract</v>
      </c>
      <c r="Q118" s="6" t="str">
        <f t="shared" si="8"/>
        <v>Outcomes</v>
      </c>
      <c r="R118" s="4"/>
    </row>
    <row r="119" spans="1:18" x14ac:dyDescent="0.3">
      <c r="A119" s="4">
        <f>'[1]Abstract review'!C119</f>
        <v>115</v>
      </c>
      <c r="B119" s="4" t="str">
        <f>IFERROR(LEFT('[1]Abstract review'!D119,FIND(";",'[1]Abstract review'!D119)-1),'[1]Abstract review'!D119)</f>
        <v>E. M. Verdugo-Sivianes</v>
      </c>
      <c r="C119" s="5" t="str">
        <f>'[1]Abstract review'!E119&amp;""</f>
        <v>2025</v>
      </c>
      <c r="D119" s="4" t="str">
        <f>'[1]Abstract review'!F119</f>
        <v>Efficacy of NAMPT Inhibitors in Pancreatic Cancer After Stratification by MAP17 (PDZK1IP1) Levels</v>
      </c>
      <c r="E119" s="4" t="str">
        <f>IF('[1]Abstract review'!G119="","",'[1]Abstract review'!G119)</f>
        <v>10.3390/cancers17152575</v>
      </c>
      <c r="F119" s="4" t="str">
        <f>IF('[1]Abstract review'!I119="I","Include → full text",IF('[1]Abstract review'!I119="E","Exclude",IF('[1]Abstract review'!I119="DUP","Duplicate — removed",'[1]Abstract review'!I119)))</f>
        <v>Exclude</v>
      </c>
      <c r="G119" s="4" t="str">
        <f>IF('[1]Abstract review'!I119="E",'[1]Abstract review'!J119,"")</f>
        <v>Preclinical studies</v>
      </c>
      <c r="H119" s="4"/>
      <c r="I119" s="4"/>
      <c r="J119" s="4"/>
      <c r="K119" s="4"/>
      <c r="L119" s="6" t="str">
        <f t="shared" si="5"/>
        <v/>
      </c>
      <c r="M119" s="6" t="str">
        <f t="shared" si="6"/>
        <v/>
      </c>
      <c r="N119" s="6" t="str">
        <f>IF(L119="Include",IFERROR(INDEX('[1]Data extraction'!$AC$2:$AC$58,MATCH(H119+1,'[1]Data extraction'!$AA$2:$AA$58,0)),"not found"),"")</f>
        <v/>
      </c>
      <c r="O119" s="6" t="str">
        <f>IF(N119="","",IFERROR(INDEX('[1]Data extraction'!$L$2:$L$58,MATCH(N119,'[1]Data extraction'!$AC$2:$AC$58,0)),""))</f>
        <v/>
      </c>
      <c r="P119" s="7" t="str">
        <f t="shared" si="7"/>
        <v>Excluded at title/abstract</v>
      </c>
      <c r="Q119" s="6" t="str">
        <f t="shared" si="8"/>
        <v>Study design</v>
      </c>
      <c r="R119" s="4"/>
    </row>
    <row r="120" spans="1:18" x14ac:dyDescent="0.3">
      <c r="A120" s="4">
        <f>'[1]Abstract review'!C120</f>
        <v>116</v>
      </c>
      <c r="B120" s="4" t="str">
        <f>IFERROR(LEFT('[1]Abstract review'!D120,FIND(";",'[1]Abstract review'!D120)-1),'[1]Abstract review'!D120)</f>
        <v>M. Tsuda</v>
      </c>
      <c r="C120" s="5" t="str">
        <f>'[1]Abstract review'!E120&amp;""</f>
        <v>2025</v>
      </c>
      <c r="D120" s="4" t="str">
        <f>'[1]Abstract review'!F120</f>
        <v>A window trial in metastatic pancreatic ductal adenocarcinoma reveals resistance mechanisms to targeting the KRAS-MEK pathway</v>
      </c>
      <c r="E120" s="4" t="str">
        <f>IF('[1]Abstract review'!G120="","",'[1]Abstract review'!G120)</f>
        <v>10.64898/2025.12.12.693851</v>
      </c>
      <c r="F120" s="4" t="str">
        <f>IF('[1]Abstract review'!I120="I","Include → full text",IF('[1]Abstract review'!I120="E","Exclude",IF('[1]Abstract review'!I120="DUP","Duplicate — removed",'[1]Abstract review'!I120)))</f>
        <v>Exclude</v>
      </c>
      <c r="G120" s="4" t="str">
        <f>IF('[1]Abstract review'!I120="E",'[1]Abstract review'!J120,"")</f>
        <v>No survival outcome</v>
      </c>
      <c r="H120" s="4"/>
      <c r="I120" s="4"/>
      <c r="J120" s="4"/>
      <c r="K120" s="4"/>
      <c r="L120" s="6" t="str">
        <f t="shared" si="5"/>
        <v/>
      </c>
      <c r="M120" s="6" t="str">
        <f t="shared" si="6"/>
        <v/>
      </c>
      <c r="N120" s="6" t="str">
        <f>IF(L120="Include",IFERROR(INDEX('[1]Data extraction'!$AC$2:$AC$58,MATCH(H120+1,'[1]Data extraction'!$AA$2:$AA$58,0)),"not found"),"")</f>
        <v/>
      </c>
      <c r="O120" s="6" t="str">
        <f>IF(N120="","",IFERROR(INDEX('[1]Data extraction'!$L$2:$L$58,MATCH(N120,'[1]Data extraction'!$AC$2:$AC$58,0)),""))</f>
        <v/>
      </c>
      <c r="P120" s="7" t="str">
        <f t="shared" si="7"/>
        <v>Excluded at title/abstract</v>
      </c>
      <c r="Q120" s="6" t="str">
        <f t="shared" si="8"/>
        <v>Outcomes</v>
      </c>
      <c r="R120" s="4"/>
    </row>
    <row r="121" spans="1:18" x14ac:dyDescent="0.3">
      <c r="A121" s="4">
        <f>'[1]Abstract review'!C121</f>
        <v>117</v>
      </c>
      <c r="B121" s="4" t="str">
        <f>IFERROR(LEFT('[1]Abstract review'!D121,FIND(";",'[1]Abstract review'!D121)-1),'[1]Abstract review'!D121)</f>
        <v>H. E. Trembath</v>
      </c>
      <c r="C121" s="5" t="str">
        <f>'[1]Abstract review'!E121&amp;""</f>
        <v>2025</v>
      </c>
      <c r="D121" s="4" t="str">
        <f>'[1]Abstract review'!F121</f>
        <v>New Onset Diabetes in Pancreatic Adenocarcinoma Does Not Correlate With Molecular Subtype</v>
      </c>
      <c r="E121" s="4" t="str">
        <f>IF('[1]Abstract review'!G121="","",'[1]Abstract review'!G121)</f>
        <v>10.1002/jso.28044</v>
      </c>
      <c r="F121" s="4" t="str">
        <f>IF('[1]Abstract review'!I121="I","Include → full text",IF('[1]Abstract review'!I121="E","Exclude",IF('[1]Abstract review'!I121="DUP","Duplicate — removed",'[1]Abstract review'!I121)))</f>
        <v>Include → full text</v>
      </c>
      <c r="G121" s="4" t="str">
        <f>IF('[1]Abstract review'!I121="E",'[1]Abstract review'!J121,"")</f>
        <v/>
      </c>
      <c r="H121" s="4">
        <f>'[1]Full-text screening-extraction'!A64</f>
        <v>63</v>
      </c>
      <c r="I121" s="4" t="str">
        <f>IF('[1]Full-text screening-extraction'!AB64="","",'[1]Full-text screening-extraction'!AB64)</f>
        <v>yes</v>
      </c>
      <c r="J121" s="4" t="str">
        <f>IF('[1]Full-text screening-extraction'!AC64="","",'[1]Full-text screening-extraction'!AC64)</f>
        <v>no</v>
      </c>
      <c r="K121" s="4" t="str">
        <f>IF('[1]Full-text screening-extraction'!AG64="","",'[1]Full-text screening-extraction'!AG64)</f>
        <v/>
      </c>
      <c r="L121" s="6" t="str">
        <f t="shared" si="5"/>
        <v>Exclude</v>
      </c>
      <c r="M121" s="6" t="str">
        <f t="shared" si="6"/>
        <v>Biomarker not independent after adjustment</v>
      </c>
      <c r="N121" s="6" t="str">
        <f>IF(L121="Include",IFERROR(INDEX('[1]Data extraction'!$AC$2:$AC$58,MATCH(H121+1,'[1]Data extraction'!$AA$2:$AA$58,0)),"not found"),"")</f>
        <v/>
      </c>
      <c r="O121" s="6" t="str">
        <f>IF(N121="","",IFERROR(INDEX('[1]Data extraction'!$L$2:$L$58,MATCH(N121,'[1]Data extraction'!$AC$2:$AC$58,0)),""))</f>
        <v/>
      </c>
      <c r="P121" s="7" t="str">
        <f t="shared" si="7"/>
        <v>Excluded at full text</v>
      </c>
      <c r="Q121" s="6" t="str">
        <f t="shared" si="8"/>
        <v>Independent prognostic value</v>
      </c>
      <c r="R121" s="4" t="str">
        <f>IF(P121&lt;&gt;"INCLUDED","",'[1]Full-text screening-extraction'!M64&amp;" ("&amp;'[1]Full-text screening-extraction'!K64&amp;"); outcome: "&amp;'[1]Full-text screening-extraction'!P64&amp;"; multivariable: "&amp;LEFT('[1]Full-text screening-extraction'!T64,120)&amp;" | adjusted for: "&amp;LEFT('[1]Full-text screening-extraction'!U64,100))</f>
        <v/>
      </c>
    </row>
    <row r="122" spans="1:18" x14ac:dyDescent="0.3">
      <c r="A122" s="4">
        <f>'[1]Abstract review'!C122</f>
        <v>118</v>
      </c>
      <c r="B122" s="4" t="str">
        <f>IFERROR(LEFT('[1]Abstract review'!D122,FIND(";",'[1]Abstract review'!D122)-1),'[1]Abstract review'!D122)</f>
        <v>Halit Topal</v>
      </c>
      <c r="C122" s="5" t="str">
        <f>'[1]Abstract review'!E122&amp;""</f>
        <v>2025</v>
      </c>
      <c r="D122" s="4" t="str">
        <f>'[1]Abstract review'!F122</f>
        <v>Progression-free survival for unresectable non-metastatic locally advanced pancreatic cancer after surgical microwave ablation plus durvalumab and tremelimumab: phase-2 non-randomized prospective clinical trial</v>
      </c>
      <c r="E122" s="4" t="str">
        <f>IF('[1]Abstract review'!G122="","",'[1]Abstract review'!G122)</f>
        <v>10.1038/s43856-025-01186-x</v>
      </c>
      <c r="F122" s="4" t="str">
        <f>IF('[1]Abstract review'!I122="I","Include → full text",IF('[1]Abstract review'!I122="E","Exclude",IF('[1]Abstract review'!I122="DUP","Duplicate — removed",'[1]Abstract review'!I122)))</f>
        <v>Exclude</v>
      </c>
      <c r="G122" s="4" t="str">
        <f>IF('[1]Abstract review'!I122="E",'[1]Abstract review'!J122,"")</f>
        <v>No survival outcome</v>
      </c>
      <c r="H122" s="4"/>
      <c r="I122" s="4"/>
      <c r="J122" s="4"/>
      <c r="K122" s="4"/>
      <c r="L122" s="6" t="str">
        <f t="shared" si="5"/>
        <v/>
      </c>
      <c r="M122" s="6" t="str">
        <f t="shared" si="6"/>
        <v/>
      </c>
      <c r="N122" s="6" t="str">
        <f>IF(L122="Include",IFERROR(INDEX('[1]Data extraction'!$AC$2:$AC$58,MATCH(H122+1,'[1]Data extraction'!$AA$2:$AA$58,0)),"not found"),"")</f>
        <v/>
      </c>
      <c r="O122" s="6" t="str">
        <f>IF(N122="","",IFERROR(INDEX('[1]Data extraction'!$L$2:$L$58,MATCH(N122,'[1]Data extraction'!$AC$2:$AC$58,0)),""))</f>
        <v/>
      </c>
      <c r="P122" s="7" t="str">
        <f t="shared" si="7"/>
        <v>Excluded at title/abstract</v>
      </c>
      <c r="Q122" s="6" t="str">
        <f t="shared" si="8"/>
        <v>Outcomes</v>
      </c>
      <c r="R122" s="4"/>
    </row>
    <row r="123" spans="1:18" x14ac:dyDescent="0.3">
      <c r="A123" s="4">
        <f>'[1]Abstract review'!C123</f>
        <v>119</v>
      </c>
      <c r="B123" s="4" t="str">
        <f>IFERROR(LEFT('[1]Abstract review'!D123,FIND(";",'[1]Abstract review'!D123)-1),'[1]Abstract review'!D123)</f>
        <v>Marco Tognetti</v>
      </c>
      <c r="C123" s="5" t="str">
        <f>'[1]Abstract review'!E123&amp;""</f>
        <v>2025</v>
      </c>
      <c r="D123" s="4" t="str">
        <f>'[1]Abstract review'!F123</f>
        <v>Serum proteomics reveals survival-associated biomarkers in pancreatic cancer patients treated with chemoimmunotherapy</v>
      </c>
      <c r="E123" s="4" t="str">
        <f>IF('[1]Abstract review'!G123="","",'[1]Abstract review'!G123)</f>
        <v>10.1016/j.isci.2025.112230</v>
      </c>
      <c r="F123" s="4" t="str">
        <f>IF('[1]Abstract review'!I123="I","Include → full text",IF('[1]Abstract review'!I123="E","Exclude",IF('[1]Abstract review'!I123="DUP","Duplicate — removed",'[1]Abstract review'!I123)))</f>
        <v>Exclude</v>
      </c>
      <c r="G123" s="4" t="str">
        <f>IF('[1]Abstract review'!I123="E",'[1]Abstract review'!J123,"")</f>
        <v>Liquid biopsy / circulating biomarker only</v>
      </c>
      <c r="H123" s="4"/>
      <c r="I123" s="4"/>
      <c r="J123" s="4"/>
      <c r="K123" s="4"/>
      <c r="L123" s="6" t="str">
        <f t="shared" si="5"/>
        <v/>
      </c>
      <c r="M123" s="6" t="str">
        <f t="shared" si="6"/>
        <v/>
      </c>
      <c r="N123" s="6" t="str">
        <f>IF(L123="Include",IFERROR(INDEX('[1]Data extraction'!$AC$2:$AC$58,MATCH(H123+1,'[1]Data extraction'!$AA$2:$AA$58,0)),"not found"),"")</f>
        <v/>
      </c>
      <c r="O123" s="6" t="str">
        <f>IF(N123="","",IFERROR(INDEX('[1]Data extraction'!$L$2:$L$58,MATCH(N123,'[1]Data extraction'!$AC$2:$AC$58,0)),""))</f>
        <v/>
      </c>
      <c r="P123" s="7" t="str">
        <f t="shared" si="7"/>
        <v>Excluded at title/abstract</v>
      </c>
      <c r="Q123" s="6" t="str">
        <f t="shared" si="8"/>
        <v>Biomarker modality &amp; sample type</v>
      </c>
      <c r="R123" s="4"/>
    </row>
    <row r="124" spans="1:18" x14ac:dyDescent="0.3">
      <c r="A124" s="4">
        <f>'[1]Abstract review'!C124</f>
        <v>120</v>
      </c>
      <c r="B124" s="4" t="str">
        <f>IFERROR(LEFT('[1]Abstract review'!D124,FIND(";",'[1]Abstract review'!D124)-1),'[1]Abstract review'!D124)</f>
        <v>M. Tao</v>
      </c>
      <c r="C124" s="5" t="str">
        <f>'[1]Abstract review'!E124&amp;""</f>
        <v>2025</v>
      </c>
      <c r="D124" s="4" t="str">
        <f>'[1]Abstract review'!F124</f>
        <v>Transcriptome Landscape of Cancer-Associated Fibroblasts in Human PDAC</v>
      </c>
      <c r="E124" s="4" t="str">
        <f>IF('[1]Abstract review'!G124="","",'[1]Abstract review'!G124)</f>
        <v>10.1002/advs.202415196</v>
      </c>
      <c r="F124" s="4" t="str">
        <f>IF('[1]Abstract review'!I124="I","Include → full text",IF('[1]Abstract review'!I124="E","Exclude",IF('[1]Abstract review'!I124="DUP","Duplicate — removed",'[1]Abstract review'!I124)))</f>
        <v>Exclude</v>
      </c>
      <c r="G124" s="4" t="str">
        <f>IF('[1]Abstract review'!I124="E",'[1]Abstract review'!J124,"")</f>
        <v>No survival outcome</v>
      </c>
      <c r="H124" s="4"/>
      <c r="I124" s="4"/>
      <c r="J124" s="4"/>
      <c r="K124" s="4"/>
      <c r="L124" s="6" t="str">
        <f t="shared" si="5"/>
        <v/>
      </c>
      <c r="M124" s="6" t="str">
        <f t="shared" si="6"/>
        <v/>
      </c>
      <c r="N124" s="6" t="str">
        <f>IF(L124="Include",IFERROR(INDEX('[1]Data extraction'!$AC$2:$AC$58,MATCH(H124+1,'[1]Data extraction'!$AA$2:$AA$58,0)),"not found"),"")</f>
        <v/>
      </c>
      <c r="O124" s="6" t="str">
        <f>IF(N124="","",IFERROR(INDEX('[1]Data extraction'!$L$2:$L$58,MATCH(N124,'[1]Data extraction'!$AC$2:$AC$58,0)),""))</f>
        <v/>
      </c>
      <c r="P124" s="7" t="str">
        <f t="shared" si="7"/>
        <v>Excluded at title/abstract</v>
      </c>
      <c r="Q124" s="6" t="str">
        <f t="shared" si="8"/>
        <v>Outcomes</v>
      </c>
      <c r="R124" s="4"/>
    </row>
    <row r="125" spans="1:18" x14ac:dyDescent="0.3">
      <c r="A125" s="4">
        <f>'[1]Abstract review'!C125</f>
        <v>121</v>
      </c>
      <c r="B125" s="4" t="str">
        <f>IFERROR(LEFT('[1]Abstract review'!D125,FIND(";",'[1]Abstract review'!D125)-1),'[1]Abstract review'!D125)</f>
        <v>E. Tanıl</v>
      </c>
      <c r="C125" s="5" t="str">
        <f>'[1]Abstract review'!E125&amp;""</f>
        <v>2025</v>
      </c>
      <c r="D125" s="4" t="str">
        <f>'[1]Abstract review'!F125</f>
        <v>Multi-omic data integration and exploiting metabolic models using systems biology approach increase precision in subtyping and early diagnosis of cancer</v>
      </c>
      <c r="E125" s="4" t="str">
        <f>IF('[1]Abstract review'!G125="","",'[1]Abstract review'!G125)</f>
        <v>10.1002/qub2.70012</v>
      </c>
      <c r="F125" s="4" t="str">
        <f>IF('[1]Abstract review'!I125="I","Include → full text",IF('[1]Abstract review'!I125="E","Exclude",IF('[1]Abstract review'!I125="DUP","Duplicate — removed",'[1]Abstract review'!I125)))</f>
        <v>Exclude</v>
      </c>
      <c r="G125" s="4" t="str">
        <f>IF('[1]Abstract review'!I125="E",'[1]Abstract review'!J125,"")</f>
        <v>no pdac</v>
      </c>
      <c r="H125" s="4"/>
      <c r="I125" s="4"/>
      <c r="J125" s="4"/>
      <c r="K125" s="4"/>
      <c r="L125" s="6" t="str">
        <f t="shared" si="5"/>
        <v/>
      </c>
      <c r="M125" s="6" t="str">
        <f t="shared" si="6"/>
        <v/>
      </c>
      <c r="N125" s="6" t="str">
        <f>IF(L125="Include",IFERROR(INDEX('[1]Data extraction'!$AC$2:$AC$58,MATCH(H125+1,'[1]Data extraction'!$AA$2:$AA$58,0)),"not found"),"")</f>
        <v/>
      </c>
      <c r="O125" s="6" t="str">
        <f>IF(N125="","",IFERROR(INDEX('[1]Data extraction'!$L$2:$L$58,MATCH(N125,'[1]Data extraction'!$AC$2:$AC$58,0)),""))</f>
        <v/>
      </c>
      <c r="P125" s="7" t="str">
        <f t="shared" si="7"/>
        <v>Excluded at title/abstract</v>
      </c>
      <c r="Q125" s="6" t="str">
        <f t="shared" si="8"/>
        <v>Population</v>
      </c>
      <c r="R125" s="4"/>
    </row>
    <row r="126" spans="1:18" x14ac:dyDescent="0.3">
      <c r="A126" s="4">
        <f>'[1]Abstract review'!C126</f>
        <v>122</v>
      </c>
      <c r="B126" s="4" t="str">
        <f>IFERROR(LEFT('[1]Abstract review'!D126,FIND(";",'[1]Abstract review'!D126)-1),'[1]Abstract review'!D126)</f>
        <v>H. Tan</v>
      </c>
      <c r="C126" s="5" t="str">
        <f>'[1]Abstract review'!E126&amp;""</f>
        <v>2025</v>
      </c>
      <c r="D126" s="4" t="str">
        <f>'[1]Abstract review'!F126</f>
        <v>Ferroptosis-induced remodeling of glycosylation the immune microenvironment and improves survival in pancreatic cancer</v>
      </c>
      <c r="E126" s="4" t="str">
        <f>IF('[1]Abstract review'!G126="","",'[1]Abstract review'!G126)</f>
        <v>10.1186/s12957-025-04146-w</v>
      </c>
      <c r="F126" s="4" t="str">
        <f>IF('[1]Abstract review'!I126="I","Include → full text",IF('[1]Abstract review'!I126="E","Exclude",IF('[1]Abstract review'!I126="DUP","Duplicate — removed",'[1]Abstract review'!I126)))</f>
        <v>Exclude</v>
      </c>
      <c r="G126" s="4" t="str">
        <f>IF('[1]Abstract review'!I126="E",'[1]Abstract review'!J126,"")</f>
        <v>Preclinical studies</v>
      </c>
      <c r="H126" s="4"/>
      <c r="I126" s="4"/>
      <c r="J126" s="4"/>
      <c r="K126" s="4"/>
      <c r="L126" s="6" t="str">
        <f t="shared" si="5"/>
        <v/>
      </c>
      <c r="M126" s="6" t="str">
        <f t="shared" si="6"/>
        <v/>
      </c>
      <c r="N126" s="6" t="str">
        <f>IF(L126="Include",IFERROR(INDEX('[1]Data extraction'!$AC$2:$AC$58,MATCH(H126+1,'[1]Data extraction'!$AA$2:$AA$58,0)),"not found"),"")</f>
        <v/>
      </c>
      <c r="O126" s="6" t="str">
        <f>IF(N126="","",IFERROR(INDEX('[1]Data extraction'!$L$2:$L$58,MATCH(N126,'[1]Data extraction'!$AC$2:$AC$58,0)),""))</f>
        <v/>
      </c>
      <c r="P126" s="7" t="str">
        <f t="shared" si="7"/>
        <v>Excluded at title/abstract</v>
      </c>
      <c r="Q126" s="6" t="str">
        <f t="shared" si="8"/>
        <v>Study design</v>
      </c>
      <c r="R126" s="4"/>
    </row>
    <row r="127" spans="1:18" x14ac:dyDescent="0.3">
      <c r="A127" s="4">
        <f>'[1]Abstract review'!C127</f>
        <v>123</v>
      </c>
      <c r="B127" s="4" t="str">
        <f>IFERROR(LEFT('[1]Abstract review'!D127,FIND(";",'[1]Abstract review'!D127)-1),'[1]Abstract review'!D127)</f>
        <v>M. Tacelli</v>
      </c>
      <c r="C127" s="5" t="str">
        <f>'[1]Abstract review'!E127&amp;""</f>
        <v>2025</v>
      </c>
      <c r="D127" s="4" t="str">
        <f>'[1]Abstract review'!F127</f>
        <v>Pancreatic neuroendocrine neoplasms (pNENs): Genetic and environmental biomarkers for risk of occurrence and prognosis</v>
      </c>
      <c r="E127" s="4" t="str">
        <f>IF('[1]Abstract review'!G127="","",'[1]Abstract review'!G127)</f>
        <v>10.1016/j.semcancer.2025.03.005</v>
      </c>
      <c r="F127" s="4" t="str">
        <f>IF('[1]Abstract review'!I127="I","Include → full text",IF('[1]Abstract review'!I127="E","Exclude",IF('[1]Abstract review'!I127="DUP","Duplicate — removed",'[1]Abstract review'!I127)))</f>
        <v>Exclude</v>
      </c>
      <c r="G127" s="4" t="str">
        <f>IF('[1]Abstract review'!I127="E",'[1]Abstract review'!J127,"")</f>
        <v>no pdac</v>
      </c>
      <c r="H127" s="4"/>
      <c r="I127" s="4"/>
      <c r="J127" s="4"/>
      <c r="K127" s="4"/>
      <c r="L127" s="6" t="str">
        <f t="shared" si="5"/>
        <v/>
      </c>
      <c r="M127" s="6" t="str">
        <f t="shared" si="6"/>
        <v/>
      </c>
      <c r="N127" s="6" t="str">
        <f>IF(L127="Include",IFERROR(INDEX('[1]Data extraction'!$AC$2:$AC$58,MATCH(H127+1,'[1]Data extraction'!$AA$2:$AA$58,0)),"not found"),"")</f>
        <v/>
      </c>
      <c r="O127" s="6" t="str">
        <f>IF(N127="","",IFERROR(INDEX('[1]Data extraction'!$L$2:$L$58,MATCH(N127,'[1]Data extraction'!$AC$2:$AC$58,0)),""))</f>
        <v/>
      </c>
      <c r="P127" s="7" t="str">
        <f t="shared" si="7"/>
        <v>Excluded at title/abstract</v>
      </c>
      <c r="Q127" s="6" t="str">
        <f t="shared" si="8"/>
        <v>Population</v>
      </c>
      <c r="R127" s="4"/>
    </row>
    <row r="128" spans="1:18" x14ac:dyDescent="0.3">
      <c r="A128" s="4">
        <f>'[1]Abstract review'!C128</f>
        <v>124</v>
      </c>
      <c r="B128" s="4" t="str">
        <f>IFERROR(LEFT('[1]Abstract review'!D128,FIND(";",'[1]Abstract review'!D128)-1),'[1]Abstract review'!D128)</f>
        <v>Y. N. Sung</v>
      </c>
      <c r="C128" s="5" t="str">
        <f>'[1]Abstract review'!E128&amp;""</f>
        <v>2025</v>
      </c>
      <c r="D128" s="4" t="str">
        <f>'[1]Abstract review'!F128</f>
        <v>Tissue inhibitor of metalloproteinase 1 as a biomarker of venous invasion in pancreatic ductal adenocarcinoma</v>
      </c>
      <c r="E128" s="4" t="str">
        <f>IF('[1]Abstract review'!G128="","",'[1]Abstract review'!G128)</f>
        <v>10.62347/ovuj4436</v>
      </c>
      <c r="F128" s="4" t="str">
        <f>IF('[1]Abstract review'!I128="I","Include → full text",IF('[1]Abstract review'!I128="E","Exclude",IF('[1]Abstract review'!I128="DUP","Duplicate — removed",'[1]Abstract review'!I128)))</f>
        <v>Exclude</v>
      </c>
      <c r="G128" s="4" t="str">
        <f>IF('[1]Abstract review'!I128="E",'[1]Abstract review'!J128,"")</f>
        <v>No survival outcome</v>
      </c>
      <c r="H128" s="4"/>
      <c r="I128" s="4"/>
      <c r="J128" s="4"/>
      <c r="K128" s="4"/>
      <c r="L128" s="6" t="str">
        <f t="shared" si="5"/>
        <v/>
      </c>
      <c r="M128" s="6" t="str">
        <f t="shared" si="6"/>
        <v/>
      </c>
      <c r="N128" s="6" t="str">
        <f>IF(L128="Include",IFERROR(INDEX('[1]Data extraction'!$AC$2:$AC$58,MATCH(H128+1,'[1]Data extraction'!$AA$2:$AA$58,0)),"not found"),"")</f>
        <v/>
      </c>
      <c r="O128" s="6" t="str">
        <f>IF(N128="","",IFERROR(INDEX('[1]Data extraction'!$L$2:$L$58,MATCH(N128,'[1]Data extraction'!$AC$2:$AC$58,0)),""))</f>
        <v/>
      </c>
      <c r="P128" s="7" t="str">
        <f t="shared" si="7"/>
        <v>Excluded at title/abstract</v>
      </c>
      <c r="Q128" s="6" t="str">
        <f t="shared" si="8"/>
        <v>Outcomes</v>
      </c>
      <c r="R128" s="4"/>
    </row>
    <row r="129" spans="1:18" x14ac:dyDescent="0.3">
      <c r="A129" s="4">
        <f>'[1]Abstract review'!C129</f>
        <v>125</v>
      </c>
      <c r="B129" s="4" t="str">
        <f>IFERROR(LEFT('[1]Abstract review'!D129,FIND(";",'[1]Abstract review'!D129)-1),'[1]Abstract review'!D129)</f>
        <v>Y. Sun</v>
      </c>
      <c r="C129" s="5" t="str">
        <f>'[1]Abstract review'!E129&amp;""</f>
        <v>2025</v>
      </c>
      <c r="D129" s="4" t="str">
        <f>'[1]Abstract review'!F129</f>
        <v>ARP2/3 complex affects myofibroblast differentiation and migration in pancreatic ductal adenocarcinoma</v>
      </c>
      <c r="E129" s="4" t="str">
        <f>IF('[1]Abstract review'!G129="","",'[1]Abstract review'!G129)</f>
        <v>10.1002/ijc.35246</v>
      </c>
      <c r="F129" s="4" t="str">
        <f>IF('[1]Abstract review'!I129="I","Include → full text",IF('[1]Abstract review'!I129="E","Exclude",IF('[1]Abstract review'!I129="DUP","Duplicate — removed",'[1]Abstract review'!I129)))</f>
        <v>Exclude</v>
      </c>
      <c r="G129" s="4" t="str">
        <f>IF('[1]Abstract review'!I129="E",'[1]Abstract review'!J129,"")</f>
        <v>Preclinical studies</v>
      </c>
      <c r="H129" s="4"/>
      <c r="I129" s="4"/>
      <c r="J129" s="4"/>
      <c r="K129" s="4"/>
      <c r="L129" s="6" t="str">
        <f t="shared" si="5"/>
        <v/>
      </c>
      <c r="M129" s="6" t="str">
        <f t="shared" si="6"/>
        <v/>
      </c>
      <c r="N129" s="6" t="str">
        <f>IF(L129="Include",IFERROR(INDEX('[1]Data extraction'!$AC$2:$AC$58,MATCH(H129+1,'[1]Data extraction'!$AA$2:$AA$58,0)),"not found"),"")</f>
        <v/>
      </c>
      <c r="O129" s="6" t="str">
        <f>IF(N129="","",IFERROR(INDEX('[1]Data extraction'!$L$2:$L$58,MATCH(N129,'[1]Data extraction'!$AC$2:$AC$58,0)),""))</f>
        <v/>
      </c>
      <c r="P129" s="7" t="str">
        <f t="shared" si="7"/>
        <v>Excluded at title/abstract</v>
      </c>
      <c r="Q129" s="6" t="str">
        <f t="shared" si="8"/>
        <v>Study design</v>
      </c>
      <c r="R129" s="4"/>
    </row>
    <row r="130" spans="1:18" x14ac:dyDescent="0.3">
      <c r="A130" s="4">
        <f>'[1]Abstract review'!C130</f>
        <v>126</v>
      </c>
      <c r="B130" s="4" t="str">
        <f>IFERROR(LEFT('[1]Abstract review'!D130,FIND(";",'[1]Abstract review'!D130)-1),'[1]Abstract review'!D130)</f>
        <v>Rui Zhuang Sun</v>
      </c>
      <c r="C130" s="5" t="str">
        <f>'[1]Abstract review'!E130&amp;""</f>
        <v>2025</v>
      </c>
      <c r="D130" s="4" t="str">
        <f>'[1]Abstract review'!F130</f>
        <v>Analysis of the SH3-Domain Kinase Binding Protein 1 Predictive Model for Pancreatic Ductal Adenocarcinoma and CCCTC-Binding Factor Transcriptional Regulatory Study</v>
      </c>
      <c r="E130" s="4" t="str">
        <f>IF('[1]Abstract review'!G130="","",'[1]Abstract review'!G130)</f>
        <v>10.14740/wjon2668</v>
      </c>
      <c r="F130" s="4" t="str">
        <f>IF('[1]Abstract review'!I130="I","Include → full text",IF('[1]Abstract review'!I130="E","Exclude",IF('[1]Abstract review'!I130="DUP","Duplicate — removed",'[1]Abstract review'!I130)))</f>
        <v>Include → full text</v>
      </c>
      <c r="G130" s="4" t="str">
        <f>IF('[1]Abstract review'!I130="E",'[1]Abstract review'!J130,"")</f>
        <v/>
      </c>
      <c r="H130" s="4">
        <f>'[1]Full-text screening-extraction'!A65</f>
        <v>64</v>
      </c>
      <c r="I130" s="4" t="str">
        <f>IF('[1]Full-text screening-extraction'!AB65="","",'[1]Full-text screening-extraction'!AB65)</f>
        <v>no</v>
      </c>
      <c r="J130" s="4" t="str">
        <f>IF('[1]Full-text screening-extraction'!AC65="","",'[1]Full-text screening-extraction'!AC65)</f>
        <v>NA</v>
      </c>
      <c r="K130" s="4" t="str">
        <f>IF('[1]Full-text screening-extraction'!AG65="","",'[1]Full-text screening-extraction'!AG65)</f>
        <v/>
      </c>
      <c r="L130" s="6" t="str">
        <f t="shared" si="5"/>
        <v>Exclude</v>
      </c>
      <c r="M130" s="6" t="str">
        <f t="shared" si="6"/>
        <v>No adjusted multivariable model fitted</v>
      </c>
      <c r="N130" s="6" t="str">
        <f>IF(L130="Include",IFERROR(INDEX('[1]Data extraction'!$AC$2:$AC$58,MATCH(H130+1,'[1]Data extraction'!$AA$2:$AA$58,0)),"not found"),"")</f>
        <v/>
      </c>
      <c r="O130" s="6" t="str">
        <f>IF(N130="","",IFERROR(INDEX('[1]Data extraction'!$L$2:$L$58,MATCH(N130,'[1]Data extraction'!$AC$2:$AC$58,0)),""))</f>
        <v/>
      </c>
      <c r="P130" s="7" t="str">
        <f t="shared" si="7"/>
        <v>Excluded at full text</v>
      </c>
      <c r="Q130" s="6" t="str">
        <f t="shared" si="8"/>
        <v>Analysis &amp; synthesis eligibility</v>
      </c>
      <c r="R130" s="4" t="str">
        <f>IF(P130&lt;&gt;"INCLUDED","",'[1]Full-text screening-extraction'!M65&amp;" ("&amp;'[1]Full-text screening-extraction'!K65&amp;"); outcome: "&amp;'[1]Full-text screening-extraction'!P65&amp;"; multivariable: "&amp;LEFT('[1]Full-text screening-extraction'!T65,120)&amp;" | adjusted for: "&amp;LEFT('[1]Full-text screening-extraction'!U65,100))</f>
        <v/>
      </c>
    </row>
    <row r="131" spans="1:18" x14ac:dyDescent="0.3">
      <c r="A131" s="4">
        <f>'[1]Abstract review'!C131</f>
        <v>127</v>
      </c>
      <c r="B131" s="4" t="str">
        <f>IFERROR(LEFT('[1]Abstract review'!D131,FIND(";",'[1]Abstract review'!D131)-1),'[1]Abstract review'!D131)</f>
        <v>D. Su</v>
      </c>
      <c r="C131" s="5" t="str">
        <f>'[1]Abstract review'!E131&amp;""</f>
        <v>2025</v>
      </c>
      <c r="D131" s="4" t="str">
        <f>'[1]Abstract review'!F131</f>
        <v>Molecular Subtyping and Genomic Profiling Expand Precision Medicine in KRAS Wild-Type Pancreatic Cancer</v>
      </c>
      <c r="E131" s="4" t="str">
        <f>IF('[1]Abstract review'!G131="","",'[1]Abstract review'!G131)</f>
        <v>10.1111/cas.16456</v>
      </c>
      <c r="F131" s="4" t="str">
        <f>IF('[1]Abstract review'!I131="I","Include → full text",IF('[1]Abstract review'!I131="E","Exclude",IF('[1]Abstract review'!I131="DUP","Duplicate — removed",'[1]Abstract review'!I131)))</f>
        <v>Exclude</v>
      </c>
      <c r="G131" s="4" t="str">
        <f>IF('[1]Abstract review'!I131="E",'[1]Abstract review'!J131,"")</f>
        <v>No prognostic value</v>
      </c>
      <c r="H131" s="4"/>
      <c r="I131" s="4"/>
      <c r="J131" s="4"/>
      <c r="K131" s="4"/>
      <c r="L131" s="6" t="str">
        <f t="shared" si="5"/>
        <v/>
      </c>
      <c r="M131" s="6" t="str">
        <f t="shared" si="6"/>
        <v/>
      </c>
      <c r="N131" s="6" t="str">
        <f>IF(L131="Include",IFERROR(INDEX('[1]Data extraction'!$AC$2:$AC$58,MATCH(H131+1,'[1]Data extraction'!$AA$2:$AA$58,0)),"not found"),"")</f>
        <v/>
      </c>
      <c r="O131" s="6" t="str">
        <f>IF(N131="","",IFERROR(INDEX('[1]Data extraction'!$L$2:$L$58,MATCH(N131,'[1]Data extraction'!$AC$2:$AC$58,0)),""))</f>
        <v/>
      </c>
      <c r="P131" s="7" t="str">
        <f t="shared" si="7"/>
        <v>Excluded at title/abstract</v>
      </c>
      <c r="Q131" s="6" t="str">
        <f t="shared" si="8"/>
        <v>Outcomes</v>
      </c>
      <c r="R131" s="4"/>
    </row>
    <row r="132" spans="1:18" x14ac:dyDescent="0.3">
      <c r="A132" s="4">
        <f>'[1]Abstract review'!C132</f>
        <v>128</v>
      </c>
      <c r="B132" s="4" t="str">
        <f>IFERROR(LEFT('[1]Abstract review'!D132,FIND(";",'[1]Abstract review'!D132)-1),'[1]Abstract review'!D132)</f>
        <v>N. G. Steele</v>
      </c>
      <c r="C132" s="5" t="str">
        <f>'[1]Abstract review'!E132&amp;""</f>
        <v>2025</v>
      </c>
      <c r="D132" s="4" t="str">
        <f>'[1]Abstract review'!F132</f>
        <v>Primary and metastatic cellular landscapes in human pancreatic cancer</v>
      </c>
      <c r="E132" s="4" t="str">
        <f>IF('[1]Abstract review'!G132="","",'[1]Abstract review'!G132)</f>
        <v>10.1016/j.isci.2025.113012</v>
      </c>
      <c r="F132" s="4" t="str">
        <f>IF('[1]Abstract review'!I132="I","Include → full text",IF('[1]Abstract review'!I132="E","Exclude",IF('[1]Abstract review'!I132="DUP","Duplicate — removed",'[1]Abstract review'!I132)))</f>
        <v>Include → full text</v>
      </c>
      <c r="G132" s="4" t="str">
        <f>IF('[1]Abstract review'!I132="E",'[1]Abstract review'!J132,"")</f>
        <v/>
      </c>
      <c r="H132" s="4">
        <f>'[1]Full-text screening-extraction'!A66</f>
        <v>65</v>
      </c>
      <c r="I132" s="4" t="str">
        <f>IF('[1]Full-text screening-extraction'!AB66="","",'[1]Full-text screening-extraction'!AB66)</f>
        <v>no</v>
      </c>
      <c r="J132" s="4" t="str">
        <f>IF('[1]Full-text screening-extraction'!AC66="","",'[1]Full-text screening-extraction'!AC66)</f>
        <v>NA</v>
      </c>
      <c r="K132" s="4" t="str">
        <f>IF('[1]Full-text screening-extraction'!AG66="","",'[1]Full-text screening-extraction'!AG66)</f>
        <v/>
      </c>
      <c r="L132" s="6" t="str">
        <f t="shared" si="5"/>
        <v>Exclude</v>
      </c>
      <c r="M132" s="6" t="str">
        <f t="shared" si="6"/>
        <v>No adjusted multivariable model fitted</v>
      </c>
      <c r="N132" s="6" t="str">
        <f>IF(L132="Include",IFERROR(INDEX('[1]Data extraction'!$AC$2:$AC$58,MATCH(H132+1,'[1]Data extraction'!$AA$2:$AA$58,0)),"not found"),"")</f>
        <v/>
      </c>
      <c r="O132" s="6" t="str">
        <f>IF(N132="","",IFERROR(INDEX('[1]Data extraction'!$L$2:$L$58,MATCH(N132,'[1]Data extraction'!$AC$2:$AC$58,0)),""))</f>
        <v/>
      </c>
      <c r="P132" s="7" t="str">
        <f t="shared" si="7"/>
        <v>Excluded at full text</v>
      </c>
      <c r="Q132" s="6" t="str">
        <f t="shared" si="8"/>
        <v>Analysis &amp; synthesis eligibility</v>
      </c>
      <c r="R132" s="4" t="str">
        <f>IF(P132&lt;&gt;"INCLUDED","",'[1]Full-text screening-extraction'!M66&amp;" ("&amp;'[1]Full-text screening-extraction'!K66&amp;"); outcome: "&amp;'[1]Full-text screening-extraction'!P66&amp;"; multivariable: "&amp;LEFT('[1]Full-text screening-extraction'!T66,120)&amp;" | adjusted for: "&amp;LEFT('[1]Full-text screening-extraction'!U66,100))</f>
        <v/>
      </c>
    </row>
    <row r="133" spans="1:18" x14ac:dyDescent="0.3">
      <c r="A133" s="4">
        <f>'[1]Abstract review'!C133</f>
        <v>129</v>
      </c>
      <c r="B133" s="4" t="str">
        <f>IFERROR(LEFT('[1]Abstract review'!D133,FIND(";",'[1]Abstract review'!D133)-1),'[1]Abstract review'!D133)</f>
        <v>S. M. Stålberg</v>
      </c>
      <c r="C133" s="5" t="str">
        <f>'[1]Abstract review'!E133&amp;""</f>
        <v>2025</v>
      </c>
      <c r="D133" s="4" t="str">
        <f>'[1]Abstract review'!F133</f>
        <v>Elevated KRAS protein level is associated with better survival in pancreatic cancer</v>
      </c>
      <c r="E133" s="4" t="str">
        <f>IF('[1]Abstract review'!G133="","",'[1]Abstract review'!G133)</f>
        <v>10.1186/s12885-025-14461-w</v>
      </c>
      <c r="F133" s="4" t="str">
        <f>IF('[1]Abstract review'!I133="I","Include → full text",IF('[1]Abstract review'!I133="E","Exclude",IF('[1]Abstract review'!I133="DUP","Duplicate — removed",'[1]Abstract review'!I133)))</f>
        <v>Include → full text</v>
      </c>
      <c r="G133" s="4" t="str">
        <f>IF('[1]Abstract review'!I133="E",'[1]Abstract review'!J133,"")</f>
        <v/>
      </c>
      <c r="H133" s="4">
        <f>'[1]Full-text screening-extraction'!A67</f>
        <v>66</v>
      </c>
      <c r="I133" s="4" t="str">
        <f>IF('[1]Full-text screening-extraction'!AB67="","",'[1]Full-text screening-extraction'!AB67)</f>
        <v>yes</v>
      </c>
      <c r="J133" s="4" t="str">
        <f>IF('[1]Full-text screening-extraction'!AC67="","",'[1]Full-text screening-extraction'!AC67)</f>
        <v>yes</v>
      </c>
      <c r="K133" s="4" t="str">
        <f>IF('[1]Full-text screening-extraction'!AG67="","",'[1]Full-text screening-extraction'!AG67)</f>
        <v/>
      </c>
      <c r="L133" s="6" t="str">
        <f t="shared" ref="L133:L196" si="9">IF(H133="","",IF(K133&lt;&gt;"","Exclude",IF(J133="yes","Include","Exclude")))</f>
        <v>Include</v>
      </c>
      <c r="M133" s="6" t="str">
        <f t="shared" ref="M133:M196" si="10">IF(L133&lt;&gt;"Exclude","",IF(K133&lt;&gt;"",IF(ISNUMBER(SEARCH("biomarker modality",K133)),"Biomarker modality not transcriptomic/proteomic","Primary question not prognostic; adjustment unclear"),IF(J133="NA","No adjusted multivariable model fitted",IF(J133="no","Biomarker not independent after adjustment","Unclear whether an adjusted model was fitted"))))</f>
        <v/>
      </c>
      <c r="N133" s="6" t="str">
        <f>IF(L133="Include",IFERROR(INDEX('[1]Data extraction'!$AC$2:$AC$58,MATCH(H133+1,'[1]Data extraction'!$AA$2:$AA$58,0)),"not found"),"")</f>
        <v>EV-41</v>
      </c>
      <c r="O133" s="6" t="str">
        <f>IF(N133="","",IFERROR(INDEX('[1]Data extraction'!$L$2:$L$58,MATCH(N133,'[1]Data extraction'!$AC$2:$AC$58,0)),""))</f>
        <v>B</v>
      </c>
      <c r="P133" s="7" t="str">
        <f t="shared" ref="P133:P196" si="11">IF(F133="Exclude","Excluded at title/abstract",IF(LEFT(F133,9)="Duplicate","Duplicate removed",IF(L133="Include","INCLUDED","Excluded at full text")))</f>
        <v>INCLUDED</v>
      </c>
      <c r="Q133" s="6" t="str">
        <f t="shared" ref="Q133:Q196" si="12">IF(P133="INCLUDED",$W$23,IFERROR(INDEX($W$5:$W$22,MATCH(IF(G133&lt;&gt;"",G133,M133),$V$5:$V$22,0)),IF(P133="Duplicate removed","Duplicate record","")))</f>
        <v>All PICOS rows + Independent prognostic value</v>
      </c>
      <c r="R133" s="4" t="str">
        <f>IF(P133&lt;&gt;"INCLUDED","",'[1]Full-text screening-extraction'!M67&amp;" ("&amp;'[1]Full-text screening-extraction'!K67&amp;"); outcome: "&amp;'[1]Full-text screening-extraction'!P67&amp;"; multivariable: "&amp;LEFT('[1]Full-text screening-extraction'!T67,120)&amp;" | adjusted for: "&amp;LEFT('[1]Full-text screening-extraction'!U67,100))</f>
        <v xml:space="preserve">KRAS protein level, KRAS mRNA expression, KRAS mutation status/subtype (Proteomics, transcriptomics, mutation analysis); outcome: Overall survival (OS); multivariable: KRAS protein level and KRAS mutation status were independently associated with OS in Cox model; KRAS mRNA was not | adjusted for: Clinicopathological variables considered included age, sex, blood type, CA19-9, surgery type, tumor </v>
      </c>
    </row>
    <row r="134" spans="1:18" x14ac:dyDescent="0.3">
      <c r="A134" s="4">
        <f>'[1]Abstract review'!C134</f>
        <v>130</v>
      </c>
      <c r="B134" s="4" t="str">
        <f>IFERROR(LEFT('[1]Abstract review'!D134,FIND(";",'[1]Abstract review'!D134)-1),'[1]Abstract review'!D134)</f>
        <v>P. Sousa</v>
      </c>
      <c r="C134" s="5" t="str">
        <f>'[1]Abstract review'!E134&amp;""</f>
        <v>2025</v>
      </c>
      <c r="D134" s="4" t="str">
        <f>'[1]Abstract review'!F134</f>
        <v>Integrating OMICS-based platforms and analytical tools for diagnosis and management of pancreatic cancer: a review</v>
      </c>
      <c r="E134" s="4" t="str">
        <f>IF('[1]Abstract review'!G134="","",'[1]Abstract review'!G134)</f>
        <v>10.1039/d4mo00187g</v>
      </c>
      <c r="F134" s="4" t="str">
        <f>IF('[1]Abstract review'!I134="I","Include → full text",IF('[1]Abstract review'!I134="E","Exclude",IF('[1]Abstract review'!I134="DUP","Duplicate — removed",'[1]Abstract review'!I134)))</f>
        <v>Exclude</v>
      </c>
      <c r="G134" s="4" t="str">
        <f>IF('[1]Abstract review'!I134="E",'[1]Abstract review'!J134,"")</f>
        <v>Review</v>
      </c>
      <c r="H134" s="4"/>
      <c r="I134" s="4"/>
      <c r="J134" s="4"/>
      <c r="K134" s="4"/>
      <c r="L134" s="6" t="str">
        <f t="shared" si="9"/>
        <v/>
      </c>
      <c r="M134" s="6" t="str">
        <f t="shared" si="10"/>
        <v/>
      </c>
      <c r="N134" s="6" t="str">
        <f>IF(L134="Include",IFERROR(INDEX('[1]Data extraction'!$AC$2:$AC$58,MATCH(H134+1,'[1]Data extraction'!$AA$2:$AA$58,0)),"not found"),"")</f>
        <v/>
      </c>
      <c r="O134" s="6" t="str">
        <f>IF(N134="","",IFERROR(INDEX('[1]Data extraction'!$L$2:$L$58,MATCH(N134,'[1]Data extraction'!$AC$2:$AC$58,0)),""))</f>
        <v/>
      </c>
      <c r="P134" s="7" t="str">
        <f t="shared" si="11"/>
        <v>Excluded at title/abstract</v>
      </c>
      <c r="Q134" s="6" t="str">
        <f t="shared" si="12"/>
        <v>Study design</v>
      </c>
      <c r="R134" s="4"/>
    </row>
    <row r="135" spans="1:18" x14ac:dyDescent="0.3">
      <c r="A135" s="4">
        <f>'[1]Abstract review'!C135</f>
        <v>131</v>
      </c>
      <c r="B135" s="4" t="str">
        <f>IFERROR(LEFT('[1]Abstract review'!D135,FIND(";",'[1]Abstract review'!D135)-1),'[1]Abstract review'!D135)</f>
        <v>Dahlak D. Solomon</v>
      </c>
      <c r="C135" s="5" t="str">
        <f>'[1]Abstract review'!E135&amp;""</f>
        <v>2025</v>
      </c>
      <c r="D135" s="4" t="str">
        <f>'[1]Abstract review'!F135</f>
        <v>A machine learning framework using urinary biomarkers for pancreatic ductal adenocarcinoma prediction with post hoc validation via single-cell transcriptomics</v>
      </c>
      <c r="E135" s="4" t="str">
        <f>IF('[1]Abstract review'!G135="","",'[1]Abstract review'!G135)</f>
        <v>10.1093/bib/bbaf583</v>
      </c>
      <c r="F135" s="4" t="str">
        <f>IF('[1]Abstract review'!I135="I","Include → full text",IF('[1]Abstract review'!I135="E","Exclude",IF('[1]Abstract review'!I135="DUP","Duplicate — removed",'[1]Abstract review'!I135)))</f>
        <v>Exclude</v>
      </c>
      <c r="G135" s="4" t="str">
        <f>IF('[1]Abstract review'!I135="E",'[1]Abstract review'!J135,"")</f>
        <v>Diagnostic value</v>
      </c>
      <c r="H135" s="4"/>
      <c r="I135" s="4"/>
      <c r="J135" s="4"/>
      <c r="K135" s="4"/>
      <c r="L135" s="6" t="str">
        <f t="shared" si="9"/>
        <v/>
      </c>
      <c r="M135" s="6" t="str">
        <f t="shared" si="10"/>
        <v/>
      </c>
      <c r="N135" s="6" t="str">
        <f>IF(L135="Include",IFERROR(INDEX('[1]Data extraction'!$AC$2:$AC$58,MATCH(H135+1,'[1]Data extraction'!$AA$2:$AA$58,0)),"not found"),"")</f>
        <v/>
      </c>
      <c r="O135" s="6" t="str">
        <f>IF(N135="","",IFERROR(INDEX('[1]Data extraction'!$L$2:$L$58,MATCH(N135,'[1]Data extraction'!$AC$2:$AC$58,0)),""))</f>
        <v/>
      </c>
      <c r="P135" s="7" t="str">
        <f t="shared" si="11"/>
        <v>Excluded at title/abstract</v>
      </c>
      <c r="Q135" s="6" t="str">
        <f t="shared" si="12"/>
        <v>Outcomes</v>
      </c>
      <c r="R135" s="4"/>
    </row>
    <row r="136" spans="1:18" x14ac:dyDescent="0.3">
      <c r="A136" s="4">
        <f>'[1]Abstract review'!C136</f>
        <v>132</v>
      </c>
      <c r="B136" s="4" t="str">
        <f>IFERROR(LEFT('[1]Abstract review'!D136,FIND(";",'[1]Abstract review'!D136)-1),'[1]Abstract review'!D136)</f>
        <v>Kazuyuki Sogawa</v>
      </c>
      <c r="C136" s="5" t="str">
        <f>'[1]Abstract review'!E136&amp;""</f>
        <v>2025</v>
      </c>
      <c r="D136" s="4" t="str">
        <f>'[1]Abstract review'!F136</f>
        <v>Serum fucosylated receptor expression-enhancing protein 5 as a biomarker for early stage pancreatic cancer</v>
      </c>
      <c r="E136" s="4" t="str">
        <f>IF('[1]Abstract review'!G136="","",'[1]Abstract review'!G136)</f>
        <v>10.3892/ol.2025.15302</v>
      </c>
      <c r="F136" s="4" t="str">
        <f>IF('[1]Abstract review'!I136="I","Include → full text",IF('[1]Abstract review'!I136="E","Exclude",IF('[1]Abstract review'!I136="DUP","Duplicate — removed",'[1]Abstract review'!I136)))</f>
        <v>Exclude</v>
      </c>
      <c r="G136" s="4" t="str">
        <f>IF('[1]Abstract review'!I136="E",'[1]Abstract review'!J136,"")</f>
        <v>Diagnostic value</v>
      </c>
      <c r="H136" s="4"/>
      <c r="I136" s="4"/>
      <c r="J136" s="4"/>
      <c r="K136" s="4"/>
      <c r="L136" s="6" t="str">
        <f t="shared" si="9"/>
        <v/>
      </c>
      <c r="M136" s="6" t="str">
        <f t="shared" si="10"/>
        <v/>
      </c>
      <c r="N136" s="6" t="str">
        <f>IF(L136="Include",IFERROR(INDEX('[1]Data extraction'!$AC$2:$AC$58,MATCH(H136+1,'[1]Data extraction'!$AA$2:$AA$58,0)),"not found"),"")</f>
        <v/>
      </c>
      <c r="O136" s="6" t="str">
        <f>IF(N136="","",IFERROR(INDEX('[1]Data extraction'!$L$2:$L$58,MATCH(N136,'[1]Data extraction'!$AC$2:$AC$58,0)),""))</f>
        <v/>
      </c>
      <c r="P136" s="7" t="str">
        <f t="shared" si="11"/>
        <v>Excluded at title/abstract</v>
      </c>
      <c r="Q136" s="6" t="str">
        <f t="shared" si="12"/>
        <v>Outcomes</v>
      </c>
      <c r="R136" s="4"/>
    </row>
    <row r="137" spans="1:18" x14ac:dyDescent="0.3">
      <c r="A137" s="4">
        <f>'[1]Abstract review'!C137</f>
        <v>133</v>
      </c>
      <c r="B137" s="4" t="str">
        <f>IFERROR(LEFT('[1]Abstract review'!D137,FIND(";",'[1]Abstract review'!D137)-1),'[1]Abstract review'!D137)</f>
        <v>D. N. Sidiropoulos</v>
      </c>
      <c r="C137" s="5" t="str">
        <f>'[1]Abstract review'!E137&amp;""</f>
        <v>2025</v>
      </c>
      <c r="D137" s="4" t="str">
        <f>'[1]Abstract review'!F137</f>
        <v>Neoadjuvant Immunotherapy Promotes the Formation of Mature Tertiary Lymphoid Structures in a Remodeled Pancreatic Tumor Microenvironment</v>
      </c>
      <c r="E137" s="4" t="str">
        <f>IF('[1]Abstract review'!G137="","",'[1]Abstract review'!G137)</f>
        <v>10.1158/2326-6066.Cir-25-0387</v>
      </c>
      <c r="F137" s="4" t="str">
        <f>IF('[1]Abstract review'!I137="I","Include → full text",IF('[1]Abstract review'!I137="E","Exclude",IF('[1]Abstract review'!I137="DUP","Duplicate — removed",'[1]Abstract review'!I137)))</f>
        <v>Include → full text</v>
      </c>
      <c r="G137" s="4" t="str">
        <f>IF('[1]Abstract review'!I137="E",'[1]Abstract review'!J137,"")</f>
        <v/>
      </c>
      <c r="H137" s="4">
        <f>'[1]Full-text screening-extraction'!A68</f>
        <v>67</v>
      </c>
      <c r="I137" s="4" t="str">
        <f>IF('[1]Full-text screening-extraction'!AB68="","",'[1]Full-text screening-extraction'!AB68)</f>
        <v>no</v>
      </c>
      <c r="J137" s="4" t="str">
        <f>IF('[1]Full-text screening-extraction'!AC68="","",'[1]Full-text screening-extraction'!AC68)</f>
        <v>NA</v>
      </c>
      <c r="K137" s="4" t="str">
        <f>IF('[1]Full-text screening-extraction'!AG68="","",'[1]Full-text screening-extraction'!AG68)</f>
        <v/>
      </c>
      <c r="L137" s="6" t="str">
        <f t="shared" si="9"/>
        <v>Exclude</v>
      </c>
      <c r="M137" s="6" t="str">
        <f t="shared" si="10"/>
        <v>No adjusted multivariable model fitted</v>
      </c>
      <c r="N137" s="6" t="str">
        <f>IF(L137="Include",IFERROR(INDEX('[1]Data extraction'!$AC$2:$AC$58,MATCH(H137+1,'[1]Data extraction'!$AA$2:$AA$58,0)),"not found"),"")</f>
        <v/>
      </c>
      <c r="O137" s="6" t="str">
        <f>IF(N137="","",IFERROR(INDEX('[1]Data extraction'!$L$2:$L$58,MATCH(N137,'[1]Data extraction'!$AC$2:$AC$58,0)),""))</f>
        <v/>
      </c>
      <c r="P137" s="7" t="str">
        <f t="shared" si="11"/>
        <v>Excluded at full text</v>
      </c>
      <c r="Q137" s="6" t="str">
        <f t="shared" si="12"/>
        <v>Analysis &amp; synthesis eligibility</v>
      </c>
      <c r="R137" s="4" t="str">
        <f>IF(P137&lt;&gt;"INCLUDED","",'[1]Full-text screening-extraction'!M68&amp;" ("&amp;'[1]Full-text screening-extraction'!K68&amp;"); outcome: "&amp;'[1]Full-text screening-extraction'!P68&amp;"; multivariable: "&amp;LEFT('[1]Full-text screening-extraction'!T68,120)&amp;" | adjusted for: "&amp;LEFT('[1]Full-text screening-extraction'!U68,100))</f>
        <v/>
      </c>
    </row>
    <row r="138" spans="1:18" x14ac:dyDescent="0.3">
      <c r="A138" s="4">
        <f>'[1]Abstract review'!C138</f>
        <v>134</v>
      </c>
      <c r="B138" s="4" t="str">
        <f>IFERROR(LEFT('[1]Abstract review'!D138,FIND(";",'[1]Abstract review'!D138)-1),'[1]Abstract review'!D138)</f>
        <v>Q. A. Shu</v>
      </c>
      <c r="C138" s="5" t="str">
        <f>'[1]Abstract review'!E138&amp;""</f>
        <v>2025</v>
      </c>
      <c r="D138" s="4" t="str">
        <f>'[1]Abstract review'!F138</f>
        <v>ARHGAP11A is a potential prognostic biomarker and therapeutic target for pancreatic adenocarcinoma</v>
      </c>
      <c r="E138" s="4" t="str">
        <f>IF('[1]Abstract review'!G138="","",'[1]Abstract review'!G138)</f>
        <v>10.1016/j.biocel.2025.106804</v>
      </c>
      <c r="F138" s="4" t="str">
        <f>IF('[1]Abstract review'!I138="I","Include → full text",IF('[1]Abstract review'!I138="E","Exclude",IF('[1]Abstract review'!I138="DUP","Duplicate — removed",'[1]Abstract review'!I138)))</f>
        <v>Include → full text</v>
      </c>
      <c r="G138" s="4" t="str">
        <f>IF('[1]Abstract review'!I138="E",'[1]Abstract review'!J138,"")</f>
        <v/>
      </c>
      <c r="H138" s="4">
        <f>'[1]Full-text screening-extraction'!A69</f>
        <v>68</v>
      </c>
      <c r="I138" s="4" t="str">
        <f>IF('[1]Full-text screening-extraction'!AB69="","",'[1]Full-text screening-extraction'!AB69)</f>
        <v>unclear</v>
      </c>
      <c r="J138" s="4" t="str">
        <f>IF('[1]Full-text screening-extraction'!AC69="","",'[1]Full-text screening-extraction'!AC69)</f>
        <v>unclear</v>
      </c>
      <c r="K138" s="4" t="str">
        <f>IF('[1]Full-text screening-extraction'!AG69="","",'[1]Full-text screening-extraction'!AG69)</f>
        <v/>
      </c>
      <c r="L138" s="6" t="str">
        <f t="shared" si="9"/>
        <v>Exclude</v>
      </c>
      <c r="M138" s="6" t="str">
        <f t="shared" si="10"/>
        <v>Unclear whether an adjusted model was fitted</v>
      </c>
      <c r="N138" s="6" t="str">
        <f>IF(L138="Include",IFERROR(INDEX('[1]Data extraction'!$AC$2:$AC$58,MATCH(H138+1,'[1]Data extraction'!$AA$2:$AA$58,0)),"not found"),"")</f>
        <v/>
      </c>
      <c r="O138" s="6" t="str">
        <f>IF(N138="","",IFERROR(INDEX('[1]Data extraction'!$L$2:$L$58,MATCH(N138,'[1]Data extraction'!$AC$2:$AC$58,0)),""))</f>
        <v/>
      </c>
      <c r="P138" s="7" t="str">
        <f t="shared" si="11"/>
        <v>Excluded at full text</v>
      </c>
      <c r="Q138" s="6" t="str">
        <f t="shared" si="12"/>
        <v>Analysis &amp; synthesis eligibility</v>
      </c>
      <c r="R138" s="4" t="str">
        <f>IF(P138&lt;&gt;"INCLUDED","",'[1]Full-text screening-extraction'!M69&amp;" ("&amp;'[1]Full-text screening-extraction'!K69&amp;"); outcome: "&amp;'[1]Full-text screening-extraction'!P69&amp;"; multivariable: "&amp;LEFT('[1]Full-text screening-extraction'!T69,120)&amp;" | adjusted for: "&amp;LEFT('[1]Full-text screening-extraction'!U69,100))</f>
        <v/>
      </c>
    </row>
    <row r="139" spans="1:18" x14ac:dyDescent="0.3">
      <c r="A139" s="4">
        <f>'[1]Abstract review'!C139</f>
        <v>135</v>
      </c>
      <c r="B139" s="4" t="str">
        <f>IFERROR(LEFT('[1]Abstract review'!D139,FIND(";",'[1]Abstract review'!D139)-1),'[1]Abstract review'!D139)</f>
        <v>Y. Shi</v>
      </c>
      <c r="C139" s="5" t="str">
        <f>'[1]Abstract review'!E139&amp;""</f>
        <v>2025</v>
      </c>
      <c r="D139" s="4" t="str">
        <f>'[1]Abstract review'!F139</f>
        <v>METTL3/IGF2BP3 mediates ORC6 via N6-methyladenosine modification to promote the progression of pancreatic ductal adenocarcinoma</v>
      </c>
      <c r="E139" s="4" t="str">
        <f>IF('[1]Abstract review'!G139="","",'[1]Abstract review'!G139)</f>
        <v>10.1016/j.gene.2025.149468</v>
      </c>
      <c r="F139" s="4" t="str">
        <f>IF('[1]Abstract review'!I139="I","Include → full text",IF('[1]Abstract review'!I139="E","Exclude",IF('[1]Abstract review'!I139="DUP","Duplicate — removed",'[1]Abstract review'!I139)))</f>
        <v>Exclude</v>
      </c>
      <c r="G139" s="4" t="str">
        <f>IF('[1]Abstract review'!I139="E",'[1]Abstract review'!J139,"")</f>
        <v>No survival outcome</v>
      </c>
      <c r="H139" s="4"/>
      <c r="I139" s="4"/>
      <c r="J139" s="4"/>
      <c r="K139" s="4"/>
      <c r="L139" s="6" t="str">
        <f t="shared" si="9"/>
        <v/>
      </c>
      <c r="M139" s="6" t="str">
        <f t="shared" si="10"/>
        <v/>
      </c>
      <c r="N139" s="6" t="str">
        <f>IF(L139="Include",IFERROR(INDEX('[1]Data extraction'!$AC$2:$AC$58,MATCH(H139+1,'[1]Data extraction'!$AA$2:$AA$58,0)),"not found"),"")</f>
        <v/>
      </c>
      <c r="O139" s="6" t="str">
        <f>IF(N139="","",IFERROR(INDEX('[1]Data extraction'!$L$2:$L$58,MATCH(N139,'[1]Data extraction'!$AC$2:$AC$58,0)),""))</f>
        <v/>
      </c>
      <c r="P139" s="7" t="str">
        <f t="shared" si="11"/>
        <v>Excluded at title/abstract</v>
      </c>
      <c r="Q139" s="6" t="str">
        <f t="shared" si="12"/>
        <v>Outcomes</v>
      </c>
      <c r="R139" s="4"/>
    </row>
    <row r="140" spans="1:18" x14ac:dyDescent="0.3">
      <c r="A140" s="4">
        <f>'[1]Abstract review'!C140</f>
        <v>136</v>
      </c>
      <c r="B140" s="4" t="str">
        <f>IFERROR(LEFT('[1]Abstract review'!D140,FIND(";",'[1]Abstract review'!D140)-1),'[1]Abstract review'!D140)</f>
        <v>M. Shi</v>
      </c>
      <c r="C140" s="5" t="str">
        <f>'[1]Abstract review'!E140&amp;""</f>
        <v>2025</v>
      </c>
      <c r="D140" s="4" t="str">
        <f>'[1]Abstract review'!F140</f>
        <v>Senescence-driven molecular subtyping in pancreatic cancer: a multi-omics framework for precision medicine</v>
      </c>
      <c r="E140" s="4" t="str">
        <f>IF('[1]Abstract review'!G140="","",'[1]Abstract review'!G140)</f>
        <v>10.1186/s12885-025-15341-z</v>
      </c>
      <c r="F140" s="4" t="str">
        <f>IF('[1]Abstract review'!I140="I","Include → full text",IF('[1]Abstract review'!I140="E","Exclude",IF('[1]Abstract review'!I140="DUP","Duplicate — removed",'[1]Abstract review'!I140)))</f>
        <v>Exclude</v>
      </c>
      <c r="G140" s="4" t="str">
        <f>IF('[1]Abstract review'!I140="E",'[1]Abstract review'!J140,"")</f>
        <v>No survival outcome</v>
      </c>
      <c r="H140" s="4"/>
      <c r="I140" s="4"/>
      <c r="J140" s="4"/>
      <c r="K140" s="4"/>
      <c r="L140" s="6" t="str">
        <f t="shared" si="9"/>
        <v/>
      </c>
      <c r="M140" s="6" t="str">
        <f t="shared" si="10"/>
        <v/>
      </c>
      <c r="N140" s="6" t="str">
        <f>IF(L140="Include",IFERROR(INDEX('[1]Data extraction'!$AC$2:$AC$58,MATCH(H140+1,'[1]Data extraction'!$AA$2:$AA$58,0)),"not found"),"")</f>
        <v/>
      </c>
      <c r="O140" s="6" t="str">
        <f>IF(N140="","",IFERROR(INDEX('[1]Data extraction'!$L$2:$L$58,MATCH(N140,'[1]Data extraction'!$AC$2:$AC$58,0)),""))</f>
        <v/>
      </c>
      <c r="P140" s="7" t="str">
        <f t="shared" si="11"/>
        <v>Excluded at title/abstract</v>
      </c>
      <c r="Q140" s="6" t="str">
        <f t="shared" si="12"/>
        <v>Outcomes</v>
      </c>
      <c r="R140" s="4"/>
    </row>
    <row r="141" spans="1:18" x14ac:dyDescent="0.3">
      <c r="A141" s="4">
        <f>'[1]Abstract review'!C141</f>
        <v>137</v>
      </c>
      <c r="B141" s="4" t="str">
        <f>IFERROR(LEFT('[1]Abstract review'!D141,FIND(";",'[1]Abstract review'!D141)-1),'[1]Abstract review'!D141)</f>
        <v>S. Shen</v>
      </c>
      <c r="C141" s="5" t="str">
        <f>'[1]Abstract review'!E141&amp;""</f>
        <v>2025</v>
      </c>
      <c r="D141" s="4" t="str">
        <f>'[1]Abstract review'!F141</f>
        <v>Single-cell transcriptomic analysis reveals key cell types and pathogenic genes associated with metastasis in pancreatic adenocarcinoma</v>
      </c>
      <c r="E141" s="4" t="str">
        <f>IF('[1]Abstract review'!G141="","",'[1]Abstract review'!G141)</f>
        <v>10.1007/s10238-025-01974-8</v>
      </c>
      <c r="F141" s="4" t="str">
        <f>IF('[1]Abstract review'!I141="I","Include → full text",IF('[1]Abstract review'!I141="E","Exclude",IF('[1]Abstract review'!I141="DUP","Duplicate — removed",'[1]Abstract review'!I141)))</f>
        <v>Include → full text</v>
      </c>
      <c r="G141" s="4" t="str">
        <f>IF('[1]Abstract review'!I141="E",'[1]Abstract review'!J141,"")</f>
        <v/>
      </c>
      <c r="H141" s="4">
        <f>'[1]Full-text screening-extraction'!A70</f>
        <v>69</v>
      </c>
      <c r="I141" s="4" t="str">
        <f>IF('[1]Full-text screening-extraction'!AB70="","",'[1]Full-text screening-extraction'!AB70)</f>
        <v>unclear</v>
      </c>
      <c r="J141" s="4" t="str">
        <f>IF('[1]Full-text screening-extraction'!AC70="","",'[1]Full-text screening-extraction'!AC70)</f>
        <v>unclear</v>
      </c>
      <c r="K141" s="4" t="str">
        <f>IF('[1]Full-text screening-extraction'!AG70="","",'[1]Full-text screening-extraction'!AG70)</f>
        <v/>
      </c>
      <c r="L141" s="6" t="str">
        <f t="shared" si="9"/>
        <v>Exclude</v>
      </c>
      <c r="M141" s="6" t="str">
        <f t="shared" si="10"/>
        <v>Unclear whether an adjusted model was fitted</v>
      </c>
      <c r="N141" s="6" t="str">
        <f>IF(L141="Include",IFERROR(INDEX('[1]Data extraction'!$AC$2:$AC$58,MATCH(H141+1,'[1]Data extraction'!$AA$2:$AA$58,0)),"not found"),"")</f>
        <v/>
      </c>
      <c r="O141" s="6" t="str">
        <f>IF(N141="","",IFERROR(INDEX('[1]Data extraction'!$L$2:$L$58,MATCH(N141,'[1]Data extraction'!$AC$2:$AC$58,0)),""))</f>
        <v/>
      </c>
      <c r="P141" s="7" t="str">
        <f t="shared" si="11"/>
        <v>Excluded at full text</v>
      </c>
      <c r="Q141" s="6" t="str">
        <f t="shared" si="12"/>
        <v>Analysis &amp; synthesis eligibility</v>
      </c>
      <c r="R141" s="4" t="str">
        <f>IF(P141&lt;&gt;"INCLUDED","",'[1]Full-text screening-extraction'!M70&amp;" ("&amp;'[1]Full-text screening-extraction'!K70&amp;"); outcome: "&amp;'[1]Full-text screening-extraction'!P70&amp;"; multivariable: "&amp;LEFT('[1]Full-text screening-extraction'!T70,120)&amp;" | adjusted for: "&amp;LEFT('[1]Full-text screening-extraction'!U70,100))</f>
        <v/>
      </c>
    </row>
    <row r="142" spans="1:18" x14ac:dyDescent="0.3">
      <c r="A142" s="4">
        <f>'[1]Abstract review'!C142</f>
        <v>138</v>
      </c>
      <c r="B142" s="4" t="str">
        <f>IFERROR(LEFT('[1]Abstract review'!D142,FIND(";",'[1]Abstract review'!D142)-1),'[1]Abstract review'!D142)</f>
        <v>R. Sharma</v>
      </c>
      <c r="C142" s="5" t="str">
        <f>'[1]Abstract review'!E142&amp;""</f>
        <v>2025</v>
      </c>
      <c r="D142" s="4" t="str">
        <f>'[1]Abstract review'!F142</f>
        <v>Advances in pancreatic cancer diagnosis: from DNA methylation to AI-assisted imaging</v>
      </c>
      <c r="E142" s="4" t="str">
        <f>IF('[1]Abstract review'!G142="","",'[1]Abstract review'!G142)</f>
        <v>10.1080/14737159.2025.2509022</v>
      </c>
      <c r="F142" s="4" t="str">
        <f>IF('[1]Abstract review'!I142="I","Include → full text",IF('[1]Abstract review'!I142="E","Exclude",IF('[1]Abstract review'!I142="DUP","Duplicate — removed",'[1]Abstract review'!I142)))</f>
        <v>Exclude</v>
      </c>
      <c r="G142" s="4" t="str">
        <f>IF('[1]Abstract review'!I142="E",'[1]Abstract review'!J142,"")</f>
        <v>Diagnostic value</v>
      </c>
      <c r="H142" s="4"/>
      <c r="I142" s="4"/>
      <c r="J142" s="4"/>
      <c r="K142" s="4"/>
      <c r="L142" s="6" t="str">
        <f t="shared" si="9"/>
        <v/>
      </c>
      <c r="M142" s="6" t="str">
        <f t="shared" si="10"/>
        <v/>
      </c>
      <c r="N142" s="6" t="str">
        <f>IF(L142="Include",IFERROR(INDEX('[1]Data extraction'!$AC$2:$AC$58,MATCH(H142+1,'[1]Data extraction'!$AA$2:$AA$58,0)),"not found"),"")</f>
        <v/>
      </c>
      <c r="O142" s="6" t="str">
        <f>IF(N142="","",IFERROR(INDEX('[1]Data extraction'!$L$2:$L$58,MATCH(N142,'[1]Data extraction'!$AC$2:$AC$58,0)),""))</f>
        <v/>
      </c>
      <c r="P142" s="7" t="str">
        <f t="shared" si="11"/>
        <v>Excluded at title/abstract</v>
      </c>
      <c r="Q142" s="6" t="str">
        <f t="shared" si="12"/>
        <v>Outcomes</v>
      </c>
      <c r="R142" s="4"/>
    </row>
    <row r="143" spans="1:18" x14ac:dyDescent="0.3">
      <c r="A143" s="4">
        <f>'[1]Abstract review'!C143</f>
        <v>139</v>
      </c>
      <c r="B143" s="4" t="str">
        <f>IFERROR(LEFT('[1]Abstract review'!D143,FIND(";",'[1]Abstract review'!D143)-1),'[1]Abstract review'!D143)</f>
        <v>Y. D. Seo</v>
      </c>
      <c r="C143" s="5" t="str">
        <f>'[1]Abstract review'!E143&amp;""</f>
        <v>2025</v>
      </c>
      <c r="D143" s="4" t="str">
        <f>'[1]Abstract review'!F143</f>
        <v>The Landmark Series: The Future of Pancreatic Cancer Clinical Trials</v>
      </c>
      <c r="E143" s="4" t="str">
        <f>IF('[1]Abstract review'!G143="","",'[1]Abstract review'!G143)</f>
        <v>10.1245/s10434-024-16840-2</v>
      </c>
      <c r="F143" s="4" t="str">
        <f>IF('[1]Abstract review'!I143="I","Include → full text",IF('[1]Abstract review'!I143="E","Exclude",IF('[1]Abstract review'!I143="DUP","Duplicate — removed",'[1]Abstract review'!I143)))</f>
        <v>Exclude</v>
      </c>
      <c r="G143" s="4" t="str">
        <f>IF('[1]Abstract review'!I143="E",'[1]Abstract review'!J143,"")</f>
        <v>Review</v>
      </c>
      <c r="H143" s="4"/>
      <c r="I143" s="4"/>
      <c r="J143" s="4"/>
      <c r="K143" s="4"/>
      <c r="L143" s="6" t="str">
        <f t="shared" si="9"/>
        <v/>
      </c>
      <c r="M143" s="6" t="str">
        <f t="shared" si="10"/>
        <v/>
      </c>
      <c r="N143" s="6" t="str">
        <f>IF(L143="Include",IFERROR(INDEX('[1]Data extraction'!$AC$2:$AC$58,MATCH(H143+1,'[1]Data extraction'!$AA$2:$AA$58,0)),"not found"),"")</f>
        <v/>
      </c>
      <c r="O143" s="6" t="str">
        <f>IF(N143="","",IFERROR(INDEX('[1]Data extraction'!$L$2:$L$58,MATCH(N143,'[1]Data extraction'!$AC$2:$AC$58,0)),""))</f>
        <v/>
      </c>
      <c r="P143" s="7" t="str">
        <f t="shared" si="11"/>
        <v>Excluded at title/abstract</v>
      </c>
      <c r="Q143" s="6" t="str">
        <f t="shared" si="12"/>
        <v>Study design</v>
      </c>
      <c r="R143" s="4"/>
    </row>
    <row r="144" spans="1:18" x14ac:dyDescent="0.3">
      <c r="A144" s="4">
        <f>'[1]Abstract review'!C144</f>
        <v>140</v>
      </c>
      <c r="B144" s="4" t="str">
        <f>IFERROR(LEFT('[1]Abstract review'!D144,FIND(";",'[1]Abstract review'!D144)-1),'[1]Abstract review'!D144)</f>
        <v>Oier Azurmendi Senar</v>
      </c>
      <c r="C144" s="5" t="str">
        <f>'[1]Abstract review'!E144&amp;""</f>
        <v>2025</v>
      </c>
      <c r="D144" s="4" t="str">
        <f>'[1]Abstract review'!F144</f>
        <v>Glycation Stress–Driven Transcriptomic Signature Predicts Survival Benefit from Adjuvant Gemcitabine in Resectable Pancreatic Cancer</v>
      </c>
      <c r="E144" s="4" t="str">
        <f>IF('[1]Abstract review'!G144="","",'[1]Abstract review'!G144)</f>
        <v>10.1101/2025.07.07.663493</v>
      </c>
      <c r="F144" s="4" t="str">
        <f>IF('[1]Abstract review'!I144="I","Include → full text",IF('[1]Abstract review'!I144="E","Exclude",IF('[1]Abstract review'!I144="DUP","Duplicate — removed",'[1]Abstract review'!I144)))</f>
        <v>Exclude</v>
      </c>
      <c r="G144" s="4" t="str">
        <f>IF('[1]Abstract review'!I144="E",'[1]Abstract review'!J144,"")</f>
        <v>Preprint (not peer-reviewed)</v>
      </c>
      <c r="H144" s="4"/>
      <c r="I144" s="4"/>
      <c r="J144" s="4"/>
      <c r="K144" s="4"/>
      <c r="L144" s="6" t="str">
        <f t="shared" si="9"/>
        <v/>
      </c>
      <c r="M144" s="6" t="str">
        <f t="shared" si="10"/>
        <v/>
      </c>
      <c r="N144" s="6" t="str">
        <f>IF(L144="Include",IFERROR(INDEX('[1]Data extraction'!$AC$2:$AC$58,MATCH(H144+1,'[1]Data extraction'!$AA$2:$AA$58,0)),"not found"),"")</f>
        <v/>
      </c>
      <c r="O144" s="6" t="str">
        <f>IF(N144="","",IFERROR(INDEX('[1]Data extraction'!$L$2:$L$58,MATCH(N144,'[1]Data extraction'!$AC$2:$AC$58,0)),""))</f>
        <v/>
      </c>
      <c r="P144" s="7" t="str">
        <f t="shared" si="11"/>
        <v>Excluded at title/abstract</v>
      </c>
      <c r="Q144" s="6" t="str">
        <f t="shared" si="12"/>
        <v>Study design</v>
      </c>
      <c r="R144" s="4"/>
    </row>
    <row r="145" spans="1:18" x14ac:dyDescent="0.3">
      <c r="A145" s="4">
        <f>'[1]Abstract review'!C145</f>
        <v>141</v>
      </c>
      <c r="B145" s="4" t="str">
        <f>IFERROR(LEFT('[1]Abstract review'!D145,FIND(";",'[1]Abstract review'!D145)-1),'[1]Abstract review'!D145)</f>
        <v>Grazia Scuderi</v>
      </c>
      <c r="C145" s="5" t="str">
        <f>'[1]Abstract review'!E145&amp;""</f>
        <v>2025</v>
      </c>
      <c r="D145" s="4" t="str">
        <f>'[1]Abstract review'!F145</f>
        <v>Transcriptomic and Clinical Profiling Reveals &lt;i&gt;LGALS3&lt;/i&gt; as a Prognostic Oncogene in Pancreatic Cancer</v>
      </c>
      <c r="E145" s="4" t="str">
        <f>IF('[1]Abstract review'!G145="","",'[1]Abstract review'!G145)</f>
        <v>10.3390/genes16101170</v>
      </c>
      <c r="F145" s="4" t="str">
        <f>IF('[1]Abstract review'!I145="I","Include → full text",IF('[1]Abstract review'!I145="E","Exclude",IF('[1]Abstract review'!I145="DUP","Duplicate — removed",'[1]Abstract review'!I145)))</f>
        <v>Exclude</v>
      </c>
      <c r="G145" s="4" t="str">
        <f>IF('[1]Abstract review'!I145="E",'[1]Abstract review'!J145,"")</f>
        <v>no pdac</v>
      </c>
      <c r="H145" s="4"/>
      <c r="I145" s="4"/>
      <c r="J145" s="4"/>
      <c r="K145" s="4"/>
      <c r="L145" s="6" t="str">
        <f t="shared" si="9"/>
        <v/>
      </c>
      <c r="M145" s="6" t="str">
        <f t="shared" si="10"/>
        <v/>
      </c>
      <c r="N145" s="6" t="str">
        <f>IF(L145="Include",IFERROR(INDEX('[1]Data extraction'!$AC$2:$AC$58,MATCH(H145+1,'[1]Data extraction'!$AA$2:$AA$58,0)),"not found"),"")</f>
        <v/>
      </c>
      <c r="O145" s="6" t="str">
        <f>IF(N145="","",IFERROR(INDEX('[1]Data extraction'!$L$2:$L$58,MATCH(N145,'[1]Data extraction'!$AC$2:$AC$58,0)),""))</f>
        <v/>
      </c>
      <c r="P145" s="7" t="str">
        <f t="shared" si="11"/>
        <v>Excluded at title/abstract</v>
      </c>
      <c r="Q145" s="6" t="str">
        <f t="shared" si="12"/>
        <v>Population</v>
      </c>
      <c r="R145" s="4"/>
    </row>
    <row r="146" spans="1:18" x14ac:dyDescent="0.3">
      <c r="A146" s="4">
        <f>'[1]Abstract review'!C146</f>
        <v>142</v>
      </c>
      <c r="B146" s="4" t="str">
        <f>IFERROR(LEFT('[1]Abstract review'!D146,FIND(";",'[1]Abstract review'!D146)-1),'[1]Abstract review'!D146)</f>
        <v>G. Scuderi</v>
      </c>
      <c r="C146" s="5" t="str">
        <f>'[1]Abstract review'!E146&amp;""</f>
        <v>2025</v>
      </c>
      <c r="D146" s="4" t="str">
        <f>'[1]Abstract review'!F146</f>
        <v>Transcriptomic and Clinical Profiling Reveals LGALS3 as a Prognostic Oncogene in Pancreatic Cancer</v>
      </c>
      <c r="E146" s="4" t="str">
        <f>IF('[1]Abstract review'!G146="","",'[1]Abstract review'!G146)</f>
        <v>10.3390/genes16101170</v>
      </c>
      <c r="F146" s="4" t="str">
        <f>IF('[1]Abstract review'!I146="I","Include → full text",IF('[1]Abstract review'!I146="E","Exclude",IF('[1]Abstract review'!I146="DUP","Duplicate — removed",'[1]Abstract review'!I146)))</f>
        <v>Duplicate — removed</v>
      </c>
      <c r="G146" s="4" t="str">
        <f>IF('[1]Abstract review'!I146="E",'[1]Abstract review'!J146,"")</f>
        <v/>
      </c>
      <c r="H146" s="4"/>
      <c r="I146" s="4"/>
      <c r="J146" s="4"/>
      <c r="K146" s="4"/>
      <c r="L146" s="6" t="str">
        <f t="shared" si="9"/>
        <v/>
      </c>
      <c r="M146" s="6" t="str">
        <f t="shared" si="10"/>
        <v/>
      </c>
      <c r="N146" s="6" t="str">
        <f>IF(L146="Include",IFERROR(INDEX('[1]Data extraction'!$AC$2:$AC$58,MATCH(H146+1,'[1]Data extraction'!$AA$2:$AA$58,0)),"not found"),"")</f>
        <v/>
      </c>
      <c r="O146" s="6" t="str">
        <f>IF(N146="","",IFERROR(INDEX('[1]Data extraction'!$L$2:$L$58,MATCH(N146,'[1]Data extraction'!$AC$2:$AC$58,0)),""))</f>
        <v/>
      </c>
      <c r="P146" s="7" t="str">
        <f t="shared" si="11"/>
        <v>Duplicate removed</v>
      </c>
      <c r="Q146" s="6" t="str">
        <f t="shared" si="12"/>
        <v>Duplicate record</v>
      </c>
      <c r="R146" s="4"/>
    </row>
    <row r="147" spans="1:18" x14ac:dyDescent="0.3">
      <c r="A147" s="4">
        <f>'[1]Abstract review'!C147</f>
        <v>143</v>
      </c>
      <c r="B147" s="4" t="str">
        <f>IFERROR(LEFT('[1]Abstract review'!D147,FIND(";",'[1]Abstract review'!D147)-1),'[1]Abstract review'!D147)</f>
        <v>Muhammad Usman Saleem</v>
      </c>
      <c r="C147" s="5" t="str">
        <f>'[1]Abstract review'!E147&amp;""</f>
        <v>2025</v>
      </c>
      <c r="D147" s="4" t="str">
        <f>'[1]Abstract review'!F147</f>
        <v>Novel Insights into T-Cell Exhaustion and Cancer Biomarkers in PDAC Using ScRNA-Seq</v>
      </c>
      <c r="E147" s="4" t="str">
        <f>IF('[1]Abstract review'!G147="","",'[1]Abstract review'!G147)</f>
        <v>10.3390/biology14081015</v>
      </c>
      <c r="F147" s="4" t="str">
        <f>IF('[1]Abstract review'!I147="I","Include → full text",IF('[1]Abstract review'!I147="E","Exclude",IF('[1]Abstract review'!I147="DUP","Duplicate — removed",'[1]Abstract review'!I147)))</f>
        <v>Exclude</v>
      </c>
      <c r="G147" s="4" t="str">
        <f>IF('[1]Abstract review'!I147="E",'[1]Abstract review'!J147,"")</f>
        <v>No prognostic value</v>
      </c>
      <c r="H147" s="4"/>
      <c r="I147" s="4"/>
      <c r="J147" s="4"/>
      <c r="K147" s="4"/>
      <c r="L147" s="6" t="str">
        <f t="shared" si="9"/>
        <v/>
      </c>
      <c r="M147" s="6" t="str">
        <f t="shared" si="10"/>
        <v/>
      </c>
      <c r="N147" s="6" t="str">
        <f>IF(L147="Include",IFERROR(INDEX('[1]Data extraction'!$AC$2:$AC$58,MATCH(H147+1,'[1]Data extraction'!$AA$2:$AA$58,0)),"not found"),"")</f>
        <v/>
      </c>
      <c r="O147" s="6" t="str">
        <f>IF(N147="","",IFERROR(INDEX('[1]Data extraction'!$L$2:$L$58,MATCH(N147,'[1]Data extraction'!$AC$2:$AC$58,0)),""))</f>
        <v/>
      </c>
      <c r="P147" s="7" t="str">
        <f t="shared" si="11"/>
        <v>Excluded at title/abstract</v>
      </c>
      <c r="Q147" s="6" t="str">
        <f t="shared" si="12"/>
        <v>Outcomes</v>
      </c>
      <c r="R147" s="4"/>
    </row>
    <row r="148" spans="1:18" x14ac:dyDescent="0.3">
      <c r="A148" s="4">
        <f>'[1]Abstract review'!C148</f>
        <v>144</v>
      </c>
      <c r="B148" s="4" t="str">
        <f>IFERROR(LEFT('[1]Abstract review'!D148,FIND(";",'[1]Abstract review'!D148)-1),'[1]Abstract review'!D148)</f>
        <v>Mariana T. Ruckert</v>
      </c>
      <c r="C148" s="5" t="str">
        <f>'[1]Abstract review'!E148&amp;""</f>
        <v>2025</v>
      </c>
      <c r="D148" s="4" t="str">
        <f>'[1]Abstract review'!F148</f>
        <v>DUSP6 is upregulated in metastasis and influences migration and metabolism in pancreatic cancer cells</v>
      </c>
      <c r="E148" s="4" t="str">
        <f>IF('[1]Abstract review'!G148="","",'[1]Abstract review'!G148)</f>
        <v>10.1038/s41598-025-12967-8</v>
      </c>
      <c r="F148" s="4" t="str">
        <f>IF('[1]Abstract review'!I148="I","Include → full text",IF('[1]Abstract review'!I148="E","Exclude",IF('[1]Abstract review'!I148="DUP","Duplicate — removed",'[1]Abstract review'!I148)))</f>
        <v>Exclude</v>
      </c>
      <c r="G148" s="4" t="str">
        <f>IF('[1]Abstract review'!I148="E",'[1]Abstract review'!J148,"")</f>
        <v>Preclinical studies</v>
      </c>
      <c r="H148" s="4"/>
      <c r="I148" s="4"/>
      <c r="J148" s="4"/>
      <c r="K148" s="4"/>
      <c r="L148" s="6" t="str">
        <f t="shared" si="9"/>
        <v/>
      </c>
      <c r="M148" s="6" t="str">
        <f t="shared" si="10"/>
        <v/>
      </c>
      <c r="N148" s="6" t="str">
        <f>IF(L148="Include",IFERROR(INDEX('[1]Data extraction'!$AC$2:$AC$58,MATCH(H148+1,'[1]Data extraction'!$AA$2:$AA$58,0)),"not found"),"")</f>
        <v/>
      </c>
      <c r="O148" s="6" t="str">
        <f>IF(N148="","",IFERROR(INDEX('[1]Data extraction'!$L$2:$L$58,MATCH(N148,'[1]Data extraction'!$AC$2:$AC$58,0)),""))</f>
        <v/>
      </c>
      <c r="P148" s="7" t="str">
        <f t="shared" si="11"/>
        <v>Excluded at title/abstract</v>
      </c>
      <c r="Q148" s="6" t="str">
        <f t="shared" si="12"/>
        <v>Study design</v>
      </c>
      <c r="R148" s="4"/>
    </row>
    <row r="149" spans="1:18" x14ac:dyDescent="0.3">
      <c r="A149" s="4">
        <f>'[1]Abstract review'!C149</f>
        <v>145</v>
      </c>
      <c r="B149" s="4" t="str">
        <f>IFERROR(LEFT('[1]Abstract review'!D149,FIND(";",'[1]Abstract review'!D149)-1),'[1]Abstract review'!D149)</f>
        <v>F. Rezagholizadeh</v>
      </c>
      <c r="C149" s="5" t="str">
        <f>'[1]Abstract review'!E149&amp;""</f>
        <v>2025</v>
      </c>
      <c r="D149" s="4" t="str">
        <f>'[1]Abstract review'!F149</f>
        <v>Transcriptomic analysis of laser-capture microdissected tumors reveals RAD51AP1 as a tumor-specific marker associated progression from pancreatic intraepithelial neoplasia to invasive pancreatic cancer</v>
      </c>
      <c r="E149" s="4" t="str">
        <f>IF('[1]Abstract review'!G149="","",'[1]Abstract review'!G149)</f>
        <v>10.1186/s12935-025-03810-1</v>
      </c>
      <c r="F149" s="4" t="str">
        <f>IF('[1]Abstract review'!I149="I","Include → full text",IF('[1]Abstract review'!I149="E","Exclude",IF('[1]Abstract review'!I149="DUP","Duplicate — removed",'[1]Abstract review'!I149)))</f>
        <v>Include → full text</v>
      </c>
      <c r="G149" s="4" t="str">
        <f>IF('[1]Abstract review'!I149="E",'[1]Abstract review'!J149,"")</f>
        <v/>
      </c>
      <c r="H149" s="4">
        <f>'[1]Full-text screening-extraction'!A71</f>
        <v>70</v>
      </c>
      <c r="I149" s="4" t="str">
        <f>IF('[1]Full-text screening-extraction'!AB71="","",'[1]Full-text screening-extraction'!AB71)</f>
        <v>yes</v>
      </c>
      <c r="J149" s="4" t="str">
        <f>IF('[1]Full-text screening-extraction'!AC71="","",'[1]Full-text screening-extraction'!AC71)</f>
        <v>yes</v>
      </c>
      <c r="K149" s="4" t="str">
        <f>IF('[1]Full-text screening-extraction'!AG71="","",'[1]Full-text screening-extraction'!AG71)</f>
        <v/>
      </c>
      <c r="L149" s="6" t="str">
        <f t="shared" si="9"/>
        <v>Include</v>
      </c>
      <c r="M149" s="6" t="str">
        <f t="shared" si="10"/>
        <v/>
      </c>
      <c r="N149" s="6" t="str">
        <f>IF(L149="Include",IFERROR(INDEX('[1]Data extraction'!$AC$2:$AC$58,MATCH(H149+1,'[1]Data extraction'!$AA$2:$AA$58,0)),"not found"),"")</f>
        <v>EV-42</v>
      </c>
      <c r="O149" s="6" t="str">
        <f>IF(N149="","",IFERROR(INDEX('[1]Data extraction'!$L$2:$L$58,MATCH(N149,'[1]Data extraction'!$AC$2:$AC$58,0)),""))</f>
        <v>A-</v>
      </c>
      <c r="P149" s="7" t="str">
        <f t="shared" si="11"/>
        <v>INCLUDED</v>
      </c>
      <c r="Q149" s="6" t="str">
        <f t="shared" si="12"/>
        <v>All PICOS rows + Independent prognostic value</v>
      </c>
      <c r="R149" s="4" t="str">
        <f>IF(P149&lt;&gt;"INCLUDED","",'[1]Full-text screening-extraction'!M71&amp;" ("&amp;'[1]Full-text screening-extraction'!K71&amp;"); outcome: "&amp;'[1]Full-text screening-extraction'!P71&amp;"; multivariable: "&amp;LEFT('[1]Full-text screening-extraction'!T71,120)&amp;" | adjusted for: "&amp;LEFT('[1]Full-text screening-extraction'!U71,100))</f>
        <v>RAD51AP1 (DNA repair–associated protein) (Bulk transcriptomics, LCM-based cell-specific transcriptomics, RT-qPCR, proteomics (IHC)); outcome: Overall survival (OS); multivariable: High nuclear RAD51AP1 identified as independent risk factor for DSS (multivariable Cox) | adjusted for: Age, TNM stage, tumor size, metastasis, histological grade</v>
      </c>
    </row>
    <row r="150" spans="1:18" x14ac:dyDescent="0.3">
      <c r="A150" s="4">
        <f>'[1]Abstract review'!C150</f>
        <v>146</v>
      </c>
      <c r="B150" s="4" t="str">
        <f>IFERROR(LEFT('[1]Abstract review'!D150,FIND(";",'[1]Abstract review'!D150)-1),'[1]Abstract review'!D150)</f>
        <v>Mathilde Resell</v>
      </c>
      <c r="C150" s="5" t="str">
        <f>'[1]Abstract review'!E150&amp;""</f>
        <v>2025</v>
      </c>
      <c r="D150" s="4" t="str">
        <f>'[1]Abstract review'!F150</f>
        <v>Translational studies on pancreatic cancer and gastric cancer: a methodology in PhD thesis</v>
      </c>
      <c r="E150" s="4" t="str">
        <f>IF('[1]Abstract review'!G150="","",'[1]Abstract review'!G150)</f>
        <v>10.3389/fphar.2025.1604017</v>
      </c>
      <c r="F150" s="4" t="str">
        <f>IF('[1]Abstract review'!I150="I","Include → full text",IF('[1]Abstract review'!I150="E","Exclude",IF('[1]Abstract review'!I150="DUP","Duplicate — removed",'[1]Abstract review'!I150)))</f>
        <v>Exclude</v>
      </c>
      <c r="G150" s="4" t="str">
        <f>IF('[1]Abstract review'!I150="E",'[1]Abstract review'!J150,"")</f>
        <v>Review</v>
      </c>
      <c r="H150" s="4"/>
      <c r="I150" s="4"/>
      <c r="J150" s="4"/>
      <c r="K150" s="4"/>
      <c r="L150" s="6" t="str">
        <f t="shared" si="9"/>
        <v/>
      </c>
      <c r="M150" s="6" t="str">
        <f t="shared" si="10"/>
        <v/>
      </c>
      <c r="N150" s="6" t="str">
        <f>IF(L150="Include",IFERROR(INDEX('[1]Data extraction'!$AC$2:$AC$58,MATCH(H150+1,'[1]Data extraction'!$AA$2:$AA$58,0)),"not found"),"")</f>
        <v/>
      </c>
      <c r="O150" s="6" t="str">
        <f>IF(N150="","",IFERROR(INDEX('[1]Data extraction'!$L$2:$L$58,MATCH(N150,'[1]Data extraction'!$AC$2:$AC$58,0)),""))</f>
        <v/>
      </c>
      <c r="P150" s="7" t="str">
        <f t="shared" si="11"/>
        <v>Excluded at title/abstract</v>
      </c>
      <c r="Q150" s="6" t="str">
        <f t="shared" si="12"/>
        <v>Study design</v>
      </c>
      <c r="R150" s="4"/>
    </row>
    <row r="151" spans="1:18" x14ac:dyDescent="0.3">
      <c r="A151" s="4">
        <f>'[1]Abstract review'!C151</f>
        <v>147</v>
      </c>
      <c r="B151" s="4" t="str">
        <f>IFERROR(LEFT('[1]Abstract review'!D151,FIND(";",'[1]Abstract review'!D151)-1),'[1]Abstract review'!D151)</f>
        <v>Z. Ren</v>
      </c>
      <c r="C151" s="5" t="str">
        <f>'[1]Abstract review'!E151&amp;""</f>
        <v>2025</v>
      </c>
      <c r="D151" s="4" t="str">
        <f>'[1]Abstract review'!F151</f>
        <v>Molecular structure and mechanism of protein MSMB, TPPP3, SPI1: Construction of novel 4 pancreatic cancer-related protein signatures model based on machine learning</v>
      </c>
      <c r="E151" s="4" t="str">
        <f>IF('[1]Abstract review'!G151="","",'[1]Abstract review'!G151)</f>
        <v>10.1016/j.ijbiomac.2025.142075</v>
      </c>
      <c r="F151" s="4" t="str">
        <f>IF('[1]Abstract review'!I151="I","Include → full text",IF('[1]Abstract review'!I151="E","Exclude",IF('[1]Abstract review'!I151="DUP","Duplicate — removed",'[1]Abstract review'!I151)))</f>
        <v>Exclude</v>
      </c>
      <c r="G151" s="4" t="str">
        <f>IF('[1]Abstract review'!I151="E",'[1]Abstract review'!J151,"")</f>
        <v>Diagnostic value</v>
      </c>
      <c r="H151" s="4"/>
      <c r="I151" s="4"/>
      <c r="J151" s="4"/>
      <c r="K151" s="4"/>
      <c r="L151" s="6" t="str">
        <f t="shared" si="9"/>
        <v/>
      </c>
      <c r="M151" s="6" t="str">
        <f t="shared" si="10"/>
        <v/>
      </c>
      <c r="N151" s="6" t="str">
        <f>IF(L151="Include",IFERROR(INDEX('[1]Data extraction'!$AC$2:$AC$58,MATCH(H151+1,'[1]Data extraction'!$AA$2:$AA$58,0)),"not found"),"")</f>
        <v/>
      </c>
      <c r="O151" s="6" t="str">
        <f>IF(N151="","",IFERROR(INDEX('[1]Data extraction'!$L$2:$L$58,MATCH(N151,'[1]Data extraction'!$AC$2:$AC$58,0)),""))</f>
        <v/>
      </c>
      <c r="P151" s="7" t="str">
        <f t="shared" si="11"/>
        <v>Excluded at title/abstract</v>
      </c>
      <c r="Q151" s="6" t="str">
        <f t="shared" si="12"/>
        <v>Outcomes</v>
      </c>
      <c r="R151" s="4"/>
    </row>
    <row r="152" spans="1:18" x14ac:dyDescent="0.3">
      <c r="A152" s="4">
        <f>'[1]Abstract review'!C152</f>
        <v>148</v>
      </c>
      <c r="B152" s="4" t="str">
        <f>IFERROR(LEFT('[1]Abstract review'!D152,FIND(";",'[1]Abstract review'!D152)-1),'[1]Abstract review'!D152)</f>
        <v>Z. S. Qiu</v>
      </c>
      <c r="C152" s="5" t="str">
        <f>'[1]Abstract review'!E152&amp;""</f>
        <v>2025</v>
      </c>
      <c r="D152" s="4" t="str">
        <f>'[1]Abstract review'!F152</f>
        <v>DEAD/H-box RNA helicase 10 promotes pancreatic cancer cell proliferation via ribonucleotide reductase M2</v>
      </c>
      <c r="E152" s="4" t="str">
        <f>IF('[1]Abstract review'!G152="","",'[1]Abstract review'!G152)</f>
        <v>10.4251/wjgo.v17.i9.108672</v>
      </c>
      <c r="F152" s="4" t="str">
        <f>IF('[1]Abstract review'!I152="I","Include → full text",IF('[1]Abstract review'!I152="E","Exclude",IF('[1]Abstract review'!I152="DUP","Duplicate — removed",'[1]Abstract review'!I152)))</f>
        <v>Include → full text</v>
      </c>
      <c r="G152" s="4" t="str">
        <f>IF('[1]Abstract review'!I152="E",'[1]Abstract review'!J152,"")</f>
        <v/>
      </c>
      <c r="H152" s="4">
        <f>'[1]Full-text screening-extraction'!A72</f>
        <v>71</v>
      </c>
      <c r="I152" s="4" t="str">
        <f>IF('[1]Full-text screening-extraction'!AB72="","",'[1]Full-text screening-extraction'!AB72)</f>
        <v>no</v>
      </c>
      <c r="J152" s="4" t="str">
        <f>IF('[1]Full-text screening-extraction'!AC72="","",'[1]Full-text screening-extraction'!AC72)</f>
        <v>NA</v>
      </c>
      <c r="K152" s="4" t="str">
        <f>IF('[1]Full-text screening-extraction'!AG72="","",'[1]Full-text screening-extraction'!AG72)</f>
        <v/>
      </c>
      <c r="L152" s="6" t="str">
        <f t="shared" si="9"/>
        <v>Exclude</v>
      </c>
      <c r="M152" s="6" t="str">
        <f t="shared" si="10"/>
        <v>No adjusted multivariable model fitted</v>
      </c>
      <c r="N152" s="6" t="str">
        <f>IF(L152="Include",IFERROR(INDEX('[1]Data extraction'!$AC$2:$AC$58,MATCH(H152+1,'[1]Data extraction'!$AA$2:$AA$58,0)),"not found"),"")</f>
        <v/>
      </c>
      <c r="O152" s="6" t="str">
        <f>IF(N152="","",IFERROR(INDEX('[1]Data extraction'!$L$2:$L$58,MATCH(N152,'[1]Data extraction'!$AC$2:$AC$58,0)),""))</f>
        <v/>
      </c>
      <c r="P152" s="7" t="str">
        <f t="shared" si="11"/>
        <v>Excluded at full text</v>
      </c>
      <c r="Q152" s="6" t="str">
        <f t="shared" si="12"/>
        <v>Analysis &amp; synthesis eligibility</v>
      </c>
      <c r="R152" s="4" t="str">
        <f>IF(P152&lt;&gt;"INCLUDED","",'[1]Full-text screening-extraction'!M72&amp;" ("&amp;'[1]Full-text screening-extraction'!K72&amp;"); outcome: "&amp;'[1]Full-text screening-extraction'!P72&amp;"; multivariable: "&amp;LEFT('[1]Full-text screening-extraction'!T72,120)&amp;" | adjusted for: "&amp;LEFT('[1]Full-text screening-extraction'!U72,100))</f>
        <v/>
      </c>
    </row>
    <row r="153" spans="1:18" x14ac:dyDescent="0.3">
      <c r="A153" s="4">
        <f>'[1]Abstract review'!C153</f>
        <v>149</v>
      </c>
      <c r="B153" s="4" t="str">
        <f>IFERROR(LEFT('[1]Abstract review'!D153,FIND(";",'[1]Abstract review'!D153)-1),'[1]Abstract review'!D153)</f>
        <v>Cheng Qin</v>
      </c>
      <c r="C153" s="5" t="str">
        <f>'[1]Abstract review'!E153&amp;""</f>
        <v>2025</v>
      </c>
      <c r="D153" s="4" t="str">
        <f>'[1]Abstract review'!F153</f>
        <v>EDC4 enhances multi-drug chemosensitivity in pancreatic cancer via GR50-based profiling</v>
      </c>
      <c r="E153" s="4" t="str">
        <f>IF('[1]Abstract review'!G153="","",'[1]Abstract review'!G153)</f>
        <v>10.1186/s12935-025-04000-9</v>
      </c>
      <c r="F153" s="4" t="str">
        <f>IF('[1]Abstract review'!I153="I","Include → full text",IF('[1]Abstract review'!I153="E","Exclude",IF('[1]Abstract review'!I153="DUP","Duplicate — removed",'[1]Abstract review'!I153)))</f>
        <v>Include → full text</v>
      </c>
      <c r="G153" s="4" t="str">
        <f>IF('[1]Abstract review'!I153="E",'[1]Abstract review'!J153,"")</f>
        <v/>
      </c>
      <c r="H153" s="4">
        <f>'[1]Full-text screening-extraction'!A73</f>
        <v>72</v>
      </c>
      <c r="I153" s="4" t="str">
        <f>IF('[1]Full-text screening-extraction'!AB73="","",'[1]Full-text screening-extraction'!AB73)</f>
        <v>no</v>
      </c>
      <c r="J153" s="4" t="str">
        <f>IF('[1]Full-text screening-extraction'!AC73="","",'[1]Full-text screening-extraction'!AC73)</f>
        <v>NA</v>
      </c>
      <c r="K153" s="4" t="str">
        <f>IF('[1]Full-text screening-extraction'!AG73="","",'[1]Full-text screening-extraction'!AG73)</f>
        <v/>
      </c>
      <c r="L153" s="6" t="str">
        <f t="shared" si="9"/>
        <v>Exclude</v>
      </c>
      <c r="M153" s="6" t="str">
        <f t="shared" si="10"/>
        <v>No adjusted multivariable model fitted</v>
      </c>
      <c r="N153" s="6" t="str">
        <f>IF(L153="Include",IFERROR(INDEX('[1]Data extraction'!$AC$2:$AC$58,MATCH(H153+1,'[1]Data extraction'!$AA$2:$AA$58,0)),"not found"),"")</f>
        <v/>
      </c>
      <c r="O153" s="6" t="str">
        <f>IF(N153="","",IFERROR(INDEX('[1]Data extraction'!$L$2:$L$58,MATCH(N153,'[1]Data extraction'!$AC$2:$AC$58,0)),""))</f>
        <v/>
      </c>
      <c r="P153" s="7" t="str">
        <f t="shared" si="11"/>
        <v>Excluded at full text</v>
      </c>
      <c r="Q153" s="6" t="str">
        <f t="shared" si="12"/>
        <v>Analysis &amp; synthesis eligibility</v>
      </c>
      <c r="R153" s="4" t="str">
        <f>IF(P153&lt;&gt;"INCLUDED","",'[1]Full-text screening-extraction'!M73&amp;" ("&amp;'[1]Full-text screening-extraction'!K73&amp;"); outcome: "&amp;'[1]Full-text screening-extraction'!P73&amp;"; multivariable: "&amp;LEFT('[1]Full-text screening-extraction'!T73,120)&amp;" | adjusted for: "&amp;LEFT('[1]Full-text screening-extraction'!U73,100))</f>
        <v/>
      </c>
    </row>
    <row r="154" spans="1:18" x14ac:dyDescent="0.3">
      <c r="A154" s="4">
        <f>'[1]Abstract review'!C154</f>
        <v>150</v>
      </c>
      <c r="B154" s="4" t="str">
        <f>IFERROR(LEFT('[1]Abstract review'!D154,FIND(";",'[1]Abstract review'!D154)-1),'[1]Abstract review'!D154)</f>
        <v>Pit Preckwinkel</v>
      </c>
      <c r="C154" s="5" t="str">
        <f>'[1]Abstract review'!E154&amp;""</f>
        <v>2025</v>
      </c>
      <c r="D154" s="4" t="str">
        <f>'[1]Abstract review'!F154</f>
        <v>Long Non-Coding RNAs and RNA-Binding Proteins in Pancreatic Cancer Development and Progression</v>
      </c>
      <c r="E154" s="4" t="str">
        <f>IF('[1]Abstract review'!G154="","",'[1]Abstract review'!G154)</f>
        <v>10.3390/cancers17101601</v>
      </c>
      <c r="F154" s="4" t="str">
        <f>IF('[1]Abstract review'!I154="I","Include → full text",IF('[1]Abstract review'!I154="E","Exclude",IF('[1]Abstract review'!I154="DUP","Duplicate — removed",'[1]Abstract review'!I154)))</f>
        <v>Exclude</v>
      </c>
      <c r="G154" s="4" t="str">
        <f>IF('[1]Abstract review'!I154="E",'[1]Abstract review'!J154,"")</f>
        <v>Review</v>
      </c>
      <c r="H154" s="4"/>
      <c r="I154" s="4"/>
      <c r="J154" s="4"/>
      <c r="K154" s="4"/>
      <c r="L154" s="6" t="str">
        <f t="shared" si="9"/>
        <v/>
      </c>
      <c r="M154" s="6" t="str">
        <f t="shared" si="10"/>
        <v/>
      </c>
      <c r="N154" s="6" t="str">
        <f>IF(L154="Include",IFERROR(INDEX('[1]Data extraction'!$AC$2:$AC$58,MATCH(H154+1,'[1]Data extraction'!$AA$2:$AA$58,0)),"not found"),"")</f>
        <v/>
      </c>
      <c r="O154" s="6" t="str">
        <f>IF(N154="","",IFERROR(INDEX('[1]Data extraction'!$L$2:$L$58,MATCH(N154,'[1]Data extraction'!$AC$2:$AC$58,0)),""))</f>
        <v/>
      </c>
      <c r="P154" s="7" t="str">
        <f t="shared" si="11"/>
        <v>Excluded at title/abstract</v>
      </c>
      <c r="Q154" s="6" t="str">
        <f t="shared" si="12"/>
        <v>Study design</v>
      </c>
      <c r="R154" s="4"/>
    </row>
    <row r="155" spans="1:18" x14ac:dyDescent="0.3">
      <c r="A155" s="4">
        <f>'[1]Abstract review'!C155</f>
        <v>151</v>
      </c>
      <c r="B155" s="4" t="str">
        <f>IFERROR(LEFT('[1]Abstract review'!D155,FIND(";",'[1]Abstract review'!D155)-1),'[1]Abstract review'!D155)</f>
        <v>Dimitrios Papakonstantinou</v>
      </c>
      <c r="C155" s="5" t="str">
        <f>'[1]Abstract review'!E155&amp;""</f>
        <v>2025</v>
      </c>
      <c r="D155" s="4" t="str">
        <f>'[1]Abstract review'!F155</f>
        <v>Molecular analysis highlights TREM2 as a discriminating biomarker for patients suffering from pancreatic ductal adenocarcinoma</v>
      </c>
      <c r="E155" s="4" t="str">
        <f>IF('[1]Abstract review'!G155="","",'[1]Abstract review'!G155)</f>
        <v>10.1016/j.ctarc.2025.100939</v>
      </c>
      <c r="F155" s="4" t="str">
        <f>IF('[1]Abstract review'!I155="I","Include → full text",IF('[1]Abstract review'!I155="E","Exclude",IF('[1]Abstract review'!I155="DUP","Duplicate — removed",'[1]Abstract review'!I155)))</f>
        <v>Exclude</v>
      </c>
      <c r="G155" s="4" t="str">
        <f>IF('[1]Abstract review'!I155="E",'[1]Abstract review'!J155,"")</f>
        <v>Exploratory analysis</v>
      </c>
      <c r="H155" s="4"/>
      <c r="I155" s="4"/>
      <c r="J155" s="4"/>
      <c r="K155" s="4"/>
      <c r="L155" s="6" t="str">
        <f t="shared" si="9"/>
        <v/>
      </c>
      <c r="M155" s="6" t="str">
        <f t="shared" si="10"/>
        <v/>
      </c>
      <c r="N155" s="6" t="str">
        <f>IF(L155="Include",IFERROR(INDEX('[1]Data extraction'!$AC$2:$AC$58,MATCH(H155+1,'[1]Data extraction'!$AA$2:$AA$58,0)),"not found"),"")</f>
        <v/>
      </c>
      <c r="O155" s="6" t="str">
        <f>IF(N155="","",IFERROR(INDEX('[1]Data extraction'!$L$2:$L$58,MATCH(N155,'[1]Data extraction'!$AC$2:$AC$58,0)),""))</f>
        <v/>
      </c>
      <c r="P155" s="7" t="str">
        <f t="shared" si="11"/>
        <v>Excluded at title/abstract</v>
      </c>
      <c r="Q155" s="6" t="str">
        <f t="shared" si="12"/>
        <v>Outcomes</v>
      </c>
      <c r="R155" s="4"/>
    </row>
    <row r="156" spans="1:18" x14ac:dyDescent="0.3">
      <c r="A156" s="4">
        <f>'[1]Abstract review'!C156</f>
        <v>152</v>
      </c>
      <c r="B156" s="4" t="str">
        <f>IFERROR(LEFT('[1]Abstract review'!D156,FIND(";",'[1]Abstract review'!D156)-1),'[1]Abstract review'!D156)</f>
        <v>D. J. A. Oketch</v>
      </c>
      <c r="C156" s="5" t="str">
        <f>'[1]Abstract review'!E156&amp;""</f>
        <v>2025</v>
      </c>
      <c r="D156" s="4" t="str">
        <f>'[1]Abstract review'!F156</f>
        <v>PanSCOPE - Pancreatic cancer signature COllection for prognostic evaluation</v>
      </c>
      <c r="E156" s="4" t="str">
        <f>IF('[1]Abstract review'!G156="","",'[1]Abstract review'!G156)</f>
        <v>10.1016/j.pan.2025.11.001</v>
      </c>
      <c r="F156" s="4" t="str">
        <f>IF('[1]Abstract review'!I156="I","Include → full text",IF('[1]Abstract review'!I156="E","Exclude",IF('[1]Abstract review'!I156="DUP","Duplicate — removed",'[1]Abstract review'!I156)))</f>
        <v>Exclude</v>
      </c>
      <c r="G156" s="4" t="str">
        <f>IF('[1]Abstract review'!I156="E",'[1]Abstract review'!J156,"")</f>
        <v>Review</v>
      </c>
      <c r="H156" s="4"/>
      <c r="I156" s="4"/>
      <c r="J156" s="4"/>
      <c r="K156" s="4"/>
      <c r="L156" s="6" t="str">
        <f t="shared" si="9"/>
        <v/>
      </c>
      <c r="M156" s="6" t="str">
        <f t="shared" si="10"/>
        <v/>
      </c>
      <c r="N156" s="6" t="str">
        <f>IF(L156="Include",IFERROR(INDEX('[1]Data extraction'!$AC$2:$AC$58,MATCH(H156+1,'[1]Data extraction'!$AA$2:$AA$58,0)),"not found"),"")</f>
        <v/>
      </c>
      <c r="O156" s="6" t="str">
        <f>IF(N156="","",IFERROR(INDEX('[1]Data extraction'!$L$2:$L$58,MATCH(N156,'[1]Data extraction'!$AC$2:$AC$58,0)),""))</f>
        <v/>
      </c>
      <c r="P156" s="7" t="str">
        <f t="shared" si="11"/>
        <v>Excluded at title/abstract</v>
      </c>
      <c r="Q156" s="6" t="str">
        <f t="shared" si="12"/>
        <v>Study design</v>
      </c>
      <c r="R156" s="4"/>
    </row>
    <row r="157" spans="1:18" x14ac:dyDescent="0.3">
      <c r="A157" s="4">
        <f>'[1]Abstract review'!C157</f>
        <v>153</v>
      </c>
      <c r="B157" s="4" t="str">
        <f>IFERROR(LEFT('[1]Abstract review'!D157,FIND(";",'[1]Abstract review'!D157)-1),'[1]Abstract review'!D157)</f>
        <v>L. Niyazbekova</v>
      </c>
      <c r="C157" s="5" t="str">
        <f>'[1]Abstract review'!E157&amp;""</f>
        <v>2025</v>
      </c>
      <c r="D157" s="4" t="str">
        <f>'[1]Abstract review'!F157</f>
        <v>Innovations in Oncology Diagnostics: Genetic Research and Liquid Biopsy as Tools of Personalised Medicine</v>
      </c>
      <c r="E157" s="4" t="str">
        <f>IF('[1]Abstract review'!G157="","",'[1]Abstract review'!G157)</f>
        <v>10.31557/apjcp.2025.26.12.4549</v>
      </c>
      <c r="F157" s="4" t="str">
        <f>IF('[1]Abstract review'!I157="I","Include → full text",IF('[1]Abstract review'!I157="E","Exclude",IF('[1]Abstract review'!I157="DUP","Duplicate — removed",'[1]Abstract review'!I157)))</f>
        <v>Exclude</v>
      </c>
      <c r="G157" s="4" t="str">
        <f>IF('[1]Abstract review'!I157="E",'[1]Abstract review'!J157,"")</f>
        <v>Review</v>
      </c>
      <c r="H157" s="4"/>
      <c r="I157" s="4"/>
      <c r="J157" s="4"/>
      <c r="K157" s="4"/>
      <c r="L157" s="6" t="str">
        <f t="shared" si="9"/>
        <v/>
      </c>
      <c r="M157" s="6" t="str">
        <f t="shared" si="10"/>
        <v/>
      </c>
      <c r="N157" s="6" t="str">
        <f>IF(L157="Include",IFERROR(INDEX('[1]Data extraction'!$AC$2:$AC$58,MATCH(H157+1,'[1]Data extraction'!$AA$2:$AA$58,0)),"not found"),"")</f>
        <v/>
      </c>
      <c r="O157" s="6" t="str">
        <f>IF(N157="","",IFERROR(INDEX('[1]Data extraction'!$L$2:$L$58,MATCH(N157,'[1]Data extraction'!$AC$2:$AC$58,0)),""))</f>
        <v/>
      </c>
      <c r="P157" s="7" t="str">
        <f t="shared" si="11"/>
        <v>Excluded at title/abstract</v>
      </c>
      <c r="Q157" s="6" t="str">
        <f t="shared" si="12"/>
        <v>Study design</v>
      </c>
      <c r="R157" s="4"/>
    </row>
    <row r="158" spans="1:18" x14ac:dyDescent="0.3">
      <c r="A158" s="4">
        <f>'[1]Abstract review'!C158</f>
        <v>154</v>
      </c>
      <c r="B158" s="4" t="str">
        <f>IFERROR(LEFT('[1]Abstract review'!D158,FIND(";",'[1]Abstract review'!D158)-1),'[1]Abstract review'!D158)</f>
        <v>H. Niedra</v>
      </c>
      <c r="C158" s="5" t="str">
        <f>'[1]Abstract review'!E158&amp;""</f>
        <v>2025</v>
      </c>
      <c r="D158" s="4" t="str">
        <f>'[1]Abstract review'!F158</f>
        <v>Transcriptomic profiling of pancreatic neuroendocrine tumors: dysregulation of WNT, MAPK, PI3K, neddylation pathways and potential non-invasive biomarkers</v>
      </c>
      <c r="E158" s="4" t="str">
        <f>IF('[1]Abstract review'!G158="","",'[1]Abstract review'!G158)</f>
        <v>10.1371/journal.pone.0325672</v>
      </c>
      <c r="F158" s="4" t="str">
        <f>IF('[1]Abstract review'!I158="I","Include → full text",IF('[1]Abstract review'!I158="E","Exclude",IF('[1]Abstract review'!I158="DUP","Duplicate — removed",'[1]Abstract review'!I158)))</f>
        <v>Exclude</v>
      </c>
      <c r="G158" s="4" t="str">
        <f>IF('[1]Abstract review'!I158="E",'[1]Abstract review'!J158,"")</f>
        <v>no pdac</v>
      </c>
      <c r="H158" s="4"/>
      <c r="I158" s="4"/>
      <c r="J158" s="4"/>
      <c r="K158" s="4"/>
      <c r="L158" s="6" t="str">
        <f t="shared" si="9"/>
        <v/>
      </c>
      <c r="M158" s="6" t="str">
        <f t="shared" si="10"/>
        <v/>
      </c>
      <c r="N158" s="6" t="str">
        <f>IF(L158="Include",IFERROR(INDEX('[1]Data extraction'!$AC$2:$AC$58,MATCH(H158+1,'[1]Data extraction'!$AA$2:$AA$58,0)),"not found"),"")</f>
        <v/>
      </c>
      <c r="O158" s="6" t="str">
        <f>IF(N158="","",IFERROR(INDEX('[1]Data extraction'!$L$2:$L$58,MATCH(N158,'[1]Data extraction'!$AC$2:$AC$58,0)),""))</f>
        <v/>
      </c>
      <c r="P158" s="7" t="str">
        <f t="shared" si="11"/>
        <v>Excluded at title/abstract</v>
      </c>
      <c r="Q158" s="6" t="str">
        <f t="shared" si="12"/>
        <v>Population</v>
      </c>
      <c r="R158" s="4"/>
    </row>
    <row r="159" spans="1:18" x14ac:dyDescent="0.3">
      <c r="A159" s="4">
        <f>'[1]Abstract review'!C159</f>
        <v>155</v>
      </c>
      <c r="B159" s="4" t="str">
        <f>IFERROR(LEFT('[1]Abstract review'!D159,FIND(";",'[1]Abstract review'!D159)-1),'[1]Abstract review'!D159)</f>
        <v>G. Nie</v>
      </c>
      <c r="C159" s="5" t="str">
        <f>'[1]Abstract review'!E159&amp;""</f>
        <v>2025</v>
      </c>
      <c r="D159" s="4" t="str">
        <f>'[1]Abstract review'!F159</f>
        <v>A mitochondria-related gene-based signature predicts pancreatic ductal adenocarcinoma clinical outcome and revealed CAMK2A/THEM4 regulates progression phenotypes and mitophagy in vivo and in vitro</v>
      </c>
      <c r="E159" s="4" t="str">
        <f>IF('[1]Abstract review'!G159="","",'[1]Abstract review'!G159)</f>
        <v>10.1186/s12967-025-07456-5</v>
      </c>
      <c r="F159" s="4" t="str">
        <f>IF('[1]Abstract review'!I159="I","Include → full text",IF('[1]Abstract review'!I159="E","Exclude",IF('[1]Abstract review'!I159="DUP","Duplicate — removed",'[1]Abstract review'!I159)))</f>
        <v>Include → full text</v>
      </c>
      <c r="G159" s="4" t="str">
        <f>IF('[1]Abstract review'!I159="E",'[1]Abstract review'!J159,"")</f>
        <v/>
      </c>
      <c r="H159" s="4">
        <f>'[1]Full-text screening-extraction'!A74</f>
        <v>73</v>
      </c>
      <c r="I159" s="4" t="str">
        <f>IF('[1]Full-text screening-extraction'!AB74="","",'[1]Full-text screening-extraction'!AB74)</f>
        <v>yes</v>
      </c>
      <c r="J159" s="4" t="str">
        <f>IF('[1]Full-text screening-extraction'!AC74="","",'[1]Full-text screening-extraction'!AC74)</f>
        <v>yes</v>
      </c>
      <c r="K159" s="4" t="str">
        <f>IF('[1]Full-text screening-extraction'!AG74="","",'[1]Full-text screening-extraction'!AG74)</f>
        <v/>
      </c>
      <c r="L159" s="6" t="str">
        <f t="shared" si="9"/>
        <v>Include</v>
      </c>
      <c r="M159" s="6" t="str">
        <f t="shared" si="10"/>
        <v/>
      </c>
      <c r="N159" s="6" t="str">
        <f>IF(L159="Include",IFERROR(INDEX('[1]Data extraction'!$AC$2:$AC$58,MATCH(H159+1,'[1]Data extraction'!$AA$2:$AA$58,0)),"not found"),"")</f>
        <v>EV-43</v>
      </c>
      <c r="O159" s="6" t="str">
        <f>IF(N159="","",IFERROR(INDEX('[1]Data extraction'!$L$2:$L$58,MATCH(N159,'[1]Data extraction'!$AC$2:$AC$58,0)),""))</f>
        <v>A</v>
      </c>
      <c r="P159" s="7" t="str">
        <f t="shared" si="11"/>
        <v>INCLUDED</v>
      </c>
      <c r="Q159" s="6" t="str">
        <f t="shared" si="12"/>
        <v>All PICOS rows + Independent prognostic value</v>
      </c>
      <c r="R159" s="4" t="str">
        <f>IF(P159&lt;&gt;"INCLUDED","",'[1]Full-text screening-extraction'!M74&amp;" ("&amp;'[1]Full-text screening-extraction'!K74&amp;"); outcome: "&amp;'[1]Full-text screening-extraction'!P74&amp;"; multivariable: "&amp;LEFT('[1]Full-text screening-extraction'!T74,120)&amp;" | adjusted for: "&amp;LEFT('[1]Full-text screening-extraction'!U74,100))</f>
        <v xml:space="preserve">Mitochondria-related 12-gene prognostic signature; mechanistic emphasis on CAMK2A and THEM4 (Bulk transcriptomics, single-cell transcriptomics, immunohistochemistry, functional molecular assays, mitochondrial phenotyping); outcome: Overall survival; multivariable: The signature remained an independent prognostic factor in multivariate Cox regression (p &lt; 0.001); CAMK2A and THEM4 als | adjusted for: Age, sex, and pathological TNM stage for the signature model; other clinical indicators included in </v>
      </c>
    </row>
    <row r="160" spans="1:18" x14ac:dyDescent="0.3">
      <c r="A160" s="4">
        <f>'[1]Abstract review'!C160</f>
        <v>156</v>
      </c>
      <c r="B160" s="4" t="str">
        <f>IFERROR(LEFT('[1]Abstract review'!D160,FIND(";",'[1]Abstract review'!D160)-1),'[1]Abstract review'!D160)</f>
        <v>Tan Nguyen</v>
      </c>
      <c r="C160" s="5" t="str">
        <f>'[1]Abstract review'!E160&amp;""</f>
        <v>2025</v>
      </c>
      <c r="D160" s="4" t="str">
        <f>'[1]Abstract review'!F160</f>
        <v>Quantification of collagen and associated features from H&amp;E-stained whole slide pathology images across cancer types using a physics-based deep learning model</v>
      </c>
      <c r="E160" s="4" t="str">
        <f>IF('[1]Abstract review'!G160="","",'[1]Abstract review'!G160)</f>
        <v>10.1101/2025.03.17.643273</v>
      </c>
      <c r="F160" s="4" t="str">
        <f>IF('[1]Abstract review'!I160="I","Include → full text",IF('[1]Abstract review'!I160="E","Exclude",IF('[1]Abstract review'!I160="DUP","Duplicate — removed",'[1]Abstract review'!I160)))</f>
        <v>Exclude</v>
      </c>
      <c r="G160" s="4" t="str">
        <f>IF('[1]Abstract review'!I160="E",'[1]Abstract review'!J160,"")</f>
        <v>no pdac</v>
      </c>
      <c r="H160" s="4"/>
      <c r="I160" s="4"/>
      <c r="J160" s="4"/>
      <c r="K160" s="4"/>
      <c r="L160" s="6" t="str">
        <f t="shared" si="9"/>
        <v/>
      </c>
      <c r="M160" s="6" t="str">
        <f t="shared" si="10"/>
        <v/>
      </c>
      <c r="N160" s="6" t="str">
        <f>IF(L160="Include",IFERROR(INDEX('[1]Data extraction'!$AC$2:$AC$58,MATCH(H160+1,'[1]Data extraction'!$AA$2:$AA$58,0)),"not found"),"")</f>
        <v/>
      </c>
      <c r="O160" s="6" t="str">
        <f>IF(N160="","",IFERROR(INDEX('[1]Data extraction'!$L$2:$L$58,MATCH(N160,'[1]Data extraction'!$AC$2:$AC$58,0)),""))</f>
        <v/>
      </c>
      <c r="P160" s="7" t="str">
        <f t="shared" si="11"/>
        <v>Excluded at title/abstract</v>
      </c>
      <c r="Q160" s="6" t="str">
        <f t="shared" si="12"/>
        <v>Population</v>
      </c>
      <c r="R160" s="4"/>
    </row>
    <row r="161" spans="1:18" x14ac:dyDescent="0.3">
      <c r="A161" s="4">
        <f>'[1]Abstract review'!C161</f>
        <v>157</v>
      </c>
      <c r="B161" s="4" t="str">
        <f>IFERROR(LEFT('[1]Abstract review'!D161,FIND(";",'[1]Abstract review'!D161)-1),'[1]Abstract review'!D161)</f>
        <v>Maryam Naeem</v>
      </c>
      <c r="C161" s="5" t="str">
        <f>'[1]Abstract review'!E161&amp;""</f>
        <v>2025</v>
      </c>
      <c r="D161" s="4" t="str">
        <f>'[1]Abstract review'!F161</f>
        <v>Integrated Multiomics Validation of Key &lt;i&gt;MUC&lt;/i&gt; Gene Expression for the Signature Biomarker in the Pakistani Cohort</v>
      </c>
      <c r="E161" s="4" t="str">
        <f>IF('[1]Abstract review'!G161="","",'[1]Abstract review'!G161)</f>
        <v>10.1155/bmri/9777346</v>
      </c>
      <c r="F161" s="4" t="str">
        <f>IF('[1]Abstract review'!I161="I","Include → full text",IF('[1]Abstract review'!I161="E","Exclude",IF('[1]Abstract review'!I161="DUP","Duplicate — removed",'[1]Abstract review'!I161)))</f>
        <v>Exclude</v>
      </c>
      <c r="G161" s="4" t="str">
        <f>IF('[1]Abstract review'!I161="E",'[1]Abstract review'!J161,"")</f>
        <v>Diagnostic value</v>
      </c>
      <c r="H161" s="4"/>
      <c r="I161" s="4"/>
      <c r="J161" s="4"/>
      <c r="K161" s="4"/>
      <c r="L161" s="6" t="str">
        <f t="shared" si="9"/>
        <v/>
      </c>
      <c r="M161" s="6" t="str">
        <f t="shared" si="10"/>
        <v/>
      </c>
      <c r="N161" s="6" t="str">
        <f>IF(L161="Include",IFERROR(INDEX('[1]Data extraction'!$AC$2:$AC$58,MATCH(H161+1,'[1]Data extraction'!$AA$2:$AA$58,0)),"not found"),"")</f>
        <v/>
      </c>
      <c r="O161" s="6" t="str">
        <f>IF(N161="","",IFERROR(INDEX('[1]Data extraction'!$L$2:$L$58,MATCH(N161,'[1]Data extraction'!$AC$2:$AC$58,0)),""))</f>
        <v/>
      </c>
      <c r="P161" s="7" t="str">
        <f t="shared" si="11"/>
        <v>Excluded at title/abstract</v>
      </c>
      <c r="Q161" s="6" t="str">
        <f t="shared" si="12"/>
        <v>Outcomes</v>
      </c>
      <c r="R161" s="4"/>
    </row>
    <row r="162" spans="1:18" x14ac:dyDescent="0.3">
      <c r="A162" s="4">
        <f>'[1]Abstract review'!C162</f>
        <v>158</v>
      </c>
      <c r="B162" s="4" t="str">
        <f>IFERROR(LEFT('[1]Abstract review'!D162,FIND(";",'[1]Abstract review'!D162)-1),'[1]Abstract review'!D162)</f>
        <v>M. Naeem</v>
      </c>
      <c r="C162" s="5" t="str">
        <f>'[1]Abstract review'!E162&amp;""</f>
        <v>2025</v>
      </c>
      <c r="D162" s="4" t="str">
        <f>'[1]Abstract review'!F162</f>
        <v>Mutational and expression analysis of classical protein tyrosine phosphatase genes in pancreatic ductal adenocarcinoma</v>
      </c>
      <c r="E162" s="4" t="str">
        <f>IF('[1]Abstract review'!G162="","",'[1]Abstract review'!G162)</f>
        <v>10.1016/j.compbiomed.2025.110319</v>
      </c>
      <c r="F162" s="4" t="str">
        <f>IF('[1]Abstract review'!I162="I","Include → full text",IF('[1]Abstract review'!I162="E","Exclude",IF('[1]Abstract review'!I162="DUP","Duplicate — removed",'[1]Abstract review'!I162)))</f>
        <v>Exclude</v>
      </c>
      <c r="G162" s="4" t="str">
        <f>IF('[1]Abstract review'!I162="E",'[1]Abstract review'!J162,"")</f>
        <v>No prognostic value</v>
      </c>
      <c r="H162" s="4"/>
      <c r="I162" s="4"/>
      <c r="J162" s="4"/>
      <c r="K162" s="4"/>
      <c r="L162" s="6" t="str">
        <f t="shared" si="9"/>
        <v/>
      </c>
      <c r="M162" s="6" t="str">
        <f t="shared" si="10"/>
        <v/>
      </c>
      <c r="N162" s="6" t="str">
        <f>IF(L162="Include",IFERROR(INDEX('[1]Data extraction'!$AC$2:$AC$58,MATCH(H162+1,'[1]Data extraction'!$AA$2:$AA$58,0)),"not found"),"")</f>
        <v/>
      </c>
      <c r="O162" s="6" t="str">
        <f>IF(N162="","",IFERROR(INDEX('[1]Data extraction'!$L$2:$L$58,MATCH(N162,'[1]Data extraction'!$AC$2:$AC$58,0)),""))</f>
        <v/>
      </c>
      <c r="P162" s="7" t="str">
        <f t="shared" si="11"/>
        <v>Excluded at title/abstract</v>
      </c>
      <c r="Q162" s="6" t="str">
        <f t="shared" si="12"/>
        <v>Outcomes</v>
      </c>
      <c r="R162" s="4"/>
    </row>
    <row r="163" spans="1:18" x14ac:dyDescent="0.3">
      <c r="A163" s="4">
        <f>'[1]Abstract review'!C163</f>
        <v>159</v>
      </c>
      <c r="B163" s="4" t="str">
        <f>IFERROR(LEFT('[1]Abstract review'!D163,FIND(";",'[1]Abstract review'!D163)-1),'[1]Abstract review'!D163)</f>
        <v>V. K. Morris</v>
      </c>
      <c r="C163" s="5" t="str">
        <f>'[1]Abstract review'!E163&amp;""</f>
        <v>2025</v>
      </c>
      <c r="D163" s="4" t="str">
        <f>'[1]Abstract review'!F163</f>
        <v>Phase 1/2 trial of encorafenib, cetuximab, and nivolumab in microsatellite stable BRAF(V600E) metastatic colorectal cancer</v>
      </c>
      <c r="E163" s="4" t="str">
        <f>IF('[1]Abstract review'!G163="","",'[1]Abstract review'!G163)</f>
        <v>10.1016/j.ccell.2025.08.002</v>
      </c>
      <c r="F163" s="4" t="str">
        <f>IF('[1]Abstract review'!I163="I","Include → full text",IF('[1]Abstract review'!I163="E","Exclude",IF('[1]Abstract review'!I163="DUP","Duplicate — removed",'[1]Abstract review'!I163)))</f>
        <v>Exclude</v>
      </c>
      <c r="G163" s="4" t="str">
        <f>IF('[1]Abstract review'!I163="E",'[1]Abstract review'!J163,"")</f>
        <v>no pdac</v>
      </c>
      <c r="H163" s="4"/>
      <c r="I163" s="4"/>
      <c r="J163" s="4"/>
      <c r="K163" s="4"/>
      <c r="L163" s="6" t="str">
        <f t="shared" si="9"/>
        <v/>
      </c>
      <c r="M163" s="6" t="str">
        <f t="shared" si="10"/>
        <v/>
      </c>
      <c r="N163" s="6" t="str">
        <f>IF(L163="Include",IFERROR(INDEX('[1]Data extraction'!$AC$2:$AC$58,MATCH(H163+1,'[1]Data extraction'!$AA$2:$AA$58,0)),"not found"),"")</f>
        <v/>
      </c>
      <c r="O163" s="6" t="str">
        <f>IF(N163="","",IFERROR(INDEX('[1]Data extraction'!$L$2:$L$58,MATCH(N163,'[1]Data extraction'!$AC$2:$AC$58,0)),""))</f>
        <v/>
      </c>
      <c r="P163" s="7" t="str">
        <f t="shared" si="11"/>
        <v>Excluded at title/abstract</v>
      </c>
      <c r="Q163" s="6" t="str">
        <f t="shared" si="12"/>
        <v>Population</v>
      </c>
      <c r="R163" s="4"/>
    </row>
    <row r="164" spans="1:18" x14ac:dyDescent="0.3">
      <c r="A164" s="4">
        <f>'[1]Abstract review'!C164</f>
        <v>160</v>
      </c>
      <c r="B164" s="4" t="str">
        <f>IFERROR(LEFT('[1]Abstract review'!D164,FIND(";",'[1]Abstract review'!D164)-1),'[1]Abstract review'!D164)</f>
        <v>P. Mittal</v>
      </c>
      <c r="C164" s="5" t="str">
        <f>'[1]Abstract review'!E164&amp;""</f>
        <v>2025</v>
      </c>
      <c r="D164" s="4" t="str">
        <f>'[1]Abstract review'!F164</f>
        <v>Comprehensive characterization of MCL-1 in patients with colorectal cancer: Expression, molecular profiles, and outcomes</v>
      </c>
      <c r="E164" s="4" t="str">
        <f>IF('[1]Abstract review'!G164="","",'[1]Abstract review'!G164)</f>
        <v>10.1002/ijc.35304</v>
      </c>
      <c r="F164" s="4" t="str">
        <f>IF('[1]Abstract review'!I164="I","Include → full text",IF('[1]Abstract review'!I164="E","Exclude",IF('[1]Abstract review'!I164="DUP","Duplicate — removed",'[1]Abstract review'!I164)))</f>
        <v>Exclude</v>
      </c>
      <c r="G164" s="4" t="str">
        <f>IF('[1]Abstract review'!I164="E",'[1]Abstract review'!J164,"")</f>
        <v>no pdac</v>
      </c>
      <c r="H164" s="4"/>
      <c r="I164" s="4"/>
      <c r="J164" s="4"/>
      <c r="K164" s="4"/>
      <c r="L164" s="6" t="str">
        <f t="shared" si="9"/>
        <v/>
      </c>
      <c r="M164" s="6" t="str">
        <f t="shared" si="10"/>
        <v/>
      </c>
      <c r="N164" s="6" t="str">
        <f>IF(L164="Include",IFERROR(INDEX('[1]Data extraction'!$AC$2:$AC$58,MATCH(H164+1,'[1]Data extraction'!$AA$2:$AA$58,0)),"not found"),"")</f>
        <v/>
      </c>
      <c r="O164" s="6" t="str">
        <f>IF(N164="","",IFERROR(INDEX('[1]Data extraction'!$L$2:$L$58,MATCH(N164,'[1]Data extraction'!$AC$2:$AC$58,0)),""))</f>
        <v/>
      </c>
      <c r="P164" s="7" t="str">
        <f t="shared" si="11"/>
        <v>Excluded at title/abstract</v>
      </c>
      <c r="Q164" s="6" t="str">
        <f t="shared" si="12"/>
        <v>Population</v>
      </c>
      <c r="R164" s="4"/>
    </row>
    <row r="165" spans="1:18" x14ac:dyDescent="0.3">
      <c r="A165" s="4">
        <f>'[1]Abstract review'!C165</f>
        <v>161</v>
      </c>
      <c r="B165" s="4" t="str">
        <f>IFERROR(LEFT('[1]Abstract review'!D165,FIND(";",'[1]Abstract review'!D165)-1),'[1]Abstract review'!D165)</f>
        <v>Y. Meng</v>
      </c>
      <c r="C165" s="5" t="str">
        <f>'[1]Abstract review'!E165&amp;""</f>
        <v>2025</v>
      </c>
      <c r="D165" s="4" t="str">
        <f>'[1]Abstract review'!F165</f>
        <v>S100 Calcium-Binding Protein P and Cathepsin E as Key Mediators in Pancreatic Cancer Tumorigenesis</v>
      </c>
      <c r="E165" s="4" t="str">
        <f>IF('[1]Abstract review'!G165="","",'[1]Abstract review'!G165)</f>
        <v>10.3390/biomedicines13112780</v>
      </c>
      <c r="F165" s="4" t="str">
        <f>IF('[1]Abstract review'!I165="I","Include → full text",IF('[1]Abstract review'!I165="E","Exclude",IF('[1]Abstract review'!I165="DUP","Duplicate — removed",'[1]Abstract review'!I165)))</f>
        <v>Include → full text</v>
      </c>
      <c r="G165" s="4" t="str">
        <f>IF('[1]Abstract review'!I165="E",'[1]Abstract review'!J165,"")</f>
        <v/>
      </c>
      <c r="H165" s="4">
        <f>'[1]Full-text screening-extraction'!A75</f>
        <v>74</v>
      </c>
      <c r="I165" s="4" t="str">
        <f>IF('[1]Full-text screening-extraction'!AB75="","",'[1]Full-text screening-extraction'!AB75)</f>
        <v>yes</v>
      </c>
      <c r="J165" s="4" t="str">
        <f>IF('[1]Full-text screening-extraction'!AC75="","",'[1]Full-text screening-extraction'!AC75)</f>
        <v>unclear</v>
      </c>
      <c r="K165" s="4" t="str">
        <f>IF('[1]Full-text screening-extraction'!AG75="","",'[1]Full-text screening-extraction'!AG75)</f>
        <v/>
      </c>
      <c r="L165" s="6" t="str">
        <f t="shared" si="9"/>
        <v>Exclude</v>
      </c>
      <c r="M165" s="6" t="str">
        <f t="shared" si="10"/>
        <v>Unclear whether an adjusted model was fitted</v>
      </c>
      <c r="N165" s="6" t="str">
        <f>IF(L165="Include",IFERROR(INDEX('[1]Data extraction'!$AC$2:$AC$58,MATCH(H165+1,'[1]Data extraction'!$AA$2:$AA$58,0)),"not found"),"")</f>
        <v/>
      </c>
      <c r="O165" s="6" t="str">
        <f>IF(N165="","",IFERROR(INDEX('[1]Data extraction'!$L$2:$L$58,MATCH(N165,'[1]Data extraction'!$AC$2:$AC$58,0)),""))</f>
        <v/>
      </c>
      <c r="P165" s="7" t="str">
        <f t="shared" si="11"/>
        <v>Excluded at full text</v>
      </c>
      <c r="Q165" s="6" t="str">
        <f t="shared" si="12"/>
        <v>Analysis &amp; synthesis eligibility</v>
      </c>
      <c r="R165" s="4" t="str">
        <f>IF(P165&lt;&gt;"INCLUDED","",'[1]Full-text screening-extraction'!M75&amp;" ("&amp;'[1]Full-text screening-extraction'!K75&amp;"); outcome: "&amp;'[1]Full-text screening-extraction'!P75&amp;"; multivariable: "&amp;LEFT('[1]Full-text screening-extraction'!T75,120)&amp;" | adjusted for: "&amp;LEFT('[1]Full-text screening-extraction'!U75,100))</f>
        <v/>
      </c>
    </row>
    <row r="166" spans="1:18" x14ac:dyDescent="0.3">
      <c r="A166" s="4">
        <f>'[1]Abstract review'!C166</f>
        <v>162</v>
      </c>
      <c r="B166" s="4" t="str">
        <f>IFERROR(LEFT('[1]Abstract review'!D166,FIND(";",'[1]Abstract review'!D166)-1),'[1]Abstract review'!D166)</f>
        <v>P. C. McDonald</v>
      </c>
      <c r="C166" s="5" t="str">
        <f>'[1]Abstract review'!E166&amp;""</f>
        <v>2025</v>
      </c>
      <c r="D166" s="4" t="str">
        <f>'[1]Abstract review'!F166</f>
        <v>Neutrophil extracellular trap gene expression signatures identify prognostic and targetable signaling axes for inhibiting pancreatic tumour metastasis</v>
      </c>
      <c r="E166" s="4" t="str">
        <f>IF('[1]Abstract review'!G166="","",'[1]Abstract review'!G166)</f>
        <v>10.1038/s42003-025-08440-x</v>
      </c>
      <c r="F166" s="4" t="str">
        <f>IF('[1]Abstract review'!I166="I","Include → full text",IF('[1]Abstract review'!I166="E","Exclude",IF('[1]Abstract review'!I166="DUP","Duplicate — removed",'[1]Abstract review'!I166)))</f>
        <v>Exclude</v>
      </c>
      <c r="G166" s="4" t="str">
        <f>IF('[1]Abstract review'!I166="E",'[1]Abstract review'!J166,"")</f>
        <v>Preclinical studies</v>
      </c>
      <c r="H166" s="4"/>
      <c r="I166" s="4"/>
      <c r="J166" s="4"/>
      <c r="K166" s="4"/>
      <c r="L166" s="6" t="str">
        <f t="shared" si="9"/>
        <v/>
      </c>
      <c r="M166" s="6" t="str">
        <f t="shared" si="10"/>
        <v/>
      </c>
      <c r="N166" s="6" t="str">
        <f>IF(L166="Include",IFERROR(INDEX('[1]Data extraction'!$AC$2:$AC$58,MATCH(H166+1,'[1]Data extraction'!$AA$2:$AA$58,0)),"not found"),"")</f>
        <v/>
      </c>
      <c r="O166" s="6" t="str">
        <f>IF(N166="","",IFERROR(INDEX('[1]Data extraction'!$L$2:$L$58,MATCH(N166,'[1]Data extraction'!$AC$2:$AC$58,0)),""))</f>
        <v/>
      </c>
      <c r="P166" s="7" t="str">
        <f t="shared" si="11"/>
        <v>Excluded at title/abstract</v>
      </c>
      <c r="Q166" s="6" t="str">
        <f t="shared" si="12"/>
        <v>Study design</v>
      </c>
      <c r="R166" s="4"/>
    </row>
    <row r="167" spans="1:18" x14ac:dyDescent="0.3">
      <c r="A167" s="4">
        <f>'[1]Abstract review'!C167</f>
        <v>163</v>
      </c>
      <c r="B167" s="4" t="str">
        <f>IFERROR(LEFT('[1]Abstract review'!D167,FIND(";",'[1]Abstract review'!D167)-1),'[1]Abstract review'!D167)</f>
        <v>Paul Manoukian</v>
      </c>
      <c r="C167" s="5" t="str">
        <f>'[1]Abstract review'!E167&amp;""</f>
        <v>2025</v>
      </c>
      <c r="D167" s="4" t="str">
        <f>'[1]Abstract review'!F167</f>
        <v>Stromal Hedgehog Signaling Is Associated with Favorable Outcomes in Pancreatic Cancer</v>
      </c>
      <c r="E167" s="4" t="str">
        <f>IF('[1]Abstract review'!G167="","",'[1]Abstract review'!G167)</f>
        <v>10.3390/ijms26115200</v>
      </c>
      <c r="F167" s="4" t="str">
        <f>IF('[1]Abstract review'!I167="I","Include → full text",IF('[1]Abstract review'!I167="E","Exclude",IF('[1]Abstract review'!I167="DUP","Duplicate — removed",'[1]Abstract review'!I167)))</f>
        <v>Exclude</v>
      </c>
      <c r="G167" s="4" t="str">
        <f>IF('[1]Abstract review'!I167="E",'[1]Abstract review'!J167,"")</f>
        <v>Preclinical studies</v>
      </c>
      <c r="H167" s="4"/>
      <c r="I167" s="4"/>
      <c r="J167" s="4"/>
      <c r="K167" s="4"/>
      <c r="L167" s="6" t="str">
        <f t="shared" si="9"/>
        <v/>
      </c>
      <c r="M167" s="6" t="str">
        <f t="shared" si="10"/>
        <v/>
      </c>
      <c r="N167" s="6" t="str">
        <f>IF(L167="Include",IFERROR(INDEX('[1]Data extraction'!$AC$2:$AC$58,MATCH(H167+1,'[1]Data extraction'!$AA$2:$AA$58,0)),"not found"),"")</f>
        <v/>
      </c>
      <c r="O167" s="6" t="str">
        <f>IF(N167="","",IFERROR(INDEX('[1]Data extraction'!$L$2:$L$58,MATCH(N167,'[1]Data extraction'!$AC$2:$AC$58,0)),""))</f>
        <v/>
      </c>
      <c r="P167" s="7" t="str">
        <f t="shared" si="11"/>
        <v>Excluded at title/abstract</v>
      </c>
      <c r="Q167" s="6" t="str">
        <f t="shared" si="12"/>
        <v>Study design</v>
      </c>
      <c r="R167" s="4"/>
    </row>
    <row r="168" spans="1:18" x14ac:dyDescent="0.3">
      <c r="A168" s="4">
        <f>'[1]Abstract review'!C168</f>
        <v>164</v>
      </c>
      <c r="B168" s="4" t="str">
        <f>IFERROR(LEFT('[1]Abstract review'!D168,FIND(";",'[1]Abstract review'!D168)-1),'[1]Abstract review'!D168)</f>
        <v>T. Ma</v>
      </c>
      <c r="C168" s="5" t="str">
        <f>'[1]Abstract review'!E168&amp;""</f>
        <v>2025</v>
      </c>
      <c r="D168" s="4" t="str">
        <f>'[1]Abstract review'!F168</f>
        <v>Machine Learning-Based WGCNA Approach for Developing an Immunogenic Cell Death-Related Hub Gene Signature and Identification of AJM1 as a Prognostic Biomarker in Pancreatic Adenocarcinoma</v>
      </c>
      <c r="E168" s="4" t="str">
        <f>IF('[1]Abstract review'!G168="","",'[1]Abstract review'!G168)</f>
        <v>10.7150/ijms.119960</v>
      </c>
      <c r="F168" s="4" t="str">
        <f>IF('[1]Abstract review'!I168="I","Include → full text",IF('[1]Abstract review'!I168="E","Exclude",IF('[1]Abstract review'!I168="DUP","Duplicate — removed",'[1]Abstract review'!I168)))</f>
        <v>Include → full text</v>
      </c>
      <c r="G168" s="4" t="str">
        <f>IF('[1]Abstract review'!I168="E",'[1]Abstract review'!J168,"")</f>
        <v/>
      </c>
      <c r="H168" s="4">
        <f>'[1]Full-text screening-extraction'!A76</f>
        <v>75</v>
      </c>
      <c r="I168" s="4" t="str">
        <f>IF('[1]Full-text screening-extraction'!AB76="","",'[1]Full-text screening-extraction'!AB76)</f>
        <v>yes</v>
      </c>
      <c r="J168" s="4" t="str">
        <f>IF('[1]Full-text screening-extraction'!AC76="","",'[1]Full-text screening-extraction'!AC76)</f>
        <v>yes</v>
      </c>
      <c r="K168" s="4" t="str">
        <f>IF('[1]Full-text screening-extraction'!AG76="","",'[1]Full-text screening-extraction'!AG76)</f>
        <v/>
      </c>
      <c r="L168" s="6" t="str">
        <f t="shared" si="9"/>
        <v>Include</v>
      </c>
      <c r="M168" s="6" t="str">
        <f t="shared" si="10"/>
        <v/>
      </c>
      <c r="N168" s="6" t="str">
        <f>IF(L168="Include",IFERROR(INDEX('[1]Data extraction'!$AC$2:$AC$58,MATCH(H168+1,'[1]Data extraction'!$AA$2:$AA$58,0)),"not found"),"")</f>
        <v>EV-17</v>
      </c>
      <c r="O168" s="6" t="str">
        <f>IF(N168="","",IFERROR(INDEX('[1]Data extraction'!$L$2:$L$58,MATCH(N168,'[1]Data extraction'!$AC$2:$AC$58,0)),""))</f>
        <v>A</v>
      </c>
      <c r="P168" s="7" t="str">
        <f t="shared" si="11"/>
        <v>INCLUDED</v>
      </c>
      <c r="Q168" s="6" t="str">
        <f t="shared" si="12"/>
        <v>All PICOS rows + Independent prognostic value</v>
      </c>
      <c r="R168" s="4" t="str">
        <f>IF(P168&lt;&gt;"INCLUDED","",'[1]Full-text screening-extraction'!M76&amp;" ("&amp;'[1]Full-text screening-extraction'!K76&amp;"); outcome: "&amp;'[1]Full-text screening-extraction'!P76&amp;"; multivariable: "&amp;LEFT('[1]Full-text screening-extraction'!T76,120)&amp;" | adjusted for: "&amp;LEFT('[1]Full-text screening-extraction'!U76,100))</f>
        <v>ICD-related 11-gene hub signature (MSN, NOTCH2, CHST11, C1QB, CELF2, CD1D, IL10RA, ADA2, ARRB2, FYN, AJM1); mechanistic focus on AJM1 (Bulk transcriptomics, immunogenomic analyses, limited experimental validation); outcome: Overall survival; multivariable: Signature score remained independently associated with prognosis in multivariate Cox analysis; p &lt; 0.05 reported | adjusted for: Clinical variables including tumor stage, age, sex, tumor status, and histological subtype were cons</v>
      </c>
    </row>
    <row r="169" spans="1:18" x14ac:dyDescent="0.3">
      <c r="A169" s="4">
        <f>'[1]Abstract review'!C169</f>
        <v>165</v>
      </c>
      <c r="B169" s="4" t="str">
        <f>IFERROR(LEFT('[1]Abstract review'!D169,FIND(";",'[1]Abstract review'!D169)-1),'[1]Abstract review'!D169)</f>
        <v>Q. Luo</v>
      </c>
      <c r="C169" s="5" t="str">
        <f>'[1]Abstract review'!E169&amp;""</f>
        <v>2025</v>
      </c>
      <c r="D169" s="4" t="str">
        <f>'[1]Abstract review'!F169</f>
        <v>Innate immune cell barrier-related genes inform precision prognosis in pancreatic cancer</v>
      </c>
      <c r="E169" s="4" t="str">
        <f>IF('[1]Abstract review'!G169="","",'[1]Abstract review'!G169)</f>
        <v>10.3389/fimmu.2025.1559373</v>
      </c>
      <c r="F169" s="4" t="str">
        <f>IF('[1]Abstract review'!I169="I","Include → full text",IF('[1]Abstract review'!I169="E","Exclude",IF('[1]Abstract review'!I169="DUP","Duplicate — removed",'[1]Abstract review'!I169)))</f>
        <v>Include → full text</v>
      </c>
      <c r="G169" s="4" t="str">
        <f>IF('[1]Abstract review'!I169="E",'[1]Abstract review'!J169,"")</f>
        <v/>
      </c>
      <c r="H169" s="4">
        <f>'[1]Full-text screening-extraction'!A77</f>
        <v>76</v>
      </c>
      <c r="I169" s="4" t="str">
        <f>IF('[1]Full-text screening-extraction'!AB77="","",'[1]Full-text screening-extraction'!AB77)</f>
        <v>yes</v>
      </c>
      <c r="J169" s="4" t="str">
        <f>IF('[1]Full-text screening-extraction'!AC77="","",'[1]Full-text screening-extraction'!AC77)</f>
        <v>yes</v>
      </c>
      <c r="K169" s="4" t="str">
        <f>IF('[1]Full-text screening-extraction'!AG77="","",'[1]Full-text screening-extraction'!AG77)</f>
        <v/>
      </c>
      <c r="L169" s="6" t="str">
        <f t="shared" si="9"/>
        <v>Include</v>
      </c>
      <c r="M169" s="6" t="str">
        <f t="shared" si="10"/>
        <v/>
      </c>
      <c r="N169" s="6" t="str">
        <f>IF(L169="Include",IFERROR(INDEX('[1]Data extraction'!$AC$2:$AC$58,MATCH(H169+1,'[1]Data extraction'!$AA$2:$AA$58,0)),"not found"),"")</f>
        <v>EV-44</v>
      </c>
      <c r="O169" s="6" t="str">
        <f>IF(N169="","",IFERROR(INDEX('[1]Data extraction'!$L$2:$L$58,MATCH(N169,'[1]Data extraction'!$AC$2:$AC$58,0)),""))</f>
        <v>A</v>
      </c>
      <c r="P169" s="7" t="str">
        <f t="shared" si="11"/>
        <v>INCLUDED</v>
      </c>
      <c r="Q169" s="6" t="str">
        <f t="shared" si="12"/>
        <v>All PICOS rows + Independent prognostic value</v>
      </c>
      <c r="R169" s="4" t="str">
        <f>IF(P169&lt;&gt;"INCLUDED","",'[1]Full-text screening-extraction'!M77&amp;" ("&amp;'[1]Full-text screening-extraction'!K77&amp;"); outcome: "&amp;'[1]Full-text screening-extraction'!P77&amp;"; multivariable: "&amp;LEFT('[1]Full-text screening-extraction'!T77,120)&amp;" | adjusted for: "&amp;LEFT('[1]Full-text screening-extraction'!U77,100))</f>
        <v>Innate immune barrier gene signature (84 genes); key genes: UBASH3B, ITGB6, COL17A1, MMP28, DIAPH3 (focus on UBASH3B) (Bulk transcriptomics + scRNA-seq + immunogenomics); outcome: Overall survival (OS); multivariable: Riskscore independently predicted OS (HR=1.114, p&lt;0.001); UBASH3B and other genes confirmed as independent prognostic fa | adjusted for: Clinical variables included stage, tumor status, and other clinicopathologic features (exact final c</v>
      </c>
    </row>
    <row r="170" spans="1:18" x14ac:dyDescent="0.3">
      <c r="A170" s="4">
        <f>'[1]Abstract review'!C170</f>
        <v>166</v>
      </c>
      <c r="B170" s="4" t="str">
        <f>IFERROR(LEFT('[1]Abstract review'!D170,FIND(";",'[1]Abstract review'!D170)-1),'[1]Abstract review'!D170)</f>
        <v>S. Lucotti</v>
      </c>
      <c r="C170" s="5" t="str">
        <f>'[1]Abstract review'!E170&amp;""</f>
        <v>2025</v>
      </c>
      <c r="D170" s="4" t="str">
        <f>'[1]Abstract review'!F170</f>
        <v>Extracellular vesicles from the lung pro-thrombotic niche drive cancer-associated thrombosis and metastasis via integrin beta 2</v>
      </c>
      <c r="E170" s="4" t="str">
        <f>IF('[1]Abstract review'!G170="","",'[1]Abstract review'!G170)</f>
        <v>10.1016/j.cell.2025.01.025</v>
      </c>
      <c r="F170" s="4" t="str">
        <f>IF('[1]Abstract review'!I170="I","Include → full text",IF('[1]Abstract review'!I170="E","Exclude",IF('[1]Abstract review'!I170="DUP","Duplicate — removed",'[1]Abstract review'!I170)))</f>
        <v>Exclude</v>
      </c>
      <c r="G170" s="4" t="str">
        <f>IF('[1]Abstract review'!I170="E",'[1]Abstract review'!J170,"")</f>
        <v>Preclinical studies</v>
      </c>
      <c r="H170" s="4"/>
      <c r="I170" s="4"/>
      <c r="J170" s="4"/>
      <c r="K170" s="4"/>
      <c r="L170" s="6" t="str">
        <f t="shared" si="9"/>
        <v/>
      </c>
      <c r="M170" s="6" t="str">
        <f t="shared" si="10"/>
        <v/>
      </c>
      <c r="N170" s="6" t="str">
        <f>IF(L170="Include",IFERROR(INDEX('[1]Data extraction'!$AC$2:$AC$58,MATCH(H170+1,'[1]Data extraction'!$AA$2:$AA$58,0)),"not found"),"")</f>
        <v/>
      </c>
      <c r="O170" s="6" t="str">
        <f>IF(N170="","",IFERROR(INDEX('[1]Data extraction'!$L$2:$L$58,MATCH(N170,'[1]Data extraction'!$AC$2:$AC$58,0)),""))</f>
        <v/>
      </c>
      <c r="P170" s="7" t="str">
        <f t="shared" si="11"/>
        <v>Excluded at title/abstract</v>
      </c>
      <c r="Q170" s="6" t="str">
        <f t="shared" si="12"/>
        <v>Study design</v>
      </c>
      <c r="R170" s="4"/>
    </row>
    <row r="171" spans="1:18" x14ac:dyDescent="0.3">
      <c r="A171" s="4">
        <f>'[1]Abstract review'!C171</f>
        <v>167</v>
      </c>
      <c r="B171" s="4" t="str">
        <f>IFERROR(LEFT('[1]Abstract review'!D171,FIND(";",'[1]Abstract review'!D171)-1),'[1]Abstract review'!D171)</f>
        <v>Y. Lu</v>
      </c>
      <c r="C171" s="5" t="str">
        <f>'[1]Abstract review'!E171&amp;""</f>
        <v>2025</v>
      </c>
      <c r="D171" s="4" t="str">
        <f>'[1]Abstract review'!F171</f>
        <v>Deletion of ENO1 sensitizes pancreatic cancer cells to gemcitabine via MYC/RRM1-mediated glycolysis</v>
      </c>
      <c r="E171" s="4" t="str">
        <f>IF('[1]Abstract review'!G171="","",'[1]Abstract review'!G171)</f>
        <v>10.1038/s41598-025-94319-0</v>
      </c>
      <c r="F171" s="4" t="str">
        <f>IF('[1]Abstract review'!I171="I","Include → full text",IF('[1]Abstract review'!I171="E","Exclude",IF('[1]Abstract review'!I171="DUP","Duplicate — removed",'[1]Abstract review'!I171)))</f>
        <v>Exclude</v>
      </c>
      <c r="G171" s="4" t="str">
        <f>IF('[1]Abstract review'!I171="E",'[1]Abstract review'!J171,"")</f>
        <v>Preclinical studies</v>
      </c>
      <c r="H171" s="4"/>
      <c r="I171" s="4"/>
      <c r="J171" s="4"/>
      <c r="K171" s="4"/>
      <c r="L171" s="6" t="str">
        <f t="shared" si="9"/>
        <v/>
      </c>
      <c r="M171" s="6" t="str">
        <f t="shared" si="10"/>
        <v/>
      </c>
      <c r="N171" s="6" t="str">
        <f>IF(L171="Include",IFERROR(INDEX('[1]Data extraction'!$AC$2:$AC$58,MATCH(H171+1,'[1]Data extraction'!$AA$2:$AA$58,0)),"not found"),"")</f>
        <v/>
      </c>
      <c r="O171" s="6" t="str">
        <f>IF(N171="","",IFERROR(INDEX('[1]Data extraction'!$L$2:$L$58,MATCH(N171,'[1]Data extraction'!$AC$2:$AC$58,0)),""))</f>
        <v/>
      </c>
      <c r="P171" s="7" t="str">
        <f t="shared" si="11"/>
        <v>Excluded at title/abstract</v>
      </c>
      <c r="Q171" s="6" t="str">
        <f t="shared" si="12"/>
        <v>Study design</v>
      </c>
      <c r="R171" s="4"/>
    </row>
    <row r="172" spans="1:18" x14ac:dyDescent="0.3">
      <c r="A172" s="4">
        <f>'[1]Abstract review'!C172</f>
        <v>168</v>
      </c>
      <c r="B172" s="4" t="str">
        <f>IFERROR(LEFT('[1]Abstract review'!D172,FIND(";",'[1]Abstract review'!D172)-1),'[1]Abstract review'!D172)</f>
        <v>Y. Lu</v>
      </c>
      <c r="C172" s="5" t="str">
        <f>'[1]Abstract review'!E172&amp;""</f>
        <v>2025</v>
      </c>
      <c r="D172" s="4" t="str">
        <f>'[1]Abstract review'!F172</f>
        <v>Efficacy and safety of TAS-102 plus Surufatinib in third and later line metastatic pancreatic cancer: a prospective, single center and biomarker exploratory, phase II study</v>
      </c>
      <c r="E172" s="4" t="str">
        <f>IF('[1]Abstract review'!G172="","",'[1]Abstract review'!G172)</f>
        <v>10.1186/s12943-025-02437-0</v>
      </c>
      <c r="F172" s="4" t="str">
        <f>IF('[1]Abstract review'!I172="I","Include → full text",IF('[1]Abstract review'!I172="E","Exclude",IF('[1]Abstract review'!I172="DUP","Duplicate — removed",'[1]Abstract review'!I172)))</f>
        <v>Exclude</v>
      </c>
      <c r="G172" s="4" t="str">
        <f>IF('[1]Abstract review'!I172="E",'[1]Abstract review'!J172,"")</f>
        <v>No survival outcome</v>
      </c>
      <c r="H172" s="4"/>
      <c r="I172" s="4"/>
      <c r="J172" s="4"/>
      <c r="K172" s="4"/>
      <c r="L172" s="6" t="str">
        <f t="shared" si="9"/>
        <v/>
      </c>
      <c r="M172" s="6" t="str">
        <f t="shared" si="10"/>
        <v/>
      </c>
      <c r="N172" s="6" t="str">
        <f>IF(L172="Include",IFERROR(INDEX('[1]Data extraction'!$AC$2:$AC$58,MATCH(H172+1,'[1]Data extraction'!$AA$2:$AA$58,0)),"not found"),"")</f>
        <v/>
      </c>
      <c r="O172" s="6" t="str">
        <f>IF(N172="","",IFERROR(INDEX('[1]Data extraction'!$L$2:$L$58,MATCH(N172,'[1]Data extraction'!$AC$2:$AC$58,0)),""))</f>
        <v/>
      </c>
      <c r="P172" s="7" t="str">
        <f t="shared" si="11"/>
        <v>Excluded at title/abstract</v>
      </c>
      <c r="Q172" s="6" t="str">
        <f t="shared" si="12"/>
        <v>Outcomes</v>
      </c>
      <c r="R172" s="4"/>
    </row>
    <row r="173" spans="1:18" x14ac:dyDescent="0.3">
      <c r="A173" s="4">
        <f>'[1]Abstract review'!C173</f>
        <v>169</v>
      </c>
      <c r="B173" s="4" t="str">
        <f>IFERROR(LEFT('[1]Abstract review'!D173,FIND(";",'[1]Abstract review'!D173)-1),'[1]Abstract review'!D173)</f>
        <v>Y. Liu</v>
      </c>
      <c r="C173" s="5" t="str">
        <f>'[1]Abstract review'!E173&amp;""</f>
        <v>2025</v>
      </c>
      <c r="D173" s="4" t="str">
        <f>'[1]Abstract review'!F173</f>
        <v>Conserved spatial subtypes and cellular neighborhoods of cancer-associated fibroblasts revealed by single-cell spatial multi-omics</v>
      </c>
      <c r="E173" s="4" t="str">
        <f>IF('[1]Abstract review'!G173="","",'[1]Abstract review'!G173)</f>
        <v>10.1016/j.ccell.2025.03.004</v>
      </c>
      <c r="F173" s="4" t="str">
        <f>IF('[1]Abstract review'!I173="I","Include → full text",IF('[1]Abstract review'!I173="E","Exclude",IF('[1]Abstract review'!I173="DUP","Duplicate — removed",'[1]Abstract review'!I173)))</f>
        <v>Exclude</v>
      </c>
      <c r="G173" s="4" t="str">
        <f>IF('[1]Abstract review'!I173="E",'[1]Abstract review'!J173,"")</f>
        <v>no pdac</v>
      </c>
      <c r="H173" s="4"/>
      <c r="I173" s="4"/>
      <c r="J173" s="4"/>
      <c r="K173" s="4"/>
      <c r="L173" s="6" t="str">
        <f t="shared" si="9"/>
        <v/>
      </c>
      <c r="M173" s="6" t="str">
        <f t="shared" si="10"/>
        <v/>
      </c>
      <c r="N173" s="6" t="str">
        <f>IF(L173="Include",IFERROR(INDEX('[1]Data extraction'!$AC$2:$AC$58,MATCH(H173+1,'[1]Data extraction'!$AA$2:$AA$58,0)),"not found"),"")</f>
        <v/>
      </c>
      <c r="O173" s="6" t="str">
        <f>IF(N173="","",IFERROR(INDEX('[1]Data extraction'!$L$2:$L$58,MATCH(N173,'[1]Data extraction'!$AC$2:$AC$58,0)),""))</f>
        <v/>
      </c>
      <c r="P173" s="7" t="str">
        <f t="shared" si="11"/>
        <v>Excluded at title/abstract</v>
      </c>
      <c r="Q173" s="6" t="str">
        <f t="shared" si="12"/>
        <v>Population</v>
      </c>
      <c r="R173" s="4"/>
    </row>
    <row r="174" spans="1:18" x14ac:dyDescent="0.3">
      <c r="A174" s="4">
        <f>'[1]Abstract review'!C174</f>
        <v>170</v>
      </c>
      <c r="B174" s="4" t="str">
        <f>IFERROR(LEFT('[1]Abstract review'!D174,FIND(";",'[1]Abstract review'!D174)-1),'[1]Abstract review'!D174)</f>
        <v>Y. Liu</v>
      </c>
      <c r="C174" s="5" t="str">
        <f>'[1]Abstract review'!E174&amp;""</f>
        <v>2025</v>
      </c>
      <c r="D174" s="4" t="str">
        <f>'[1]Abstract review'!F174</f>
        <v>Emerging pathological diagnostic strategies for solid pseudopapillary neoplasm of the pancreas: insights from omics and innovative techniques</v>
      </c>
      <c r="E174" s="4" t="str">
        <f>IF('[1]Abstract review'!G174="","",'[1]Abstract review'!G174)</f>
        <v>10.1002/2056-4538.70029</v>
      </c>
      <c r="F174" s="4" t="str">
        <f>IF('[1]Abstract review'!I174="I","Include → full text",IF('[1]Abstract review'!I174="E","Exclude",IF('[1]Abstract review'!I174="DUP","Duplicate — removed",'[1]Abstract review'!I174)))</f>
        <v>Exclude</v>
      </c>
      <c r="G174" s="4" t="str">
        <f>IF('[1]Abstract review'!I174="E",'[1]Abstract review'!J174,"")</f>
        <v>Review</v>
      </c>
      <c r="H174" s="4"/>
      <c r="I174" s="4"/>
      <c r="J174" s="4"/>
      <c r="K174" s="4"/>
      <c r="L174" s="6" t="str">
        <f t="shared" si="9"/>
        <v/>
      </c>
      <c r="M174" s="6" t="str">
        <f t="shared" si="10"/>
        <v/>
      </c>
      <c r="N174" s="6" t="str">
        <f>IF(L174="Include",IFERROR(INDEX('[1]Data extraction'!$AC$2:$AC$58,MATCH(H174+1,'[1]Data extraction'!$AA$2:$AA$58,0)),"not found"),"")</f>
        <v/>
      </c>
      <c r="O174" s="6" t="str">
        <f>IF(N174="","",IFERROR(INDEX('[1]Data extraction'!$L$2:$L$58,MATCH(N174,'[1]Data extraction'!$AC$2:$AC$58,0)),""))</f>
        <v/>
      </c>
      <c r="P174" s="7" t="str">
        <f t="shared" si="11"/>
        <v>Excluded at title/abstract</v>
      </c>
      <c r="Q174" s="6" t="str">
        <f t="shared" si="12"/>
        <v>Study design</v>
      </c>
      <c r="R174" s="4"/>
    </row>
    <row r="175" spans="1:18" x14ac:dyDescent="0.3">
      <c r="A175" s="4">
        <f>'[1]Abstract review'!C175</f>
        <v>171</v>
      </c>
      <c r="B175" s="4" t="str">
        <f>IFERROR(LEFT('[1]Abstract review'!D175,FIND(";",'[1]Abstract review'!D175)-1),'[1]Abstract review'!D175)</f>
        <v>Y. Liu</v>
      </c>
      <c r="C175" s="5" t="str">
        <f>'[1]Abstract review'!E175&amp;""</f>
        <v>2025</v>
      </c>
      <c r="D175" s="4" t="str">
        <f>'[1]Abstract review'!F175</f>
        <v>SPP1(+) Venous Endothelial Cells and CRABP2(+) Tumor Cells Contribute to Favorable Body and Tail Pancreatic Ductal Adenocarcinoma Tumor Microenvironment</v>
      </c>
      <c r="E175" s="4" t="str">
        <f>IF('[1]Abstract review'!G175="","",'[1]Abstract review'!G175)</f>
        <v>10.1002/mc.23936</v>
      </c>
      <c r="F175" s="4" t="str">
        <f>IF('[1]Abstract review'!I175="I","Include → full text",IF('[1]Abstract review'!I175="E","Exclude",IF('[1]Abstract review'!I175="DUP","Duplicate — removed",'[1]Abstract review'!I175)))</f>
        <v>Include → full text</v>
      </c>
      <c r="G175" s="4" t="str">
        <f>IF('[1]Abstract review'!I175="E",'[1]Abstract review'!J175,"")</f>
        <v/>
      </c>
      <c r="H175" s="4">
        <f>'[1]Full-text screening-extraction'!A78</f>
        <v>77</v>
      </c>
      <c r="I175" s="4" t="str">
        <f>IF('[1]Full-text screening-extraction'!AB78="","",'[1]Full-text screening-extraction'!AB78)</f>
        <v>no</v>
      </c>
      <c r="J175" s="4" t="str">
        <f>IF('[1]Full-text screening-extraction'!AC78="","",'[1]Full-text screening-extraction'!AC78)</f>
        <v>NA</v>
      </c>
      <c r="K175" s="4" t="str">
        <f>IF('[1]Full-text screening-extraction'!AG78="","",'[1]Full-text screening-extraction'!AG78)</f>
        <v/>
      </c>
      <c r="L175" s="6" t="str">
        <f t="shared" si="9"/>
        <v>Exclude</v>
      </c>
      <c r="M175" s="6" t="str">
        <f t="shared" si="10"/>
        <v>No adjusted multivariable model fitted</v>
      </c>
      <c r="N175" s="6" t="str">
        <f>IF(L175="Include",IFERROR(INDEX('[1]Data extraction'!$AC$2:$AC$58,MATCH(H175+1,'[1]Data extraction'!$AA$2:$AA$58,0)),"not found"),"")</f>
        <v/>
      </c>
      <c r="O175" s="6" t="str">
        <f>IF(N175="","",IFERROR(INDEX('[1]Data extraction'!$L$2:$L$58,MATCH(N175,'[1]Data extraction'!$AC$2:$AC$58,0)),""))</f>
        <v/>
      </c>
      <c r="P175" s="7" t="str">
        <f t="shared" si="11"/>
        <v>Excluded at full text</v>
      </c>
      <c r="Q175" s="6" t="str">
        <f t="shared" si="12"/>
        <v>Analysis &amp; synthesis eligibility</v>
      </c>
      <c r="R175" s="4" t="str">
        <f>IF(P175&lt;&gt;"INCLUDED","",'[1]Full-text screening-extraction'!M78&amp;" ("&amp;'[1]Full-text screening-extraction'!K78&amp;"); outcome: "&amp;'[1]Full-text screening-extraction'!P78&amp;"; multivariable: "&amp;LEFT('[1]Full-text screening-extraction'!T78,120)&amp;" | adjusted for: "&amp;LEFT('[1]Full-text screening-extraction'!U78,100))</f>
        <v/>
      </c>
    </row>
    <row r="176" spans="1:18" x14ac:dyDescent="0.3">
      <c r="A176" s="4">
        <f>'[1]Abstract review'!C176</f>
        <v>172</v>
      </c>
      <c r="B176" s="4" t="str">
        <f>IFERROR(LEFT('[1]Abstract review'!D176,FIND(";",'[1]Abstract review'!D176)-1),'[1]Abstract review'!D176)</f>
        <v>X. Liu</v>
      </c>
      <c r="C176" s="5" t="str">
        <f>'[1]Abstract review'!E176&amp;""</f>
        <v>2025</v>
      </c>
      <c r="D176" s="4" t="str">
        <f>'[1]Abstract review'!F176</f>
        <v>ANP32E expression in pancreatic cancer is associated with impaired gemcitabine efficacy and poor patient prognosis</v>
      </c>
      <c r="E176" s="4" t="str">
        <f>IF('[1]Abstract review'!G176="","",'[1]Abstract review'!G176)</f>
        <v>10.1016/j.mcp.2025.102030</v>
      </c>
      <c r="F176" s="4" t="str">
        <f>IF('[1]Abstract review'!I176="I","Include → full text",IF('[1]Abstract review'!I176="E","Exclude",IF('[1]Abstract review'!I176="DUP","Duplicate — removed",'[1]Abstract review'!I176)))</f>
        <v>Include → full text</v>
      </c>
      <c r="G176" s="4" t="str">
        <f>IF('[1]Abstract review'!I176="E",'[1]Abstract review'!J176,"")</f>
        <v/>
      </c>
      <c r="H176" s="4">
        <f>'[1]Full-text screening-extraction'!A79</f>
        <v>78</v>
      </c>
      <c r="I176" s="4" t="str">
        <f>IF('[1]Full-text screening-extraction'!AB79="","",'[1]Full-text screening-extraction'!AB79)</f>
        <v>yes</v>
      </c>
      <c r="J176" s="4" t="str">
        <f>IF('[1]Full-text screening-extraction'!AC79="","",'[1]Full-text screening-extraction'!AC79)</f>
        <v>yes</v>
      </c>
      <c r="K176" s="4" t="str">
        <f>IF('[1]Full-text screening-extraction'!AG79="","",'[1]Full-text screening-extraction'!AG79)</f>
        <v/>
      </c>
      <c r="L176" s="6" t="str">
        <f t="shared" si="9"/>
        <v>Include</v>
      </c>
      <c r="M176" s="6" t="str">
        <f t="shared" si="10"/>
        <v/>
      </c>
      <c r="N176" s="6" t="str">
        <f>IF(L176="Include",IFERROR(INDEX('[1]Data extraction'!$AC$2:$AC$58,MATCH(H176+1,'[1]Data extraction'!$AA$2:$AA$58,0)),"not found"),"")</f>
        <v>EV-67</v>
      </c>
      <c r="O176" s="6" t="str">
        <f>IF(N176="","",IFERROR(INDEX('[1]Data extraction'!$L$2:$L$58,MATCH(N176,'[1]Data extraction'!$AC$2:$AC$58,0)),""))</f>
        <v>A-</v>
      </c>
      <c r="P176" s="7" t="str">
        <f t="shared" si="11"/>
        <v>INCLUDED</v>
      </c>
      <c r="Q176" s="6" t="str">
        <f t="shared" si="12"/>
        <v>All PICOS rows + Independent prognostic value</v>
      </c>
      <c r="R176" s="4" t="str">
        <f>IF(P176&lt;&gt;"INCLUDED","",'[1]Full-text screening-extraction'!M79&amp;" ("&amp;'[1]Full-text screening-extraction'!K79&amp;"); outcome: "&amp;'[1]Full-text screening-extraction'!P79&amp;"; multivariable: "&amp;LEFT('[1]Full-text screening-extraction'!T79,120)&amp;" | adjusted for: "&amp;LEFT('[1]Full-text screening-extraction'!U79,100))</f>
        <v>ANP32E (Protein (IHC) + transcriptomics (TCGA) + functional assays); outcome: Overall survival (OS); multivariable: High ANP32E independently associated with poorer survival in TCGA and clinical cohorts (HR≈0.41–0.49, p&lt;0.01) | adjusted for: Adjusted covariates include age, sex, BMI, TNM stage, tumor markers (CEA, CA19-9, CA242), clinical f</v>
      </c>
    </row>
    <row r="177" spans="1:18" x14ac:dyDescent="0.3">
      <c r="A177" s="4">
        <f>'[1]Abstract review'!C177</f>
        <v>173</v>
      </c>
      <c r="B177" s="4" t="str">
        <f>IFERROR(LEFT('[1]Abstract review'!D177,FIND(";",'[1]Abstract review'!D177)-1),'[1]Abstract review'!D177)</f>
        <v>M. Liu</v>
      </c>
      <c r="C177" s="5" t="str">
        <f>'[1]Abstract review'!E177&amp;""</f>
        <v>2025</v>
      </c>
      <c r="D177" s="4" t="str">
        <f>'[1]Abstract review'!F177</f>
        <v>Noggin Promotes Cell Proliferation Through Up-regulating EGFR/HER2 in Pancreatic Cancer Cells</v>
      </c>
      <c r="E177" s="4" t="str">
        <f>IF('[1]Abstract review'!G177="","",'[1]Abstract review'!G177)</f>
        <v>10.21873/cgp.20522</v>
      </c>
      <c r="F177" s="4" t="str">
        <f>IF('[1]Abstract review'!I177="I","Include → full text",IF('[1]Abstract review'!I177="E","Exclude",IF('[1]Abstract review'!I177="DUP","Duplicate — removed",'[1]Abstract review'!I177)))</f>
        <v>Include → full text</v>
      </c>
      <c r="G177" s="4" t="str">
        <f>IF('[1]Abstract review'!I177="E",'[1]Abstract review'!J177,"")</f>
        <v/>
      </c>
      <c r="H177" s="4">
        <f>'[1]Full-text screening-extraction'!A80</f>
        <v>79</v>
      </c>
      <c r="I177" s="4" t="str">
        <f>IF('[1]Full-text screening-extraction'!AB80="","",'[1]Full-text screening-extraction'!AB80)</f>
        <v>no</v>
      </c>
      <c r="J177" s="4" t="str">
        <f>IF('[1]Full-text screening-extraction'!AC80="","",'[1]Full-text screening-extraction'!AC80)</f>
        <v>NA</v>
      </c>
      <c r="K177" s="4" t="str">
        <f>IF('[1]Full-text screening-extraction'!AG80="","",'[1]Full-text screening-extraction'!AG80)</f>
        <v/>
      </c>
      <c r="L177" s="6" t="str">
        <f t="shared" si="9"/>
        <v>Exclude</v>
      </c>
      <c r="M177" s="6" t="str">
        <f t="shared" si="10"/>
        <v>No adjusted multivariable model fitted</v>
      </c>
      <c r="N177" s="6" t="str">
        <f>IF(L177="Include",IFERROR(INDEX('[1]Data extraction'!$AC$2:$AC$58,MATCH(H177+1,'[1]Data extraction'!$AA$2:$AA$58,0)),"not found"),"")</f>
        <v/>
      </c>
      <c r="O177" s="6" t="str">
        <f>IF(N177="","",IFERROR(INDEX('[1]Data extraction'!$L$2:$L$58,MATCH(N177,'[1]Data extraction'!$AC$2:$AC$58,0)),""))</f>
        <v/>
      </c>
      <c r="P177" s="7" t="str">
        <f t="shared" si="11"/>
        <v>Excluded at full text</v>
      </c>
      <c r="Q177" s="6" t="str">
        <f t="shared" si="12"/>
        <v>Analysis &amp; synthesis eligibility</v>
      </c>
      <c r="R177" s="4" t="str">
        <f>IF(P177&lt;&gt;"INCLUDED","",'[1]Full-text screening-extraction'!M80&amp;" ("&amp;'[1]Full-text screening-extraction'!K80&amp;"); outcome: "&amp;'[1]Full-text screening-extraction'!P80&amp;"; multivariable: "&amp;LEFT('[1]Full-text screening-extraction'!T80,120)&amp;" | adjusted for: "&amp;LEFT('[1]Full-text screening-extraction'!U80,100))</f>
        <v/>
      </c>
    </row>
    <row r="178" spans="1:18" x14ac:dyDescent="0.3">
      <c r="A178" s="4">
        <f>'[1]Abstract review'!C178</f>
        <v>174</v>
      </c>
      <c r="B178" s="4" t="str">
        <f>IFERROR(LEFT('[1]Abstract review'!D178,FIND(";",'[1]Abstract review'!D178)-1),'[1]Abstract review'!D178)</f>
        <v>J. Liu</v>
      </c>
      <c r="C178" s="5" t="str">
        <f>'[1]Abstract review'!E178&amp;""</f>
        <v>2025</v>
      </c>
      <c r="D178" s="4" t="str">
        <f>'[1]Abstract review'!F178</f>
        <v>Identification of a NEK7-related pyroptosis gene signature against pancreatic cancer and evaluation of its potential in tumor microenvironment remodeling via regulating inflammasome complex</v>
      </c>
      <c r="E178" s="4" t="str">
        <f>IF('[1]Abstract review'!G178="","",'[1]Abstract review'!G178)</f>
        <v>10.1007/s10142-025-01597-y</v>
      </c>
      <c r="F178" s="4" t="str">
        <f>IF('[1]Abstract review'!I178="I","Include → full text",IF('[1]Abstract review'!I178="E","Exclude",IF('[1]Abstract review'!I178="DUP","Duplicate — removed",'[1]Abstract review'!I178)))</f>
        <v>Include → full text</v>
      </c>
      <c r="G178" s="4" t="str">
        <f>IF('[1]Abstract review'!I178="E",'[1]Abstract review'!J178,"")</f>
        <v/>
      </c>
      <c r="H178" s="4">
        <f>'[1]Full-text screening-extraction'!A81</f>
        <v>80</v>
      </c>
      <c r="I178" s="4" t="str">
        <f>IF('[1]Full-text screening-extraction'!AB81="","",'[1]Full-text screening-extraction'!AB81)</f>
        <v>unclear</v>
      </c>
      <c r="J178" s="4" t="str">
        <f>IF('[1]Full-text screening-extraction'!AC81="","",'[1]Full-text screening-extraction'!AC81)</f>
        <v>unclear</v>
      </c>
      <c r="K178" s="4" t="str">
        <f>IF('[1]Full-text screening-extraction'!AG81="","",'[1]Full-text screening-extraction'!AG81)</f>
        <v/>
      </c>
      <c r="L178" s="6" t="str">
        <f t="shared" si="9"/>
        <v>Exclude</v>
      </c>
      <c r="M178" s="6" t="str">
        <f t="shared" si="10"/>
        <v>Unclear whether an adjusted model was fitted</v>
      </c>
      <c r="N178" s="6" t="str">
        <f>IF(L178="Include",IFERROR(INDEX('[1]Data extraction'!$AC$2:$AC$58,MATCH(H178+1,'[1]Data extraction'!$AA$2:$AA$58,0)),"not found"),"")</f>
        <v/>
      </c>
      <c r="O178" s="6" t="str">
        <f>IF(N178="","",IFERROR(INDEX('[1]Data extraction'!$L$2:$L$58,MATCH(N178,'[1]Data extraction'!$AC$2:$AC$58,0)),""))</f>
        <v/>
      </c>
      <c r="P178" s="7" t="str">
        <f t="shared" si="11"/>
        <v>Excluded at full text</v>
      </c>
      <c r="Q178" s="6" t="str">
        <f t="shared" si="12"/>
        <v>Analysis &amp; synthesis eligibility</v>
      </c>
      <c r="R178" s="4" t="str">
        <f>IF(P178&lt;&gt;"INCLUDED","",'[1]Full-text screening-extraction'!M81&amp;" ("&amp;'[1]Full-text screening-extraction'!K81&amp;"); outcome: "&amp;'[1]Full-text screening-extraction'!P81&amp;"; multivariable: "&amp;LEFT('[1]Full-text screening-extraction'!T81,120)&amp;" | adjusted for: "&amp;LEFT('[1]Full-text screening-extraction'!U81,100))</f>
        <v/>
      </c>
    </row>
    <row r="179" spans="1:18" x14ac:dyDescent="0.3">
      <c r="A179" s="4">
        <f>'[1]Abstract review'!C179</f>
        <v>175</v>
      </c>
      <c r="B179" s="4" t="str">
        <f>IFERROR(LEFT('[1]Abstract review'!D179,FIND(";",'[1]Abstract review'!D179)-1),'[1]Abstract review'!D179)</f>
        <v>J. Liu</v>
      </c>
      <c r="C179" s="5" t="str">
        <f>'[1]Abstract review'!E179&amp;""</f>
        <v>2025</v>
      </c>
      <c r="D179" s="4" t="str">
        <f>'[1]Abstract review'!F179</f>
        <v>Multi-Omics Profiling Reveals Glycerolipid Metabolism-Associated Molecular Subtypes and Identifies ALDH2 as a Prognostic Biomarker in Pancreatic Cancer</v>
      </c>
      <c r="E179" s="4" t="str">
        <f>IF('[1]Abstract review'!G179="","",'[1]Abstract review'!G179)</f>
        <v>10.3390/metabo15030207</v>
      </c>
      <c r="F179" s="4" t="str">
        <f>IF('[1]Abstract review'!I179="I","Include → full text",IF('[1]Abstract review'!I179="E","Exclude",IF('[1]Abstract review'!I179="DUP","Duplicate — removed",'[1]Abstract review'!I179)))</f>
        <v>Include → full text</v>
      </c>
      <c r="G179" s="4" t="str">
        <f>IF('[1]Abstract review'!I179="E",'[1]Abstract review'!J179,"")</f>
        <v/>
      </c>
      <c r="H179" s="4">
        <f>'[1]Full-text screening-extraction'!A82</f>
        <v>81</v>
      </c>
      <c r="I179" s="4" t="str">
        <f>IF('[1]Full-text screening-extraction'!AB82="","",'[1]Full-text screening-extraction'!AB82)</f>
        <v>unclear</v>
      </c>
      <c r="J179" s="4" t="str">
        <f>IF('[1]Full-text screening-extraction'!AC82="","",'[1]Full-text screening-extraction'!AC82)</f>
        <v>unclear</v>
      </c>
      <c r="K179" s="4" t="str">
        <f>IF('[1]Full-text screening-extraction'!AG82="","",'[1]Full-text screening-extraction'!AG82)</f>
        <v/>
      </c>
      <c r="L179" s="6" t="str">
        <f t="shared" si="9"/>
        <v>Exclude</v>
      </c>
      <c r="M179" s="6" t="str">
        <f t="shared" si="10"/>
        <v>Unclear whether an adjusted model was fitted</v>
      </c>
      <c r="N179" s="6" t="str">
        <f>IF(L179="Include",IFERROR(INDEX('[1]Data extraction'!$AC$2:$AC$58,MATCH(H179+1,'[1]Data extraction'!$AA$2:$AA$58,0)),"not found"),"")</f>
        <v/>
      </c>
      <c r="O179" s="6" t="str">
        <f>IF(N179="","",IFERROR(INDEX('[1]Data extraction'!$L$2:$L$58,MATCH(N179,'[1]Data extraction'!$AC$2:$AC$58,0)),""))</f>
        <v/>
      </c>
      <c r="P179" s="7" t="str">
        <f t="shared" si="11"/>
        <v>Excluded at full text</v>
      </c>
      <c r="Q179" s="6" t="str">
        <f t="shared" si="12"/>
        <v>Analysis &amp; synthesis eligibility</v>
      </c>
      <c r="R179" s="4" t="str">
        <f>IF(P179&lt;&gt;"INCLUDED","",'[1]Full-text screening-extraction'!M82&amp;" ("&amp;'[1]Full-text screening-extraction'!K82&amp;"); outcome: "&amp;'[1]Full-text screening-extraction'!P82&amp;"; multivariable: "&amp;LEFT('[1]Full-text screening-extraction'!T82,120)&amp;" | adjusted for: "&amp;LEFT('[1]Full-text screening-extraction'!U82,100))</f>
        <v/>
      </c>
    </row>
    <row r="180" spans="1:18" x14ac:dyDescent="0.3">
      <c r="A180" s="4">
        <f>'[1]Abstract review'!C180</f>
        <v>176</v>
      </c>
      <c r="B180" s="4" t="str">
        <f>IFERROR(LEFT('[1]Abstract review'!D180,FIND(";",'[1]Abstract review'!D180)-1),'[1]Abstract review'!D180)</f>
        <v>J. Liu</v>
      </c>
      <c r="C180" s="5" t="str">
        <f>'[1]Abstract review'!E180&amp;""</f>
        <v>2025</v>
      </c>
      <c r="D180" s="4" t="str">
        <f>'[1]Abstract review'!F180</f>
        <v>Single-cell and spatial transcriptomics reveal the interaction between PRRX2-driven epithelial cells and SPP1+ macrophages in mediating gemcitabine resistance in pancreatic ductal adenocarcinoma</v>
      </c>
      <c r="E180" s="4" t="str">
        <f>IF('[1]Abstract review'!G180="","",'[1]Abstract review'!G180)</f>
        <v>10.1097/cm9.0000000000003966</v>
      </c>
      <c r="F180" s="4" t="str">
        <f>IF('[1]Abstract review'!I180="I","Include → full text",IF('[1]Abstract review'!I180="E","Exclude",IF('[1]Abstract review'!I180="DUP","Duplicate — removed",'[1]Abstract review'!I180)))</f>
        <v>Exclude</v>
      </c>
      <c r="G180" s="4" t="str">
        <f>IF('[1]Abstract review'!I180="E",'[1]Abstract review'!J180,"")</f>
        <v>No prognostic value</v>
      </c>
      <c r="H180" s="4"/>
      <c r="I180" s="4"/>
      <c r="J180" s="4"/>
      <c r="K180" s="4"/>
      <c r="L180" s="6" t="str">
        <f t="shared" si="9"/>
        <v/>
      </c>
      <c r="M180" s="6" t="str">
        <f t="shared" si="10"/>
        <v/>
      </c>
      <c r="N180" s="6" t="str">
        <f>IF(L180="Include",IFERROR(INDEX('[1]Data extraction'!$AC$2:$AC$58,MATCH(H180+1,'[1]Data extraction'!$AA$2:$AA$58,0)),"not found"),"")</f>
        <v/>
      </c>
      <c r="O180" s="6" t="str">
        <f>IF(N180="","",IFERROR(INDEX('[1]Data extraction'!$L$2:$L$58,MATCH(N180,'[1]Data extraction'!$AC$2:$AC$58,0)),""))</f>
        <v/>
      </c>
      <c r="P180" s="7" t="str">
        <f t="shared" si="11"/>
        <v>Excluded at title/abstract</v>
      </c>
      <c r="Q180" s="6" t="str">
        <f t="shared" si="12"/>
        <v>Outcomes</v>
      </c>
      <c r="R180" s="4"/>
    </row>
    <row r="181" spans="1:18" x14ac:dyDescent="0.3">
      <c r="A181" s="4">
        <f>'[1]Abstract review'!C181</f>
        <v>177</v>
      </c>
      <c r="B181" s="4" t="str">
        <f>IFERROR(LEFT('[1]Abstract review'!D181,FIND(";",'[1]Abstract review'!D181)-1),'[1]Abstract review'!D181)</f>
        <v>J. Liu</v>
      </c>
      <c r="C181" s="5" t="str">
        <f>'[1]Abstract review'!E181&amp;""</f>
        <v>2025</v>
      </c>
      <c r="D181" s="4" t="str">
        <f>'[1]Abstract review'!F181</f>
        <v>Deciphering the heterogeneity of epithelial cells in pancreatic ductal adenocarcinoma: implications for metastasis and immune evasion</v>
      </c>
      <c r="E181" s="4" t="str">
        <f>IF('[1]Abstract review'!G181="","",'[1]Abstract review'!G181)</f>
        <v>10.1186/s12957-025-03793-3</v>
      </c>
      <c r="F181" s="4" t="str">
        <f>IF('[1]Abstract review'!I181="I","Include → full text",IF('[1]Abstract review'!I181="E","Exclude",IF('[1]Abstract review'!I181="DUP","Duplicate — removed",'[1]Abstract review'!I181)))</f>
        <v>Include → full text</v>
      </c>
      <c r="G181" s="4" t="str">
        <f>IF('[1]Abstract review'!I181="E",'[1]Abstract review'!J181,"")</f>
        <v/>
      </c>
      <c r="H181" s="4">
        <f>'[1]Full-text screening-extraction'!A83</f>
        <v>82</v>
      </c>
      <c r="I181" s="4" t="str">
        <f>IF('[1]Full-text screening-extraction'!AB83="","",'[1]Full-text screening-extraction'!AB83)</f>
        <v>unclear</v>
      </c>
      <c r="J181" s="4" t="str">
        <f>IF('[1]Full-text screening-extraction'!AC83="","",'[1]Full-text screening-extraction'!AC83)</f>
        <v>unclear</v>
      </c>
      <c r="K181" s="4" t="str">
        <f>IF('[1]Full-text screening-extraction'!AG83="","",'[1]Full-text screening-extraction'!AG83)</f>
        <v/>
      </c>
      <c r="L181" s="6" t="str">
        <f t="shared" si="9"/>
        <v>Exclude</v>
      </c>
      <c r="M181" s="6" t="str">
        <f t="shared" si="10"/>
        <v>Unclear whether an adjusted model was fitted</v>
      </c>
      <c r="N181" s="6" t="str">
        <f>IF(L181="Include",IFERROR(INDEX('[1]Data extraction'!$AC$2:$AC$58,MATCH(H181+1,'[1]Data extraction'!$AA$2:$AA$58,0)),"not found"),"")</f>
        <v/>
      </c>
      <c r="O181" s="6" t="str">
        <f>IF(N181="","",IFERROR(INDEX('[1]Data extraction'!$L$2:$L$58,MATCH(N181,'[1]Data extraction'!$AC$2:$AC$58,0)),""))</f>
        <v/>
      </c>
      <c r="P181" s="7" t="str">
        <f t="shared" si="11"/>
        <v>Excluded at full text</v>
      </c>
      <c r="Q181" s="6" t="str">
        <f t="shared" si="12"/>
        <v>Analysis &amp; synthesis eligibility</v>
      </c>
      <c r="R181" s="4" t="str">
        <f>IF(P181&lt;&gt;"INCLUDED","",'[1]Full-text screening-extraction'!M83&amp;" ("&amp;'[1]Full-text screening-extraction'!K83&amp;"); outcome: "&amp;'[1]Full-text screening-extraction'!P83&amp;"; multivariable: "&amp;LEFT('[1]Full-text screening-extraction'!T83,120)&amp;" | adjusted for: "&amp;LEFT('[1]Full-text screening-extraction'!U83,100))</f>
        <v/>
      </c>
    </row>
    <row r="182" spans="1:18" x14ac:dyDescent="0.3">
      <c r="A182" s="4">
        <f>'[1]Abstract review'!C182</f>
        <v>178</v>
      </c>
      <c r="B182" s="4" t="str">
        <f>IFERROR(LEFT('[1]Abstract review'!D182,FIND(";",'[1]Abstract review'!D182)-1),'[1]Abstract review'!D182)</f>
        <v>Hongsen Liu</v>
      </c>
      <c r="C182" s="5" t="str">
        <f>'[1]Abstract review'!E182&amp;""</f>
        <v>2025</v>
      </c>
      <c r="D182" s="4" t="str">
        <f>'[1]Abstract review'!F182</f>
        <v>Single-nucleus RNA sequencing and spatial transcriptomics reveal an immunosuppressive tumor microenvironment related to metastatic dissemination during pancreatic cancer liver metastasis</v>
      </c>
      <c r="E182" s="4" t="str">
        <f>IF('[1]Abstract review'!G182="","",'[1]Abstract review'!G182)</f>
        <v>10.7150/thno.108925</v>
      </c>
      <c r="F182" s="4" t="str">
        <f>IF('[1]Abstract review'!I182="I","Include → full text",IF('[1]Abstract review'!I182="E","Exclude",IF('[1]Abstract review'!I182="DUP","Duplicate — removed",'[1]Abstract review'!I182)))</f>
        <v>Include → full text</v>
      </c>
      <c r="G182" s="4" t="str">
        <f>IF('[1]Abstract review'!I182="E",'[1]Abstract review'!J182,"")</f>
        <v/>
      </c>
      <c r="H182" s="4">
        <f>'[1]Full-text screening-extraction'!A84</f>
        <v>83</v>
      </c>
      <c r="I182" s="4" t="str">
        <f>IF('[1]Full-text screening-extraction'!AB84="","",'[1]Full-text screening-extraction'!AB84)</f>
        <v>yes</v>
      </c>
      <c r="J182" s="4" t="str">
        <f>IF('[1]Full-text screening-extraction'!AC84="","",'[1]Full-text screening-extraction'!AC84)</f>
        <v>yes</v>
      </c>
      <c r="K182" s="4" t="str">
        <f>IF('[1]Full-text screening-extraction'!AG84="","",'[1]Full-text screening-extraction'!AG84)</f>
        <v/>
      </c>
      <c r="L182" s="6" t="str">
        <f t="shared" si="9"/>
        <v>Include</v>
      </c>
      <c r="M182" s="6" t="str">
        <f t="shared" si="10"/>
        <v/>
      </c>
      <c r="N182" s="6" t="str">
        <f>IF(L182="Include",IFERROR(INDEX('[1]Data extraction'!$AC$2:$AC$58,MATCH(H182+1,'[1]Data extraction'!$AA$2:$AA$58,0)),"not found"),"")</f>
        <v>EV-18</v>
      </c>
      <c r="O182" s="6" t="str">
        <f>IF(N182="","",IFERROR(INDEX('[1]Data extraction'!$L$2:$L$58,MATCH(N182,'[1]Data extraction'!$AC$2:$AC$58,0)),""))</f>
        <v>A-</v>
      </c>
      <c r="P182" s="7" t="str">
        <f t="shared" si="11"/>
        <v>INCLUDED</v>
      </c>
      <c r="Q182" s="6" t="str">
        <f t="shared" si="12"/>
        <v>All PICOS rows + Independent prognostic value</v>
      </c>
      <c r="R182" s="4" t="str">
        <f>IF(P182&lt;&gt;"INCLUDED","",'[1]Full-text screening-extraction'!M84&amp;" ("&amp;'[1]Full-text screening-extraction'!K84&amp;"); outcome: "&amp;'[1]Full-text screening-extraction'!P84&amp;"; multivariable: "&amp;LEFT('[1]Full-text screening-extraction'!T84,120)&amp;" | adjusted for: "&amp;LEFT('[1]Full-text screening-extraction'!U84,100))</f>
        <v>CITED4 (primary); MDRG signature (MT-CO3, CIRBP, PDGFC, MT2A, CITED4, MT-CO2, CLDN1); SPP1 (microenvironment-related) (snRNA-seq + spatial transcriptomics + bulk RNA-seq); outcome: Overall survival (OS) and disease-specific survival (DSS); multivariable: CITED4 and CIRBP identified as independent prognostic factors (multivariable Cox) | adjusted for: Not clearly specified (likely clinical variables such as stage, age)</v>
      </c>
    </row>
    <row r="183" spans="1:18" x14ac:dyDescent="0.3">
      <c r="A183" s="4">
        <f>'[1]Abstract review'!C183</f>
        <v>179</v>
      </c>
      <c r="B183" s="4" t="str">
        <f>IFERROR(LEFT('[1]Abstract review'!D183,FIND(";",'[1]Abstract review'!D183)-1),'[1]Abstract review'!D183)</f>
        <v>C. Liu</v>
      </c>
      <c r="C183" s="5" t="str">
        <f>'[1]Abstract review'!E183&amp;""</f>
        <v>2025</v>
      </c>
      <c r="D183" s="4" t="str">
        <f>'[1]Abstract review'!F183</f>
        <v>Cyst fluid proteins stratify malignant risk of intraductal papillary mucinous neoplasm of the pancreas</v>
      </c>
      <c r="E183" s="4" t="str">
        <f>IF('[1]Abstract review'!G183="","",'[1]Abstract review'!G183)</f>
        <v>10.1016/j.canlet.2025.217753</v>
      </c>
      <c r="F183" s="4" t="str">
        <f>IF('[1]Abstract review'!I183="I","Include → full text",IF('[1]Abstract review'!I183="E","Exclude",IF('[1]Abstract review'!I183="DUP","Duplicate — removed",'[1]Abstract review'!I183)))</f>
        <v>Exclude</v>
      </c>
      <c r="G183" s="4" t="str">
        <f>IF('[1]Abstract review'!I183="E",'[1]Abstract review'!J183,"")</f>
        <v>no pdac</v>
      </c>
      <c r="H183" s="4"/>
      <c r="I183" s="4"/>
      <c r="J183" s="4"/>
      <c r="K183" s="4"/>
      <c r="L183" s="6" t="str">
        <f t="shared" si="9"/>
        <v/>
      </c>
      <c r="M183" s="6" t="str">
        <f t="shared" si="10"/>
        <v/>
      </c>
      <c r="N183" s="6" t="str">
        <f>IF(L183="Include",IFERROR(INDEX('[1]Data extraction'!$AC$2:$AC$58,MATCH(H183+1,'[1]Data extraction'!$AA$2:$AA$58,0)),"not found"),"")</f>
        <v/>
      </c>
      <c r="O183" s="6" t="str">
        <f>IF(N183="","",IFERROR(INDEX('[1]Data extraction'!$L$2:$L$58,MATCH(N183,'[1]Data extraction'!$AC$2:$AC$58,0)),""))</f>
        <v/>
      </c>
      <c r="P183" s="7" t="str">
        <f t="shared" si="11"/>
        <v>Excluded at title/abstract</v>
      </c>
      <c r="Q183" s="6" t="str">
        <f t="shared" si="12"/>
        <v>Population</v>
      </c>
      <c r="R183" s="4"/>
    </row>
    <row r="184" spans="1:18" x14ac:dyDescent="0.3">
      <c r="A184" s="4">
        <f>'[1]Abstract review'!C184</f>
        <v>180</v>
      </c>
      <c r="B184" s="4" t="str">
        <f>IFERROR(LEFT('[1]Abstract review'!D184,FIND(";",'[1]Abstract review'!D184)-1),'[1]Abstract review'!D184)</f>
        <v>Lizhi Lin</v>
      </c>
      <c r="C184" s="5" t="str">
        <f>'[1]Abstract review'!E184&amp;""</f>
        <v>2025</v>
      </c>
      <c r="D184" s="4" t="str">
        <f>'[1]Abstract review'!F184</f>
        <v>Prognostic model establishment and immune microenvironment analysis based on transcriptomic data of long-term survivors of pancreatic ductal adenocarcinoma</v>
      </c>
      <c r="E184" s="4" t="str">
        <f>IF('[1]Abstract review'!G184="","",'[1]Abstract review'!G184)</f>
        <v>10.1016/j.bbrep.2025.102280</v>
      </c>
      <c r="F184" s="4" t="str">
        <f>IF('[1]Abstract review'!I184="I","Include → full text",IF('[1]Abstract review'!I184="E","Exclude",IF('[1]Abstract review'!I184="DUP","Duplicate — removed",'[1]Abstract review'!I184)))</f>
        <v>Include → full text</v>
      </c>
      <c r="G184" s="4" t="str">
        <f>IF('[1]Abstract review'!I184="E",'[1]Abstract review'!J184,"")</f>
        <v/>
      </c>
      <c r="H184" s="4">
        <f>'[1]Full-text screening-extraction'!A85</f>
        <v>84</v>
      </c>
      <c r="I184" s="4" t="str">
        <f>IF('[1]Full-text screening-extraction'!AB85="","",'[1]Full-text screening-extraction'!AB85)</f>
        <v>yes</v>
      </c>
      <c r="J184" s="4" t="str">
        <f>IF('[1]Full-text screening-extraction'!AC85="","",'[1]Full-text screening-extraction'!AC85)</f>
        <v>yes</v>
      </c>
      <c r="K184" s="4" t="str">
        <f>IF('[1]Full-text screening-extraction'!AG85="","",'[1]Full-text screening-extraction'!AG85)</f>
        <v/>
      </c>
      <c r="L184" s="6" t="str">
        <f t="shared" si="9"/>
        <v>Include</v>
      </c>
      <c r="M184" s="6" t="str">
        <f t="shared" si="10"/>
        <v/>
      </c>
      <c r="N184" s="6" t="str">
        <f>IF(L184="Include",IFERROR(INDEX('[1]Data extraction'!$AC$2:$AC$58,MATCH(H184+1,'[1]Data extraction'!$AA$2:$AA$58,0)),"not found"),"")</f>
        <v>EV-46</v>
      </c>
      <c r="O184" s="6" t="str">
        <f>IF(N184="","",IFERROR(INDEX('[1]Data extraction'!$L$2:$L$58,MATCH(N184,'[1]Data extraction'!$AC$2:$AC$58,0)),""))</f>
        <v>A</v>
      </c>
      <c r="P184" s="7" t="str">
        <f t="shared" si="11"/>
        <v>INCLUDED</v>
      </c>
      <c r="Q184" s="6" t="str">
        <f t="shared" si="12"/>
        <v>All PICOS rows + Independent prognostic value</v>
      </c>
      <c r="R184" s="4" t="str">
        <f>IF(P184&lt;&gt;"INCLUDED","",'[1]Full-text screening-extraction'!M85&amp;" ("&amp;'[1]Full-text screening-extraction'!K85&amp;"); outcome: "&amp;'[1]Full-text screening-extraction'!P85&amp;"; multivariable: "&amp;LEFT('[1]Full-text screening-extraction'!T85,120)&amp;" | adjusted for: "&amp;LEFT('[1]Full-text screening-extraction'!U85,100))</f>
        <v>P4HA1; CCDC148; UCA1; TMPRSS11E + tumor stage (Transcriptomics (RNA-seq)); outcome: Overall Survival (5-year OS); multivariable: Risk score = 0.268×P4HA1 − 0.168×CCDC148 + 0.094×UCA1 + 0.054×TMPRSS11E + 0.31×Stage; HR=2.35 (training); HR=2.73 (valid | adjusted for: Tumor stage (early vs late)</v>
      </c>
    </row>
    <row r="185" spans="1:18" x14ac:dyDescent="0.3">
      <c r="A185" s="4">
        <f>'[1]Abstract review'!C185</f>
        <v>181</v>
      </c>
      <c r="B185" s="4" t="str">
        <f>IFERROR(LEFT('[1]Abstract review'!D185,FIND(";",'[1]Abstract review'!D185)-1),'[1]Abstract review'!D185)</f>
        <v>K. Liao</v>
      </c>
      <c r="C185" s="5" t="str">
        <f>'[1]Abstract review'!E185&amp;""</f>
        <v>2025</v>
      </c>
      <c r="D185" s="4" t="str">
        <f>'[1]Abstract review'!F185</f>
        <v>Prognostic differential subpopulation classification and immunotherapy response prediction in pancreatic cancer patients based on the gene features of necrotizing apoptosis</v>
      </c>
      <c r="E185" s="4" t="str">
        <f>IF('[1]Abstract review'!G185="","",'[1]Abstract review'!G185)</f>
        <v>10.3389/fimmu.2025.1592231</v>
      </c>
      <c r="F185" s="4" t="str">
        <f>IF('[1]Abstract review'!I185="I","Include → full text",IF('[1]Abstract review'!I185="E","Exclude",IF('[1]Abstract review'!I185="DUP","Duplicate — removed",'[1]Abstract review'!I185)))</f>
        <v>Include → full text</v>
      </c>
      <c r="G185" s="4" t="str">
        <f>IF('[1]Abstract review'!I185="E",'[1]Abstract review'!J185,"")</f>
        <v/>
      </c>
      <c r="H185" s="4">
        <f>'[1]Full-text screening-extraction'!A86</f>
        <v>85</v>
      </c>
      <c r="I185" s="4" t="str">
        <f>IF('[1]Full-text screening-extraction'!AB86="","",'[1]Full-text screening-extraction'!AB86)</f>
        <v>yes</v>
      </c>
      <c r="J185" s="4" t="str">
        <f>IF('[1]Full-text screening-extraction'!AC86="","",'[1]Full-text screening-extraction'!AC86)</f>
        <v>unclear</v>
      </c>
      <c r="K185" s="4" t="str">
        <f>IF('[1]Full-text screening-extraction'!AG86="","",'[1]Full-text screening-extraction'!AG86)</f>
        <v/>
      </c>
      <c r="L185" s="6" t="str">
        <f t="shared" si="9"/>
        <v>Exclude</v>
      </c>
      <c r="M185" s="6" t="str">
        <f t="shared" si="10"/>
        <v>Unclear whether an adjusted model was fitted</v>
      </c>
      <c r="N185" s="6" t="str">
        <f>IF(L185="Include",IFERROR(INDEX('[1]Data extraction'!$AC$2:$AC$58,MATCH(H185+1,'[1]Data extraction'!$AA$2:$AA$58,0)),"not found"),"")</f>
        <v/>
      </c>
      <c r="O185" s="6" t="str">
        <f>IF(N185="","",IFERROR(INDEX('[1]Data extraction'!$L$2:$L$58,MATCH(N185,'[1]Data extraction'!$AC$2:$AC$58,0)),""))</f>
        <v/>
      </c>
      <c r="P185" s="7" t="str">
        <f t="shared" si="11"/>
        <v>Excluded at full text</v>
      </c>
      <c r="Q185" s="6" t="str">
        <f t="shared" si="12"/>
        <v>Analysis &amp; synthesis eligibility</v>
      </c>
      <c r="R185" s="4" t="str">
        <f>IF(P185&lt;&gt;"INCLUDED","",'[1]Full-text screening-extraction'!M86&amp;" ("&amp;'[1]Full-text screening-extraction'!K86&amp;"); outcome: "&amp;'[1]Full-text screening-extraction'!P86&amp;"; multivariable: "&amp;LEFT('[1]Full-text screening-extraction'!T86,120)&amp;" | adjusted for: "&amp;LEFT('[1]Full-text screening-extraction'!U86,100))</f>
        <v/>
      </c>
    </row>
    <row r="186" spans="1:18" x14ac:dyDescent="0.3">
      <c r="A186" s="4">
        <f>'[1]Abstract review'!C186</f>
        <v>182</v>
      </c>
      <c r="B186" s="4" t="str">
        <f>IFERROR(LEFT('[1]Abstract review'!D186,FIND(";",'[1]Abstract review'!D186)-1),'[1]Abstract review'!D186)</f>
        <v>Y. Liang</v>
      </c>
      <c r="C186" s="5" t="str">
        <f>'[1]Abstract review'!E186&amp;""</f>
        <v>2025</v>
      </c>
      <c r="D186" s="4" t="str">
        <f>'[1]Abstract review'!F186</f>
        <v>Dendritic cell-related gene signature in pancreatic cancer stratifies patient subtypes and implicates a KCTD14-TNF signaling axis</v>
      </c>
      <c r="E186" s="4" t="str">
        <f>IF('[1]Abstract review'!G186="","",'[1]Abstract review'!G186)</f>
        <v>10.3389/fimmu.2025.1665906</v>
      </c>
      <c r="F186" s="4" t="str">
        <f>IF('[1]Abstract review'!I186="I","Include → full text",IF('[1]Abstract review'!I186="E","Exclude",IF('[1]Abstract review'!I186="DUP","Duplicate — removed",'[1]Abstract review'!I186)))</f>
        <v>Include → full text</v>
      </c>
      <c r="G186" s="4" t="str">
        <f>IF('[1]Abstract review'!I186="E",'[1]Abstract review'!J186,"")</f>
        <v/>
      </c>
      <c r="H186" s="4">
        <f>'[1]Full-text screening-extraction'!A87</f>
        <v>86</v>
      </c>
      <c r="I186" s="4" t="str">
        <f>IF('[1]Full-text screening-extraction'!AB87="","",'[1]Full-text screening-extraction'!AB87)</f>
        <v>yes</v>
      </c>
      <c r="J186" s="4" t="str">
        <f>IF('[1]Full-text screening-extraction'!AC87="","",'[1]Full-text screening-extraction'!AC87)</f>
        <v>unclear</v>
      </c>
      <c r="K186" s="4" t="str">
        <f>IF('[1]Full-text screening-extraction'!AG87="","",'[1]Full-text screening-extraction'!AG87)</f>
        <v/>
      </c>
      <c r="L186" s="6" t="str">
        <f t="shared" si="9"/>
        <v>Exclude</v>
      </c>
      <c r="M186" s="6" t="str">
        <f t="shared" si="10"/>
        <v>Unclear whether an adjusted model was fitted</v>
      </c>
      <c r="N186" s="6" t="str">
        <f>IF(L186="Include",IFERROR(INDEX('[1]Data extraction'!$AC$2:$AC$58,MATCH(H186+1,'[1]Data extraction'!$AA$2:$AA$58,0)),"not found"),"")</f>
        <v/>
      </c>
      <c r="O186" s="6" t="str">
        <f>IF(N186="","",IFERROR(INDEX('[1]Data extraction'!$L$2:$L$58,MATCH(N186,'[1]Data extraction'!$AC$2:$AC$58,0)),""))</f>
        <v/>
      </c>
      <c r="P186" s="7" t="str">
        <f t="shared" si="11"/>
        <v>Excluded at full text</v>
      </c>
      <c r="Q186" s="6" t="str">
        <f t="shared" si="12"/>
        <v>Analysis &amp; synthesis eligibility</v>
      </c>
      <c r="R186" s="4" t="str">
        <f>IF(P186&lt;&gt;"INCLUDED","",'[1]Full-text screening-extraction'!M87&amp;" ("&amp;'[1]Full-text screening-extraction'!K87&amp;"); outcome: "&amp;'[1]Full-text screening-extraction'!P87&amp;"; multivariable: "&amp;LEFT('[1]Full-text screening-extraction'!T87,120)&amp;" | adjusted for: "&amp;LEFT('[1]Full-text screening-extraction'!U87,100))</f>
        <v/>
      </c>
    </row>
    <row r="187" spans="1:18" x14ac:dyDescent="0.3">
      <c r="A187" s="4">
        <f>'[1]Abstract review'!C187</f>
        <v>183</v>
      </c>
      <c r="B187" s="4" t="str">
        <f>IFERROR(LEFT('[1]Abstract review'!D187,FIND(";",'[1]Abstract review'!D187)-1),'[1]Abstract review'!D187)</f>
        <v>O. Liang</v>
      </c>
      <c r="C187" s="5" t="str">
        <f>'[1]Abstract review'!E187&amp;""</f>
        <v>2025</v>
      </c>
      <c r="D187" s="4" t="str">
        <f>'[1]Abstract review'!F187</f>
        <v>High mesothelin expression is associated with low cytotoxic T cell infiltration in pancreatic cancer</v>
      </c>
      <c r="E187" s="4" t="str">
        <f>IF('[1]Abstract review'!G187="","",'[1]Abstract review'!G187)</f>
        <v>10.3389/fimmu.2025.1651687</v>
      </c>
      <c r="F187" s="4" t="str">
        <f>IF('[1]Abstract review'!I187="I","Include → full text",IF('[1]Abstract review'!I187="E","Exclude",IF('[1]Abstract review'!I187="DUP","Duplicate — removed",'[1]Abstract review'!I187)))</f>
        <v>Include → full text</v>
      </c>
      <c r="G187" s="4" t="str">
        <f>IF('[1]Abstract review'!I187="E",'[1]Abstract review'!J187,"")</f>
        <v/>
      </c>
      <c r="H187" s="4">
        <f>'[1]Full-text screening-extraction'!A88</f>
        <v>87</v>
      </c>
      <c r="I187" s="4" t="str">
        <f>IF('[1]Full-text screening-extraction'!AB88="","",'[1]Full-text screening-extraction'!AB88)</f>
        <v>yes</v>
      </c>
      <c r="J187" s="4" t="str">
        <f>IF('[1]Full-text screening-extraction'!AC88="","",'[1]Full-text screening-extraction'!AC88)</f>
        <v>no</v>
      </c>
      <c r="K187" s="4" t="str">
        <f>IF('[1]Full-text screening-extraction'!AG88="","",'[1]Full-text screening-extraction'!AG88)</f>
        <v/>
      </c>
      <c r="L187" s="6" t="str">
        <f t="shared" si="9"/>
        <v>Exclude</v>
      </c>
      <c r="M187" s="6" t="str">
        <f t="shared" si="10"/>
        <v>Biomarker not independent after adjustment</v>
      </c>
      <c r="N187" s="6" t="str">
        <f>IF(L187="Include",IFERROR(INDEX('[1]Data extraction'!$AC$2:$AC$58,MATCH(H187+1,'[1]Data extraction'!$AA$2:$AA$58,0)),"not found"),"")</f>
        <v/>
      </c>
      <c r="O187" s="6" t="str">
        <f>IF(N187="","",IFERROR(INDEX('[1]Data extraction'!$L$2:$L$58,MATCH(N187,'[1]Data extraction'!$AC$2:$AC$58,0)),""))</f>
        <v/>
      </c>
      <c r="P187" s="7" t="str">
        <f t="shared" si="11"/>
        <v>Excluded at full text</v>
      </c>
      <c r="Q187" s="6" t="str">
        <f t="shared" si="12"/>
        <v>Independent prognostic value</v>
      </c>
      <c r="R187" s="4" t="str">
        <f>IF(P187&lt;&gt;"INCLUDED","",'[1]Full-text screening-extraction'!M88&amp;" ("&amp;'[1]Full-text screening-extraction'!K88&amp;"); outcome: "&amp;'[1]Full-text screening-extraction'!P88&amp;"; multivariable: "&amp;LEFT('[1]Full-text screening-extraction'!T88,120)&amp;" | adjusted for: "&amp;LEFT('[1]Full-text screening-extraction'!U88,100))</f>
        <v/>
      </c>
    </row>
    <row r="188" spans="1:18" x14ac:dyDescent="0.3">
      <c r="A188" s="4">
        <f>'[1]Abstract review'!C188</f>
        <v>184</v>
      </c>
      <c r="B188" s="4" t="str">
        <f>IFERROR(LEFT('[1]Abstract review'!D188,FIND(";",'[1]Abstract review'!D188)-1),'[1]Abstract review'!D188)</f>
        <v>Yaguang Li</v>
      </c>
      <c r="C188" s="5" t="str">
        <f>'[1]Abstract review'!E188&amp;""</f>
        <v>2025</v>
      </c>
      <c r="D188" s="4" t="str">
        <f>'[1]Abstract review'!F188</f>
        <v>Author Correction: Single-cell transcriptomics analysis reveals dynamic changes and prognostic signature in tumor microenvironment of PDAC</v>
      </c>
      <c r="E188" s="4" t="str">
        <f>IF('[1]Abstract review'!G188="","",'[1]Abstract review'!G188)</f>
        <v>10.1038/s41598-025-02747-9</v>
      </c>
      <c r="F188" s="4" t="str">
        <f>IF('[1]Abstract review'!I188="I","Include → full text",IF('[1]Abstract review'!I188="E","Exclude",IF('[1]Abstract review'!I188="DUP","Duplicate — removed",'[1]Abstract review'!I188)))</f>
        <v>Exclude</v>
      </c>
      <c r="G188" s="4" t="str">
        <f>IF('[1]Abstract review'!I188="E",'[1]Abstract review'!J188,"")</f>
        <v>Author Correction</v>
      </c>
      <c r="H188" s="4"/>
      <c r="I188" s="4"/>
      <c r="J188" s="4"/>
      <c r="K188" s="4"/>
      <c r="L188" s="6" t="str">
        <f t="shared" si="9"/>
        <v/>
      </c>
      <c r="M188" s="6" t="str">
        <f t="shared" si="10"/>
        <v/>
      </c>
      <c r="N188" s="6" t="str">
        <f>IF(L188="Include",IFERROR(INDEX('[1]Data extraction'!$AC$2:$AC$58,MATCH(H188+1,'[1]Data extraction'!$AA$2:$AA$58,0)),"not found"),"")</f>
        <v/>
      </c>
      <c r="O188" s="6" t="str">
        <f>IF(N188="","",IFERROR(INDEX('[1]Data extraction'!$L$2:$L$58,MATCH(N188,'[1]Data extraction'!$AC$2:$AC$58,0)),""))</f>
        <v/>
      </c>
      <c r="P188" s="7" t="str">
        <f t="shared" si="11"/>
        <v>Excluded at title/abstract</v>
      </c>
      <c r="Q188" s="6" t="str">
        <f t="shared" si="12"/>
        <v>Study design</v>
      </c>
      <c r="R188" s="4"/>
    </row>
    <row r="189" spans="1:18" x14ac:dyDescent="0.3">
      <c r="A189" s="4">
        <f>'[1]Abstract review'!C189</f>
        <v>185</v>
      </c>
      <c r="B189" s="4" t="str">
        <f>IFERROR(LEFT('[1]Abstract review'!D189,FIND(";",'[1]Abstract review'!D189)-1),'[1]Abstract review'!D189)</f>
        <v>X. Li</v>
      </c>
      <c r="C189" s="5" t="str">
        <f>'[1]Abstract review'!E189&amp;""</f>
        <v>2025</v>
      </c>
      <c r="D189" s="4" t="str">
        <f>'[1]Abstract review'!F189</f>
        <v>BNC2 as a novel driver of pancreatic cancer progression through transcriptional regulation of COL3A1 and epithelial-to-mesenchymal transition</v>
      </c>
      <c r="E189" s="4" t="str">
        <f>IF('[1]Abstract review'!G189="","",'[1]Abstract review'!G189)</f>
        <v>10.1007/s12032-025-03139-9</v>
      </c>
      <c r="F189" s="4" t="str">
        <f>IF('[1]Abstract review'!I189="I","Include → full text",IF('[1]Abstract review'!I189="E","Exclude",IF('[1]Abstract review'!I189="DUP","Duplicate — removed",'[1]Abstract review'!I189)))</f>
        <v>Include → full text</v>
      </c>
      <c r="G189" s="4" t="str">
        <f>IF('[1]Abstract review'!I189="E",'[1]Abstract review'!J189,"")</f>
        <v/>
      </c>
      <c r="H189" s="4">
        <f>'[1]Full-text screening-extraction'!A89</f>
        <v>88</v>
      </c>
      <c r="I189" s="4" t="str">
        <f>IF('[1]Full-text screening-extraction'!AB89="","",'[1]Full-text screening-extraction'!AB89)</f>
        <v>unclear</v>
      </c>
      <c r="J189" s="4" t="str">
        <f>IF('[1]Full-text screening-extraction'!AC89="","",'[1]Full-text screening-extraction'!AC89)</f>
        <v>unclear</v>
      </c>
      <c r="K189" s="4" t="str">
        <f>IF('[1]Full-text screening-extraction'!AG89="","",'[1]Full-text screening-extraction'!AG89)</f>
        <v/>
      </c>
      <c r="L189" s="6" t="str">
        <f t="shared" si="9"/>
        <v>Exclude</v>
      </c>
      <c r="M189" s="6" t="str">
        <f t="shared" si="10"/>
        <v>Unclear whether an adjusted model was fitted</v>
      </c>
      <c r="N189" s="6" t="str">
        <f>IF(L189="Include",IFERROR(INDEX('[1]Data extraction'!$AC$2:$AC$58,MATCH(H189+1,'[1]Data extraction'!$AA$2:$AA$58,0)),"not found"),"")</f>
        <v/>
      </c>
      <c r="O189" s="6" t="str">
        <f>IF(N189="","",IFERROR(INDEX('[1]Data extraction'!$L$2:$L$58,MATCH(N189,'[1]Data extraction'!$AC$2:$AC$58,0)),""))</f>
        <v/>
      </c>
      <c r="P189" s="7" t="str">
        <f t="shared" si="11"/>
        <v>Excluded at full text</v>
      </c>
      <c r="Q189" s="6" t="str">
        <f t="shared" si="12"/>
        <v>Analysis &amp; synthesis eligibility</v>
      </c>
      <c r="R189" s="4" t="str">
        <f>IF(P189&lt;&gt;"INCLUDED","",'[1]Full-text screening-extraction'!M89&amp;" ("&amp;'[1]Full-text screening-extraction'!K89&amp;"); outcome: "&amp;'[1]Full-text screening-extraction'!P89&amp;"; multivariable: "&amp;LEFT('[1]Full-text screening-extraction'!T89,120)&amp;" | adjusted for: "&amp;LEFT('[1]Full-text screening-extraction'!U89,100))</f>
        <v/>
      </c>
    </row>
    <row r="190" spans="1:18" x14ac:dyDescent="0.3">
      <c r="A190" s="4">
        <f>'[1]Abstract review'!C190</f>
        <v>186</v>
      </c>
      <c r="B190" s="4" t="str">
        <f>IFERROR(LEFT('[1]Abstract review'!D190,FIND(";",'[1]Abstract review'!D190)-1),'[1]Abstract review'!D190)</f>
        <v>H. Li</v>
      </c>
      <c r="C190" s="5" t="str">
        <f>'[1]Abstract review'!E190&amp;""</f>
        <v>2025</v>
      </c>
      <c r="D190" s="4" t="str">
        <f>'[1]Abstract review'!F190</f>
        <v>Pan-cancer analysis reveals multifaceted roles of nonmyelinating Schwann cells in gastrointestinal cancers</v>
      </c>
      <c r="E190" s="4" t="str">
        <f>IF('[1]Abstract review'!G190="","",'[1]Abstract review'!G190)</f>
        <v>10.1016/j.canlet.2025.217850</v>
      </c>
      <c r="F190" s="4" t="str">
        <f>IF('[1]Abstract review'!I190="I","Include → full text",IF('[1]Abstract review'!I190="E","Exclude",IF('[1]Abstract review'!I190="DUP","Duplicate — removed",'[1]Abstract review'!I190)))</f>
        <v>Exclude</v>
      </c>
      <c r="G190" s="4" t="str">
        <f>IF('[1]Abstract review'!I190="E",'[1]Abstract review'!J190,"")</f>
        <v>no pdac</v>
      </c>
      <c r="H190" s="4"/>
      <c r="I190" s="4"/>
      <c r="J190" s="4"/>
      <c r="K190" s="4"/>
      <c r="L190" s="6" t="str">
        <f t="shared" si="9"/>
        <v/>
      </c>
      <c r="M190" s="6" t="str">
        <f t="shared" si="10"/>
        <v/>
      </c>
      <c r="N190" s="6" t="str">
        <f>IF(L190="Include",IFERROR(INDEX('[1]Data extraction'!$AC$2:$AC$58,MATCH(H190+1,'[1]Data extraction'!$AA$2:$AA$58,0)),"not found"),"")</f>
        <v/>
      </c>
      <c r="O190" s="6" t="str">
        <f>IF(N190="","",IFERROR(INDEX('[1]Data extraction'!$L$2:$L$58,MATCH(N190,'[1]Data extraction'!$AC$2:$AC$58,0)),""))</f>
        <v/>
      </c>
      <c r="P190" s="7" t="str">
        <f t="shared" si="11"/>
        <v>Excluded at title/abstract</v>
      </c>
      <c r="Q190" s="6" t="str">
        <f t="shared" si="12"/>
        <v>Population</v>
      </c>
      <c r="R190" s="4"/>
    </row>
    <row r="191" spans="1:18" x14ac:dyDescent="0.3">
      <c r="A191" s="4">
        <f>'[1]Abstract review'!C191</f>
        <v>187</v>
      </c>
      <c r="B191" s="4" t="str">
        <f>IFERROR(LEFT('[1]Abstract review'!D191,FIND(";",'[1]Abstract review'!D191)-1),'[1]Abstract review'!D191)</f>
        <v>Jaewon J. Lee</v>
      </c>
      <c r="C191" s="5" t="str">
        <f>'[1]Abstract review'!E191&amp;""</f>
        <v>2025</v>
      </c>
      <c r="D191" s="4" t="str">
        <f>'[1]Abstract review'!F191</f>
        <v>Cross-platform comparison of gene expression-based cancer molecular subtyping reveals discrepancies with exome capture methods</v>
      </c>
      <c r="E191" s="4" t="str">
        <f>IF('[1]Abstract review'!G191="","",'[1]Abstract review'!G191)</f>
        <v>10.1038/s41698-025-01228-6</v>
      </c>
      <c r="F191" s="4" t="str">
        <f>IF('[1]Abstract review'!I191="I","Include → full text",IF('[1]Abstract review'!I191="E","Exclude",IF('[1]Abstract review'!I191="DUP","Duplicate — removed",'[1]Abstract review'!I191)))</f>
        <v>Include → full text</v>
      </c>
      <c r="G191" s="4" t="str">
        <f>IF('[1]Abstract review'!I191="E",'[1]Abstract review'!J191,"")</f>
        <v/>
      </c>
      <c r="H191" s="4">
        <f>'[1]Full-text screening-extraction'!A90</f>
        <v>89</v>
      </c>
      <c r="I191" s="4" t="str">
        <f>IF('[1]Full-text screening-extraction'!AB90="","",'[1]Full-text screening-extraction'!AB90)</f>
        <v>no</v>
      </c>
      <c r="J191" s="4" t="str">
        <f>IF('[1]Full-text screening-extraction'!AC90="","",'[1]Full-text screening-extraction'!AC90)</f>
        <v>NA</v>
      </c>
      <c r="K191" s="4" t="str">
        <f>IF('[1]Full-text screening-extraction'!AG90="","",'[1]Full-text screening-extraction'!AG90)</f>
        <v/>
      </c>
      <c r="L191" s="6" t="str">
        <f t="shared" si="9"/>
        <v>Exclude</v>
      </c>
      <c r="M191" s="6" t="str">
        <f t="shared" si="10"/>
        <v>No adjusted multivariable model fitted</v>
      </c>
      <c r="N191" s="6" t="str">
        <f>IF(L191="Include",IFERROR(INDEX('[1]Data extraction'!$AC$2:$AC$58,MATCH(H191+1,'[1]Data extraction'!$AA$2:$AA$58,0)),"not found"),"")</f>
        <v/>
      </c>
      <c r="O191" s="6" t="str">
        <f>IF(N191="","",IFERROR(INDEX('[1]Data extraction'!$L$2:$L$58,MATCH(N191,'[1]Data extraction'!$AC$2:$AC$58,0)),""))</f>
        <v/>
      </c>
      <c r="P191" s="7" t="str">
        <f t="shared" si="11"/>
        <v>Excluded at full text</v>
      </c>
      <c r="Q191" s="6" t="str">
        <f t="shared" si="12"/>
        <v>Analysis &amp; synthesis eligibility</v>
      </c>
      <c r="R191" s="4" t="str">
        <f>IF(P191&lt;&gt;"INCLUDED","",'[1]Full-text screening-extraction'!M90&amp;" ("&amp;'[1]Full-text screening-extraction'!K90&amp;"); outcome: "&amp;'[1]Full-text screening-extraction'!P90&amp;"; multivariable: "&amp;LEFT('[1]Full-text screening-extraction'!T90,120)&amp;" | adjusted for: "&amp;LEFT('[1]Full-text screening-extraction'!U90,100))</f>
        <v/>
      </c>
    </row>
    <row r="192" spans="1:18" x14ac:dyDescent="0.3">
      <c r="A192" s="4">
        <f>'[1]Abstract review'!C192</f>
        <v>188</v>
      </c>
      <c r="B192" s="4" t="str">
        <f>IFERROR(LEFT('[1]Abstract review'!D192,FIND(";",'[1]Abstract review'!D192)-1),'[1]Abstract review'!D192)</f>
        <v>M. F. Lansbergen</v>
      </c>
      <c r="C192" s="5" t="str">
        <f>'[1]Abstract review'!E192&amp;""</f>
        <v>2025</v>
      </c>
      <c r="D192" s="4" t="str">
        <f>'[1]Abstract review'!F192</f>
        <v>KRAS mutation status integrated with RNA subtyping improves prognostic modeling in FOLFIRINOX-treated metastatic pancreatic cancer</v>
      </c>
      <c r="E192" s="4" t="str">
        <f>IF('[1]Abstract review'!G192="","",'[1]Abstract review'!G192)</f>
        <v>10.1016/j.medj.2025.100601</v>
      </c>
      <c r="F192" s="4" t="str">
        <f>IF('[1]Abstract review'!I192="I","Include → full text",IF('[1]Abstract review'!I192="E","Exclude",IF('[1]Abstract review'!I192="DUP","Duplicate — removed",'[1]Abstract review'!I192)))</f>
        <v>Include → full text</v>
      </c>
      <c r="G192" s="4" t="str">
        <f>IF('[1]Abstract review'!I192="E",'[1]Abstract review'!J192,"")</f>
        <v/>
      </c>
      <c r="H192" s="4">
        <f>'[1]Full-text screening-extraction'!A91</f>
        <v>90</v>
      </c>
      <c r="I192" s="4" t="str">
        <f>IF('[1]Full-text screening-extraction'!AB91="","",'[1]Full-text screening-extraction'!AB91)</f>
        <v>yes</v>
      </c>
      <c r="J192" s="4" t="str">
        <f>IF('[1]Full-text screening-extraction'!AC91="","",'[1]Full-text screening-extraction'!AC91)</f>
        <v>yes</v>
      </c>
      <c r="K192" s="4" t="str">
        <f>IF('[1]Full-text screening-extraction'!AG91="","",'[1]Full-text screening-extraction'!AG91)</f>
        <v/>
      </c>
      <c r="L192" s="6" t="str">
        <f t="shared" si="9"/>
        <v>Include</v>
      </c>
      <c r="M192" s="6" t="str">
        <f t="shared" si="10"/>
        <v/>
      </c>
      <c r="N192" s="6" t="str">
        <f>IF(L192="Include",IFERROR(INDEX('[1]Data extraction'!$AC$2:$AC$58,MATCH(H192+1,'[1]Data extraction'!$AA$2:$AA$58,0)),"not found"),"")</f>
        <v>EV-47</v>
      </c>
      <c r="O192" s="6" t="str">
        <f>IF(N192="","",IFERROR(INDEX('[1]Data extraction'!$L$2:$L$58,MATCH(N192,'[1]Data extraction'!$AC$2:$AC$58,0)),""))</f>
        <v>B+</v>
      </c>
      <c r="P192" s="7" t="str">
        <f t="shared" si="11"/>
        <v>INCLUDED</v>
      </c>
      <c r="Q192" s="6" t="str">
        <f t="shared" si="12"/>
        <v>All PICOS rows + Independent prognostic value</v>
      </c>
      <c r="R192" s="4" t="str">
        <f>IF(P192&lt;&gt;"INCLUDED","",'[1]Full-text screening-extraction'!M91&amp;" ("&amp;'[1]Full-text screening-extraction'!K91&amp;"); outcome: "&amp;'[1]Full-text screening-extraction'!P91&amp;"; multivariable: "&amp;LEFT('[1]Full-text screening-extraction'!T91,120)&amp;" | adjusted for: "&amp;LEFT('[1]Full-text screening-extraction'!U91,100))</f>
        <v>KRAS mutational status as key biomarker; integrated molecular classifier of KRAS wild-type vs KRAS-mutant classical vs KRAS-mutant basal-like; exploratory HRD and other somatic mutations (Genomics + transcriptomics (WGS + bulk RNA-seq)); outcome: Overall survival (OS) from start of FOLFIRINOX; multivariable: Multivariable Cox showed molecular subgroup remained independently associated with OS: KRAS-mutant classical vs KRAS-mut | adjusted for: Age, sex, stage, only lymph node metastases, peritoneal metastases, liver metastases, number of meta</v>
      </c>
    </row>
    <row r="193" spans="1:18" x14ac:dyDescent="0.3">
      <c r="A193" s="4">
        <f>'[1]Abstract review'!C193</f>
        <v>189</v>
      </c>
      <c r="B193" s="4" t="str">
        <f>IFERROR(LEFT('[1]Abstract review'!D193,FIND(";",'[1]Abstract review'!D193)-1),'[1]Abstract review'!D193)</f>
        <v>A. Langtry</v>
      </c>
      <c r="C193" s="5" t="str">
        <f>'[1]Abstract review'!E193&amp;""</f>
        <v>2025</v>
      </c>
      <c r="D193" s="4" t="str">
        <f>'[1]Abstract review'!F193</f>
        <v>Deciphering the role of complement system genes in pancreatic cancer susceptibility and prognosis</v>
      </c>
      <c r="E193" s="4" t="str">
        <f>IF('[1]Abstract review'!G193="","",'[1]Abstract review'!G193)</f>
        <v>10.1038/s41467-025-65811-y</v>
      </c>
      <c r="F193" s="4" t="str">
        <f>IF('[1]Abstract review'!I193="I","Include → full text",IF('[1]Abstract review'!I193="E","Exclude",IF('[1]Abstract review'!I193="DUP","Duplicate — removed",'[1]Abstract review'!I193)))</f>
        <v>Include → full text</v>
      </c>
      <c r="G193" s="4" t="str">
        <f>IF('[1]Abstract review'!I193="E",'[1]Abstract review'!J193,"")</f>
        <v/>
      </c>
      <c r="H193" s="4">
        <f>'[1]Full-text screening-extraction'!A92</f>
        <v>91</v>
      </c>
      <c r="I193" s="4" t="str">
        <f>IF('[1]Full-text screening-extraction'!AB92="","",'[1]Full-text screening-extraction'!AB92)</f>
        <v>unclear</v>
      </c>
      <c r="J193" s="4" t="str">
        <f>IF('[1]Full-text screening-extraction'!AC92="","",'[1]Full-text screening-extraction'!AC92)</f>
        <v>unclear</v>
      </c>
      <c r="K193" s="4" t="str">
        <f>IF('[1]Full-text screening-extraction'!AG92="","",'[1]Full-text screening-extraction'!AG92)</f>
        <v/>
      </c>
      <c r="L193" s="6" t="str">
        <f t="shared" si="9"/>
        <v>Exclude</v>
      </c>
      <c r="M193" s="6" t="str">
        <f t="shared" si="10"/>
        <v>Unclear whether an adjusted model was fitted</v>
      </c>
      <c r="N193" s="6" t="str">
        <f>IF(L193="Include",IFERROR(INDEX('[1]Data extraction'!$AC$2:$AC$58,MATCH(H193+1,'[1]Data extraction'!$AA$2:$AA$58,0)),"not found"),"")</f>
        <v/>
      </c>
      <c r="O193" s="6" t="str">
        <f>IF(N193="","",IFERROR(INDEX('[1]Data extraction'!$L$2:$L$58,MATCH(N193,'[1]Data extraction'!$AC$2:$AC$58,0)),""))</f>
        <v/>
      </c>
      <c r="P193" s="7" t="str">
        <f t="shared" si="11"/>
        <v>Excluded at full text</v>
      </c>
      <c r="Q193" s="6" t="str">
        <f t="shared" si="12"/>
        <v>Analysis &amp; synthesis eligibility</v>
      </c>
      <c r="R193" s="4" t="str">
        <f>IF(P193&lt;&gt;"INCLUDED","",'[1]Full-text screening-extraction'!M92&amp;" ("&amp;'[1]Full-text screening-extraction'!K92&amp;"); outcome: "&amp;'[1]Full-text screening-extraction'!P92&amp;"; multivariable: "&amp;LEFT('[1]Full-text screening-extraction'!T92,120)&amp;" | adjusted for: "&amp;LEFT('[1]Full-text screening-extraction'!U92,100))</f>
        <v/>
      </c>
    </row>
    <row r="194" spans="1:18" x14ac:dyDescent="0.3">
      <c r="A194" s="4">
        <f>'[1]Abstract review'!C194</f>
        <v>190</v>
      </c>
      <c r="B194" s="4" t="str">
        <f>IFERROR(LEFT('[1]Abstract review'!D194,FIND(";",'[1]Abstract review'!D194)-1),'[1]Abstract review'!D194)</f>
        <v>Natalie Landon-Brace</v>
      </c>
      <c r="C194" s="5" t="str">
        <f>'[1]Abstract review'!E194&amp;""</f>
        <v>2025</v>
      </c>
      <c r="D194" s="4" t="str">
        <f>'[1]Abstract review'!F194</f>
        <v>Analysis of an engineered organoid model of pancreatic cancer identifies hypoxia as a contributing factor in determining transcriptional subtypes</v>
      </c>
      <c r="E194" s="4" t="str">
        <f>IF('[1]Abstract review'!G194="","",'[1]Abstract review'!G194)</f>
        <v>10.1038/s41598-025-98344-x</v>
      </c>
      <c r="F194" s="4" t="str">
        <f>IF('[1]Abstract review'!I194="I","Include → full text",IF('[1]Abstract review'!I194="E","Exclude",IF('[1]Abstract review'!I194="DUP","Duplicate — removed",'[1]Abstract review'!I194)))</f>
        <v>Exclude</v>
      </c>
      <c r="G194" s="4" t="str">
        <f>IF('[1]Abstract review'!I194="E",'[1]Abstract review'!J194,"")</f>
        <v>Preclinical studies</v>
      </c>
      <c r="H194" s="4"/>
      <c r="I194" s="4"/>
      <c r="J194" s="4"/>
      <c r="K194" s="4"/>
      <c r="L194" s="6" t="str">
        <f t="shared" si="9"/>
        <v/>
      </c>
      <c r="M194" s="6" t="str">
        <f t="shared" si="10"/>
        <v/>
      </c>
      <c r="N194" s="6" t="str">
        <f>IF(L194="Include",IFERROR(INDEX('[1]Data extraction'!$AC$2:$AC$58,MATCH(H194+1,'[1]Data extraction'!$AA$2:$AA$58,0)),"not found"),"")</f>
        <v/>
      </c>
      <c r="O194" s="6" t="str">
        <f>IF(N194="","",IFERROR(INDEX('[1]Data extraction'!$L$2:$L$58,MATCH(N194,'[1]Data extraction'!$AC$2:$AC$58,0)),""))</f>
        <v/>
      </c>
      <c r="P194" s="7" t="str">
        <f t="shared" si="11"/>
        <v>Excluded at title/abstract</v>
      </c>
      <c r="Q194" s="6" t="str">
        <f t="shared" si="12"/>
        <v>Study design</v>
      </c>
      <c r="R194" s="4"/>
    </row>
    <row r="195" spans="1:18" x14ac:dyDescent="0.3">
      <c r="A195" s="4">
        <f>'[1]Abstract review'!C195</f>
        <v>191</v>
      </c>
      <c r="B195" s="4" t="str">
        <f>IFERROR(LEFT('[1]Abstract review'!D195,FIND(";",'[1]Abstract review'!D195)-1),'[1]Abstract review'!D195)</f>
        <v>Anton Lahusen</v>
      </c>
      <c r="C195" s="5" t="str">
        <f>'[1]Abstract review'!E195&amp;""</f>
        <v>2025</v>
      </c>
      <c r="D195" s="4" t="str">
        <f>'[1]Abstract review'!F195</f>
        <v>An immune responsive tumor microenvironment imprints into PBMCs and predicts outcome in advanced pancreatic cancer: lessons from the PREDICT trial</v>
      </c>
      <c r="E195" s="4" t="str">
        <f>IF('[1]Abstract review'!G195="","",'[1]Abstract review'!G195)</f>
        <v>10.1186/s12943-025-02406-7</v>
      </c>
      <c r="F195" s="4" t="str">
        <f>IF('[1]Abstract review'!I195="I","Include → full text",IF('[1]Abstract review'!I195="E","Exclude",IF('[1]Abstract review'!I195="DUP","Duplicate — removed",'[1]Abstract review'!I195)))</f>
        <v>Exclude</v>
      </c>
      <c r="G195" s="4" t="str">
        <f>IF('[1]Abstract review'!I195="E",'[1]Abstract review'!J195,"")</f>
        <v>Exploratory analysis</v>
      </c>
      <c r="H195" s="4"/>
      <c r="I195" s="4"/>
      <c r="J195" s="4"/>
      <c r="K195" s="4"/>
      <c r="L195" s="6" t="str">
        <f t="shared" si="9"/>
        <v/>
      </c>
      <c r="M195" s="6" t="str">
        <f t="shared" si="10"/>
        <v/>
      </c>
      <c r="N195" s="6" t="str">
        <f>IF(L195="Include",IFERROR(INDEX('[1]Data extraction'!$AC$2:$AC$58,MATCH(H195+1,'[1]Data extraction'!$AA$2:$AA$58,0)),"not found"),"")</f>
        <v/>
      </c>
      <c r="O195" s="6" t="str">
        <f>IF(N195="","",IFERROR(INDEX('[1]Data extraction'!$L$2:$L$58,MATCH(N195,'[1]Data extraction'!$AC$2:$AC$58,0)),""))</f>
        <v/>
      </c>
      <c r="P195" s="7" t="str">
        <f t="shared" si="11"/>
        <v>Excluded at title/abstract</v>
      </c>
      <c r="Q195" s="6" t="str">
        <f t="shared" si="12"/>
        <v>Outcomes</v>
      </c>
      <c r="R195" s="4"/>
    </row>
    <row r="196" spans="1:18" x14ac:dyDescent="0.3">
      <c r="A196" s="4">
        <f>'[1]Abstract review'!C196</f>
        <v>192</v>
      </c>
      <c r="B196" s="4" t="str">
        <f>IFERROR(LEFT('[1]Abstract review'!D196,FIND(";",'[1]Abstract review'!D196)-1),'[1]Abstract review'!D196)</f>
        <v>S. Kulatheivam</v>
      </c>
      <c r="C196" s="5" t="str">
        <f>'[1]Abstract review'!E196&amp;""</f>
        <v>2025</v>
      </c>
      <c r="D196" s="4" t="str">
        <f>'[1]Abstract review'!F196</f>
        <v>Utility of peritoneal fluid for multiplexed mRNA profiling of peritoneal metastasis from pancreatic cancer</v>
      </c>
      <c r="E196" s="4" t="str">
        <f>IF('[1]Abstract review'!G196="","",'[1]Abstract review'!G196)</f>
        <v>10.1016/j.prp.2025.156250</v>
      </c>
      <c r="F196" s="4" t="str">
        <f>IF('[1]Abstract review'!I196="I","Include → full text",IF('[1]Abstract review'!I196="E","Exclude",IF('[1]Abstract review'!I196="DUP","Duplicate — removed",'[1]Abstract review'!I196)))</f>
        <v>Exclude</v>
      </c>
      <c r="G196" s="4" t="str">
        <f>IF('[1]Abstract review'!I196="E",'[1]Abstract review'!J196,"")</f>
        <v>no pdac</v>
      </c>
      <c r="H196" s="4"/>
      <c r="I196" s="4"/>
      <c r="J196" s="4"/>
      <c r="K196" s="4"/>
      <c r="L196" s="6" t="str">
        <f t="shared" si="9"/>
        <v/>
      </c>
      <c r="M196" s="6" t="str">
        <f t="shared" si="10"/>
        <v/>
      </c>
      <c r="N196" s="6" t="str">
        <f>IF(L196="Include",IFERROR(INDEX('[1]Data extraction'!$AC$2:$AC$58,MATCH(H196+1,'[1]Data extraction'!$AA$2:$AA$58,0)),"not found"),"")</f>
        <v/>
      </c>
      <c r="O196" s="6" t="str">
        <f>IF(N196="","",IFERROR(INDEX('[1]Data extraction'!$L$2:$L$58,MATCH(N196,'[1]Data extraction'!$AC$2:$AC$58,0)),""))</f>
        <v/>
      </c>
      <c r="P196" s="7" t="str">
        <f t="shared" si="11"/>
        <v>Excluded at title/abstract</v>
      </c>
      <c r="Q196" s="6" t="str">
        <f t="shared" si="12"/>
        <v>Population</v>
      </c>
      <c r="R196" s="4"/>
    </row>
    <row r="197" spans="1:18" x14ac:dyDescent="0.3">
      <c r="A197" s="4">
        <f>'[1]Abstract review'!C197</f>
        <v>193</v>
      </c>
      <c r="B197" s="4" t="str">
        <f>IFERROR(LEFT('[1]Abstract review'!D197,FIND(";",'[1]Abstract review'!D197)-1),'[1]Abstract review'!D197)</f>
        <v>D. N. Korobkov</v>
      </c>
      <c r="C197" s="5" t="str">
        <f>'[1]Abstract review'!E197&amp;""</f>
        <v>2025</v>
      </c>
      <c r="D197" s="4" t="str">
        <f>'[1]Abstract review'!F197</f>
        <v>Multiplexed Quantitation of Plasma Proteins by Targeted Mass Spectrometry for Early Diagnosis of Pancreatic Ductal Adenocarcinoma</v>
      </c>
      <c r="E197" s="4" t="str">
        <f>IF('[1]Abstract review'!G197="","",'[1]Abstract review'!G197)</f>
        <v>10.3390/ijms26189219</v>
      </c>
      <c r="F197" s="4" t="str">
        <f>IF('[1]Abstract review'!I197="I","Include → full text",IF('[1]Abstract review'!I197="E","Exclude",IF('[1]Abstract review'!I197="DUP","Duplicate — removed",'[1]Abstract review'!I197)))</f>
        <v>Exclude</v>
      </c>
      <c r="G197" s="4" t="str">
        <f>IF('[1]Abstract review'!I197="E",'[1]Abstract review'!J197,"")</f>
        <v>Not transcriptomic/proteomic biomarker expression</v>
      </c>
      <c r="H197" s="4"/>
      <c r="I197" s="4"/>
      <c r="J197" s="4"/>
      <c r="K197" s="4"/>
      <c r="L197" s="6" t="str">
        <f t="shared" ref="L197:L260" si="13">IF(H197="","",IF(K197&lt;&gt;"","Exclude",IF(J197="yes","Include","Exclude")))</f>
        <v/>
      </c>
      <c r="M197" s="6" t="str">
        <f t="shared" ref="M197:M260" si="14">IF(L197&lt;&gt;"Exclude","",IF(K197&lt;&gt;"",IF(ISNUMBER(SEARCH("biomarker modality",K197)),"Biomarker modality not transcriptomic/proteomic","Primary question not prognostic; adjustment unclear"),IF(J197="NA","No adjusted multivariable model fitted",IF(J197="no","Biomarker not independent after adjustment","Unclear whether an adjusted model was fitted"))))</f>
        <v/>
      </c>
      <c r="N197" s="6" t="str">
        <f>IF(L197="Include",IFERROR(INDEX('[1]Data extraction'!$AC$2:$AC$58,MATCH(H197+1,'[1]Data extraction'!$AA$2:$AA$58,0)),"not found"),"")</f>
        <v/>
      </c>
      <c r="O197" s="6" t="str">
        <f>IF(N197="","",IFERROR(INDEX('[1]Data extraction'!$L$2:$L$58,MATCH(N197,'[1]Data extraction'!$AC$2:$AC$58,0)),""))</f>
        <v/>
      </c>
      <c r="P197" s="7" t="str">
        <f t="shared" ref="P197:P260" si="15">IF(F197="Exclude","Excluded at title/abstract",IF(LEFT(F197,9)="Duplicate","Duplicate removed",IF(L197="Include","INCLUDED","Excluded at full text")))</f>
        <v>Excluded at title/abstract</v>
      </c>
      <c r="Q197" s="6" t="str">
        <f t="shared" ref="Q197:Q260" si="16">IF(P197="INCLUDED",$W$23,IFERROR(INDEX($W$5:$W$22,MATCH(IF(G197&lt;&gt;"",G197,M197),$V$5:$V$22,0)),IF(P197="Duplicate removed","Duplicate record","")))</f>
        <v>Biomarker modality &amp; sample type</v>
      </c>
      <c r="R197" s="4"/>
    </row>
    <row r="198" spans="1:18" x14ac:dyDescent="0.3">
      <c r="A198" s="4">
        <f>'[1]Abstract review'!C198</f>
        <v>194</v>
      </c>
      <c r="B198" s="4" t="str">
        <f>IFERROR(LEFT('[1]Abstract review'!D198,FIND(";",'[1]Abstract review'!D198)-1),'[1]Abstract review'!D198)</f>
        <v>C. C. Ko</v>
      </c>
      <c r="C198" s="5" t="str">
        <f>'[1]Abstract review'!E198&amp;""</f>
        <v>2025</v>
      </c>
      <c r="D198" s="4" t="str">
        <f>'[1]Abstract review'!F198</f>
        <v>Hypoxia-induced MIR31HG expression promotes partial EMT and basal-like phenotype in pancreatic ductal adenocarcinoma based on data mining and experimental analyses</v>
      </c>
      <c r="E198" s="4" t="str">
        <f>IF('[1]Abstract review'!G198="","",'[1]Abstract review'!G198)</f>
        <v>10.1186/s12967-025-06292-x</v>
      </c>
      <c r="F198" s="4" t="str">
        <f>IF('[1]Abstract review'!I198="I","Include → full text",IF('[1]Abstract review'!I198="E","Exclude",IF('[1]Abstract review'!I198="DUP","Duplicate — removed",'[1]Abstract review'!I198)))</f>
        <v>Exclude</v>
      </c>
      <c r="G198" s="4" t="str">
        <f>IF('[1]Abstract review'!I198="E",'[1]Abstract review'!J198,"")</f>
        <v>Preclinical studies</v>
      </c>
      <c r="H198" s="4"/>
      <c r="I198" s="4"/>
      <c r="J198" s="4"/>
      <c r="K198" s="4"/>
      <c r="L198" s="6" t="str">
        <f t="shared" si="13"/>
        <v/>
      </c>
      <c r="M198" s="6" t="str">
        <f t="shared" si="14"/>
        <v/>
      </c>
      <c r="N198" s="6" t="str">
        <f>IF(L198="Include",IFERROR(INDEX('[1]Data extraction'!$AC$2:$AC$58,MATCH(H198+1,'[1]Data extraction'!$AA$2:$AA$58,0)),"not found"),"")</f>
        <v/>
      </c>
      <c r="O198" s="6" t="str">
        <f>IF(N198="","",IFERROR(INDEX('[1]Data extraction'!$L$2:$L$58,MATCH(N198,'[1]Data extraction'!$AC$2:$AC$58,0)),""))</f>
        <v/>
      </c>
      <c r="P198" s="7" t="str">
        <f t="shared" si="15"/>
        <v>Excluded at title/abstract</v>
      </c>
      <c r="Q198" s="6" t="str">
        <f t="shared" si="16"/>
        <v>Study design</v>
      </c>
      <c r="R198" s="4"/>
    </row>
    <row r="199" spans="1:18" x14ac:dyDescent="0.3">
      <c r="A199" s="4">
        <f>'[1]Abstract review'!C199</f>
        <v>195</v>
      </c>
      <c r="B199" s="4" t="str">
        <f>IFERROR(LEFT('[1]Abstract review'!D199,FIND(";",'[1]Abstract review'!D199)-1),'[1]Abstract review'!D199)</f>
        <v>J. H. Kim</v>
      </c>
      <c r="C199" s="5" t="str">
        <f>'[1]Abstract review'!E199&amp;""</f>
        <v>2025</v>
      </c>
      <c r="D199" s="4" t="str">
        <f>'[1]Abstract review'!F199</f>
        <v>Quantitative immunohistochemistry analysis of pancreatic adenocarcinoma upregulated factor expression in pancreatic cancer and its prognostic significance</v>
      </c>
      <c r="E199" s="4" t="str">
        <f>IF('[1]Abstract review'!G199="","",'[1]Abstract review'!G199)</f>
        <v>10.4251/wjgo.v17.i9.109055</v>
      </c>
      <c r="F199" s="4" t="str">
        <f>IF('[1]Abstract review'!I199="I","Include → full text",IF('[1]Abstract review'!I199="E","Exclude",IF('[1]Abstract review'!I199="DUP","Duplicate — removed",'[1]Abstract review'!I199)))</f>
        <v>Include → full text</v>
      </c>
      <c r="G199" s="4" t="str">
        <f>IF('[1]Abstract review'!I199="E",'[1]Abstract review'!J199,"")</f>
        <v/>
      </c>
      <c r="H199" s="4">
        <f>'[1]Full-text screening-extraction'!A93</f>
        <v>92</v>
      </c>
      <c r="I199" s="4" t="str">
        <f>IF('[1]Full-text screening-extraction'!AB93="","",'[1]Full-text screening-extraction'!AB93)</f>
        <v>yes</v>
      </c>
      <c r="J199" s="4" t="str">
        <f>IF('[1]Full-text screening-extraction'!AC93="","",'[1]Full-text screening-extraction'!AC93)</f>
        <v>yes</v>
      </c>
      <c r="K199" s="4" t="str">
        <f>IF('[1]Full-text screening-extraction'!AG93="","",'[1]Full-text screening-extraction'!AG93)</f>
        <v/>
      </c>
      <c r="L199" s="6" t="str">
        <f t="shared" si="13"/>
        <v>Include</v>
      </c>
      <c r="M199" s="6" t="str">
        <f t="shared" si="14"/>
        <v/>
      </c>
      <c r="N199" s="6" t="str">
        <f>IF(L199="Include",IFERROR(INDEX('[1]Data extraction'!$AC$2:$AC$58,MATCH(H199+1,'[1]Data extraction'!$AA$2:$AA$58,0)),"not found"),"")</f>
        <v>EV-48</v>
      </c>
      <c r="O199" s="6" t="str">
        <f>IF(N199="","",IFERROR(INDEX('[1]Data extraction'!$L$2:$L$58,MATCH(N199,'[1]Data extraction'!$AC$2:$AC$58,0)),""))</f>
        <v>B</v>
      </c>
      <c r="P199" s="7" t="str">
        <f t="shared" si="15"/>
        <v>INCLUDED</v>
      </c>
      <c r="Q199" s="6" t="str">
        <f t="shared" si="16"/>
        <v>All PICOS rows + Independent prognostic value</v>
      </c>
      <c r="R199" s="4" t="str">
        <f>IF(P199&lt;&gt;"INCLUDED","",'[1]Full-text screening-extraction'!M93&amp;" ("&amp;'[1]Full-text screening-extraction'!K93&amp;"); outcome: "&amp;'[1]Full-text screening-extraction'!P93&amp;"; multivariable: "&amp;LEFT('[1]Full-text screening-extraction'!T93,120)&amp;" | adjusted for: "&amp;LEFT('[1]Full-text screening-extraction'!U93,100))</f>
        <v>PAUF (pancreatic adenocarcinoma upregulated factor; ZG16B-related protein product) (Protein expression by immunohistochemistry with transcript/protein in silico validation); outcome: Overall survival (OS); multivariable: Multivariable Cox: high PAUF independently associated with poorer OS (HR 2.05, 95% CI 1.19–3.53, P=0.009); poorly differ | adjusted for: Age, tumor location, stage (RPC vs BRPC), histology, resection margin, nodal status, adjuvant therap</v>
      </c>
    </row>
    <row r="200" spans="1:18" x14ac:dyDescent="0.3">
      <c r="A200" s="4">
        <f>'[1]Abstract review'!C200</f>
        <v>196</v>
      </c>
      <c r="B200" s="4" t="str">
        <f>IFERROR(LEFT('[1]Abstract review'!D200,FIND(";",'[1]Abstract review'!D200)-1),'[1]Abstract review'!D200)</f>
        <v>C. Kessler</v>
      </c>
      <c r="C200" s="5" t="str">
        <f>'[1]Abstract review'!E200&amp;""</f>
        <v>2025</v>
      </c>
      <c r="D200" s="4" t="str">
        <f>'[1]Abstract review'!F200</f>
        <v>Development of a translational radiobiology platform using pancreatic cancer patient-derived organoids for personalized radiation oncology</v>
      </c>
      <c r="E200" s="4" t="str">
        <f>IF('[1]Abstract review'!G200="","",'[1]Abstract review'!G200)</f>
        <v>10.1016/j.tranon.2025.102535</v>
      </c>
      <c r="F200" s="4" t="str">
        <f>IF('[1]Abstract review'!I200="I","Include → full text",IF('[1]Abstract review'!I200="E","Exclude",IF('[1]Abstract review'!I200="DUP","Duplicate — removed",'[1]Abstract review'!I200)))</f>
        <v>Exclude</v>
      </c>
      <c r="G200" s="4" t="str">
        <f>IF('[1]Abstract review'!I200="E",'[1]Abstract review'!J200,"")</f>
        <v>Preclinical studies</v>
      </c>
      <c r="H200" s="4"/>
      <c r="I200" s="4"/>
      <c r="J200" s="4"/>
      <c r="K200" s="4"/>
      <c r="L200" s="6" t="str">
        <f t="shared" si="13"/>
        <v/>
      </c>
      <c r="M200" s="6" t="str">
        <f t="shared" si="14"/>
        <v/>
      </c>
      <c r="N200" s="6" t="str">
        <f>IF(L200="Include",IFERROR(INDEX('[1]Data extraction'!$AC$2:$AC$58,MATCH(H200+1,'[1]Data extraction'!$AA$2:$AA$58,0)),"not found"),"")</f>
        <v/>
      </c>
      <c r="O200" s="6" t="str">
        <f>IF(N200="","",IFERROR(INDEX('[1]Data extraction'!$L$2:$L$58,MATCH(N200,'[1]Data extraction'!$AC$2:$AC$58,0)),""))</f>
        <v/>
      </c>
      <c r="P200" s="7" t="str">
        <f t="shared" si="15"/>
        <v>Excluded at title/abstract</v>
      </c>
      <c r="Q200" s="6" t="str">
        <f t="shared" si="16"/>
        <v>Study design</v>
      </c>
      <c r="R200" s="4"/>
    </row>
    <row r="201" spans="1:18" x14ac:dyDescent="0.3">
      <c r="A201" s="4">
        <f>'[1]Abstract review'!C201</f>
        <v>197</v>
      </c>
      <c r="B201" s="4" t="str">
        <f>IFERROR(LEFT('[1]Abstract review'!D201,FIND(";",'[1]Abstract review'!D201)-1),'[1]Abstract review'!D201)</f>
        <v>K. Kashkin</v>
      </c>
      <c r="C201" s="5" t="str">
        <f>'[1]Abstract review'!E201&amp;""</f>
        <v>2025</v>
      </c>
      <c r="D201" s="4" t="str">
        <f>'[1]Abstract review'!F201</f>
        <v>Deciphering of SOX9 Functions in Pancreatic Cancer Cells</v>
      </c>
      <c r="E201" s="4" t="str">
        <f>IF('[1]Abstract review'!G201="","",'[1]Abstract review'!G201)</f>
        <v>10.3390/ijms26062652</v>
      </c>
      <c r="F201" s="4" t="str">
        <f>IF('[1]Abstract review'!I201="I","Include → full text",IF('[1]Abstract review'!I201="E","Exclude",IF('[1]Abstract review'!I201="DUP","Duplicate — removed",'[1]Abstract review'!I201)))</f>
        <v>Exclude</v>
      </c>
      <c r="G201" s="4" t="str">
        <f>IF('[1]Abstract review'!I201="E",'[1]Abstract review'!J201,"")</f>
        <v>Preclinical studies</v>
      </c>
      <c r="H201" s="4"/>
      <c r="I201" s="4"/>
      <c r="J201" s="4"/>
      <c r="K201" s="4"/>
      <c r="L201" s="6" t="str">
        <f t="shared" si="13"/>
        <v/>
      </c>
      <c r="M201" s="6" t="str">
        <f t="shared" si="14"/>
        <v/>
      </c>
      <c r="N201" s="6" t="str">
        <f>IF(L201="Include",IFERROR(INDEX('[1]Data extraction'!$AC$2:$AC$58,MATCH(H201+1,'[1]Data extraction'!$AA$2:$AA$58,0)),"not found"),"")</f>
        <v/>
      </c>
      <c r="O201" s="6" t="str">
        <f>IF(N201="","",IFERROR(INDEX('[1]Data extraction'!$L$2:$L$58,MATCH(N201,'[1]Data extraction'!$AC$2:$AC$58,0)),""))</f>
        <v/>
      </c>
      <c r="P201" s="7" t="str">
        <f t="shared" si="15"/>
        <v>Excluded at title/abstract</v>
      </c>
      <c r="Q201" s="6" t="str">
        <f t="shared" si="16"/>
        <v>Study design</v>
      </c>
      <c r="R201" s="4"/>
    </row>
    <row r="202" spans="1:18" x14ac:dyDescent="0.3">
      <c r="A202" s="4">
        <f>'[1]Abstract review'!C202</f>
        <v>198</v>
      </c>
      <c r="B202" s="4" t="str">
        <f>IFERROR(LEFT('[1]Abstract review'!D202,FIND(";",'[1]Abstract review'!D202)-1),'[1]Abstract review'!D202)</f>
        <v>B. Kang</v>
      </c>
      <c r="C202" s="5" t="str">
        <f>'[1]Abstract review'!E202&amp;""</f>
        <v>2025</v>
      </c>
      <c r="D202" s="4" t="str">
        <f>'[1]Abstract review'!F202</f>
        <v>Identification of Prognostic Genes and Establishment of a Risk Score Model Related to Pancreatic Adenocarcinoma and Brown Adipose Tissue Based on Transcriptomics and Experimental Validation</v>
      </c>
      <c r="E202" s="4" t="str">
        <f>IF('[1]Abstract review'!G202="","",'[1]Abstract review'!G202)</f>
        <v>10.3390/genes17010048</v>
      </c>
      <c r="F202" s="4" t="str">
        <f>IF('[1]Abstract review'!I202="I","Include → full text",IF('[1]Abstract review'!I202="E","Exclude",IF('[1]Abstract review'!I202="DUP","Duplicate — removed",'[1]Abstract review'!I202)))</f>
        <v>Include → full text</v>
      </c>
      <c r="G202" s="4" t="str">
        <f>IF('[1]Abstract review'!I202="E",'[1]Abstract review'!J202,"")</f>
        <v/>
      </c>
      <c r="H202" s="4">
        <f>'[1]Full-text screening-extraction'!A94</f>
        <v>93</v>
      </c>
      <c r="I202" s="4" t="str">
        <f>IF('[1]Full-text screening-extraction'!AB94="","",'[1]Full-text screening-extraction'!AB94)</f>
        <v>yes</v>
      </c>
      <c r="J202" s="4" t="str">
        <f>IF('[1]Full-text screening-extraction'!AC94="","",'[1]Full-text screening-extraction'!AC94)</f>
        <v>yes</v>
      </c>
      <c r="K202" s="4" t="str">
        <f>IF('[1]Full-text screening-extraction'!AG94="","",'[1]Full-text screening-extraction'!AG94)</f>
        <v/>
      </c>
      <c r="L202" s="6" t="str">
        <f t="shared" si="13"/>
        <v>Include</v>
      </c>
      <c r="M202" s="6" t="str">
        <f t="shared" si="14"/>
        <v/>
      </c>
      <c r="N202" s="6" t="str">
        <f>IF(L202="Include",IFERROR(INDEX('[1]Data extraction'!$AC$2:$AC$58,MATCH(H202+1,'[1]Data extraction'!$AA$2:$AA$58,0)),"not found"),"")</f>
        <v>EV-49</v>
      </c>
      <c r="O202" s="6" t="str">
        <f>IF(N202="","",IFERROR(INDEX('[1]Data extraction'!$L$2:$L$58,MATCH(N202,'[1]Data extraction'!$AC$2:$AC$58,0)),""))</f>
        <v>A-</v>
      </c>
      <c r="P202" s="7" t="str">
        <f t="shared" si="15"/>
        <v>INCLUDED</v>
      </c>
      <c r="Q202" s="6" t="str">
        <f t="shared" si="16"/>
        <v>All PICOS rows + Independent prognostic value</v>
      </c>
      <c r="R202" s="4" t="str">
        <f>IF(P202&lt;&gt;"INCLUDED","",'[1]Full-text screening-extraction'!M94&amp;" ("&amp;'[1]Full-text screening-extraction'!K94&amp;"); outcome: "&amp;'[1]Full-text screening-extraction'!P94&amp;"; multivariable: "&amp;LEFT('[1]Full-text screening-extraction'!T94,120)&amp;" | adjusted for: "&amp;LEFT('[1]Full-text screening-extraction'!U94,100))</f>
        <v>Six BA-related prognostic genes: SERPINB5, CALU, TFRC, LY6D, SFRP1, GBP2 (Transcriptomics (bulk RNA-seq), single-cell RNA-seq, in silico multi-omics, RT-qPCR validation); outcome: Overall survival (OS); multivariable: Multivariable Cox: RS (HR=3.567, p&lt;0.05) and N stage (HR=1.69, p&lt;0.05) independent prognostic factors; RS strongly predi | adjusted for: Age, gender, stage, T stage, N stage</v>
      </c>
    </row>
    <row r="203" spans="1:18" x14ac:dyDescent="0.3">
      <c r="A203" s="4">
        <f>'[1]Abstract review'!C203</f>
        <v>199</v>
      </c>
      <c r="B203" s="4" t="str">
        <f>IFERROR(LEFT('[1]Abstract review'!D203,FIND(";",'[1]Abstract review'!D203)-1),'[1]Abstract review'!D203)</f>
        <v>P. Kamble</v>
      </c>
      <c r="C203" s="5" t="str">
        <f>'[1]Abstract review'!E203&amp;""</f>
        <v>2025</v>
      </c>
      <c r="D203" s="4" t="str">
        <f>'[1]Abstract review'!F203</f>
        <v>Computational theranostics strategy for pancreatic ductal adenocarcinoma</v>
      </c>
      <c r="E203" s="4" t="str">
        <f>IF('[1]Abstract review'!G203="","",'[1]Abstract review'!G203)</f>
        <v>10.1007/s11030-025-11241-3</v>
      </c>
      <c r="F203" s="4" t="str">
        <f>IF('[1]Abstract review'!I203="I","Include → full text",IF('[1]Abstract review'!I203="E","Exclude",IF('[1]Abstract review'!I203="DUP","Duplicate — removed",'[1]Abstract review'!I203)))</f>
        <v>Exclude</v>
      </c>
      <c r="G203" s="4" t="str">
        <f>IF('[1]Abstract review'!I203="E",'[1]Abstract review'!J203,"")</f>
        <v>No survival outcome</v>
      </c>
      <c r="H203" s="4"/>
      <c r="I203" s="4"/>
      <c r="J203" s="4"/>
      <c r="K203" s="4"/>
      <c r="L203" s="6" t="str">
        <f t="shared" si="13"/>
        <v/>
      </c>
      <c r="M203" s="6" t="str">
        <f t="shared" si="14"/>
        <v/>
      </c>
      <c r="N203" s="6" t="str">
        <f>IF(L203="Include",IFERROR(INDEX('[1]Data extraction'!$AC$2:$AC$58,MATCH(H203+1,'[1]Data extraction'!$AA$2:$AA$58,0)),"not found"),"")</f>
        <v/>
      </c>
      <c r="O203" s="6" t="str">
        <f>IF(N203="","",IFERROR(INDEX('[1]Data extraction'!$L$2:$L$58,MATCH(N203,'[1]Data extraction'!$AC$2:$AC$58,0)),""))</f>
        <v/>
      </c>
      <c r="P203" s="7" t="str">
        <f t="shared" si="15"/>
        <v>Excluded at title/abstract</v>
      </c>
      <c r="Q203" s="6" t="str">
        <f t="shared" si="16"/>
        <v>Outcomes</v>
      </c>
      <c r="R203" s="4"/>
    </row>
    <row r="204" spans="1:18" x14ac:dyDescent="0.3">
      <c r="A204" s="4">
        <f>'[1]Abstract review'!C204</f>
        <v>200</v>
      </c>
      <c r="B204" s="4" t="str">
        <f>IFERROR(LEFT('[1]Abstract review'!D204,FIND(";",'[1]Abstract review'!D204)-1),'[1]Abstract review'!D204)</f>
        <v>Anna Kakehashi</v>
      </c>
      <c r="C204" s="5" t="str">
        <f>'[1]Abstract review'!E204&amp;""</f>
        <v>2025</v>
      </c>
      <c r="D204" s="4" t="str">
        <f>'[1]Abstract review'!F204</f>
        <v>The Impact of Peroxiredoxin 3 on Molecular Testing, Diagnosis, and Prognosis in Human Pancreatic Ductal Adenocarcinoma</v>
      </c>
      <c r="E204" s="4" t="str">
        <f>IF('[1]Abstract review'!G204="","",'[1]Abstract review'!G204)</f>
        <v>10.3390/cancers17132212</v>
      </c>
      <c r="F204" s="4" t="str">
        <f>IF('[1]Abstract review'!I204="I","Include → full text",IF('[1]Abstract review'!I204="E","Exclude",IF('[1]Abstract review'!I204="DUP","Duplicate — removed",'[1]Abstract review'!I204)))</f>
        <v>Exclude</v>
      </c>
      <c r="G204" s="4" t="str">
        <f>IF('[1]Abstract review'!I204="E",'[1]Abstract review'!J204,"")</f>
        <v>Not transcriptomic/proteomic biomarker expression</v>
      </c>
      <c r="H204" s="4"/>
      <c r="I204" s="4"/>
      <c r="J204" s="4"/>
      <c r="K204" s="4"/>
      <c r="L204" s="6" t="str">
        <f t="shared" si="13"/>
        <v/>
      </c>
      <c r="M204" s="6" t="str">
        <f t="shared" si="14"/>
        <v/>
      </c>
      <c r="N204" s="6" t="str">
        <f>IF(L204="Include",IFERROR(INDEX('[1]Data extraction'!$AC$2:$AC$58,MATCH(H204+1,'[1]Data extraction'!$AA$2:$AA$58,0)),"not found"),"")</f>
        <v/>
      </c>
      <c r="O204" s="6" t="str">
        <f>IF(N204="","",IFERROR(INDEX('[1]Data extraction'!$L$2:$L$58,MATCH(N204,'[1]Data extraction'!$AC$2:$AC$58,0)),""))</f>
        <v/>
      </c>
      <c r="P204" s="7" t="str">
        <f t="shared" si="15"/>
        <v>Excluded at title/abstract</v>
      </c>
      <c r="Q204" s="6" t="str">
        <f t="shared" si="16"/>
        <v>Biomarker modality &amp; sample type</v>
      </c>
      <c r="R204" s="4"/>
    </row>
    <row r="205" spans="1:18" x14ac:dyDescent="0.3">
      <c r="A205" s="4">
        <f>'[1]Abstract review'!C205</f>
        <v>201</v>
      </c>
      <c r="B205" s="4" t="str">
        <f>IFERROR(LEFT('[1]Abstract review'!D205,FIND(";",'[1]Abstract review'!D205)-1),'[1]Abstract review'!D205)</f>
        <v>Y. Kageyama</v>
      </c>
      <c r="C205" s="5" t="str">
        <f>'[1]Abstract review'!E205&amp;""</f>
        <v>2025</v>
      </c>
      <c r="D205" s="4" t="str">
        <f>'[1]Abstract review'!F205</f>
        <v>Stratification of G2 pancreatic neuroendocrine tumors using a Ten Percent Ki-67 index cut-off based on clinicopathological and molecular analyses</v>
      </c>
      <c r="E205" s="4" t="str">
        <f>IF('[1]Abstract review'!G205="","",'[1]Abstract review'!G205)</f>
        <v>10.1038/s41598-025-04356-y</v>
      </c>
      <c r="F205" s="4" t="str">
        <f>IF('[1]Abstract review'!I205="I","Include → full text",IF('[1]Abstract review'!I205="E","Exclude",IF('[1]Abstract review'!I205="DUP","Duplicate — removed",'[1]Abstract review'!I205)))</f>
        <v>Exclude</v>
      </c>
      <c r="G205" s="4" t="str">
        <f>IF('[1]Abstract review'!I205="E",'[1]Abstract review'!J205,"")</f>
        <v>no pdac</v>
      </c>
      <c r="H205" s="4"/>
      <c r="I205" s="4"/>
      <c r="J205" s="4"/>
      <c r="K205" s="4"/>
      <c r="L205" s="6" t="str">
        <f t="shared" si="13"/>
        <v/>
      </c>
      <c r="M205" s="6" t="str">
        <f t="shared" si="14"/>
        <v/>
      </c>
      <c r="N205" s="6" t="str">
        <f>IF(L205="Include",IFERROR(INDEX('[1]Data extraction'!$AC$2:$AC$58,MATCH(H205+1,'[1]Data extraction'!$AA$2:$AA$58,0)),"not found"),"")</f>
        <v/>
      </c>
      <c r="O205" s="6" t="str">
        <f>IF(N205="","",IFERROR(INDEX('[1]Data extraction'!$L$2:$L$58,MATCH(N205,'[1]Data extraction'!$AC$2:$AC$58,0)),""))</f>
        <v/>
      </c>
      <c r="P205" s="7" t="str">
        <f t="shared" si="15"/>
        <v>Excluded at title/abstract</v>
      </c>
      <c r="Q205" s="6" t="str">
        <f t="shared" si="16"/>
        <v>Population</v>
      </c>
      <c r="R205" s="4"/>
    </row>
    <row r="206" spans="1:18" x14ac:dyDescent="0.3">
      <c r="A206" s="4">
        <f>'[1]Abstract review'!C206</f>
        <v>202</v>
      </c>
      <c r="B206" s="4" t="str">
        <f>IFERROR(LEFT('[1]Abstract review'!D206,FIND(";",'[1]Abstract review'!D206)-1),'[1]Abstract review'!D206)</f>
        <v>H. Jiang</v>
      </c>
      <c r="C206" s="5" t="str">
        <f>'[1]Abstract review'!E206&amp;""</f>
        <v>2025</v>
      </c>
      <c r="D206" s="4" t="str">
        <f>'[1]Abstract review'!F206</f>
        <v>Prognostic and Immunological Significance of TIPARP in Pancreatic Cancer</v>
      </c>
      <c r="E206" s="4" t="str">
        <f>IF('[1]Abstract review'!G206="","",'[1]Abstract review'!G206)</f>
        <v>10.1007/s10620-025-09546-2</v>
      </c>
      <c r="F206" s="4" t="str">
        <f>IF('[1]Abstract review'!I206="I","Include → full text",IF('[1]Abstract review'!I206="E","Exclude",IF('[1]Abstract review'!I206="DUP","Duplicate — removed",'[1]Abstract review'!I206)))</f>
        <v>Include → full text</v>
      </c>
      <c r="G206" s="4" t="str">
        <f>IF('[1]Abstract review'!I206="E",'[1]Abstract review'!J206,"")</f>
        <v/>
      </c>
      <c r="H206" s="4">
        <f>'[1]Full-text screening-extraction'!A95</f>
        <v>94</v>
      </c>
      <c r="I206" s="4" t="str">
        <f>IF('[1]Full-text screening-extraction'!AB95="","",'[1]Full-text screening-extraction'!AB95)</f>
        <v>yes</v>
      </c>
      <c r="J206" s="4" t="str">
        <f>IF('[1]Full-text screening-extraction'!AC95="","",'[1]Full-text screening-extraction'!AC95)</f>
        <v>yes</v>
      </c>
      <c r="K206" s="4" t="str">
        <f>IF('[1]Full-text screening-extraction'!AG95="","",'[1]Full-text screening-extraction'!AG95)</f>
        <v/>
      </c>
      <c r="L206" s="6" t="str">
        <f t="shared" si="13"/>
        <v>Include</v>
      </c>
      <c r="M206" s="6" t="str">
        <f t="shared" si="14"/>
        <v/>
      </c>
      <c r="N206" s="6" t="str">
        <f>IF(L206="Include",IFERROR(INDEX('[1]Data extraction'!$AC$2:$AC$58,MATCH(H206+1,'[1]Data extraction'!$AA$2:$AA$58,0)),"not found"),"")</f>
        <v>EV-50</v>
      </c>
      <c r="O206" s="6" t="str">
        <f>IF(N206="","",IFERROR(INDEX('[1]Data extraction'!$L$2:$L$58,MATCH(N206,'[1]Data extraction'!$AC$2:$AC$58,0)),""))</f>
        <v>B</v>
      </c>
      <c r="P206" s="7" t="str">
        <f t="shared" si="15"/>
        <v>INCLUDED</v>
      </c>
      <c r="Q206" s="6" t="str">
        <f t="shared" si="16"/>
        <v>All PICOS rows + Independent prognostic value</v>
      </c>
      <c r="R206" s="4" t="str">
        <f>IF(P206&lt;&gt;"INCLUDED","",'[1]Full-text screening-extraction'!M95&amp;" ("&amp;'[1]Full-text screening-extraction'!K95&amp;"); outcome: "&amp;'[1]Full-text screening-extraction'!P95&amp;"; multivariable: "&amp;LEFT('[1]Full-text screening-extraction'!T95,120)&amp;" | adjusted for: "&amp;LEFT('[1]Full-text screening-extraction'!U95,100))</f>
        <v>TIPARP (PARP7) expression (Transcriptomics, single-cell RNA-seq, Mendelian randomization, functional assays (in vitro/in vivo)); outcome: Overall survival (OS); multivariable: Multivariable: TIPARP independent prognostic factor (adjusted for age, sex, grade, stage); included in nomogram (C-index | adjusted for: Age, sex, tumor grade, stage, pN stage</v>
      </c>
    </row>
    <row r="207" spans="1:18" x14ac:dyDescent="0.3">
      <c r="A207" s="4">
        <f>'[1]Abstract review'!C207</f>
        <v>203</v>
      </c>
      <c r="B207" s="4" t="str">
        <f>IFERROR(LEFT('[1]Abstract review'!D207,FIND(";",'[1]Abstract review'!D207)-1),'[1]Abstract review'!D207)</f>
        <v>X. Jia</v>
      </c>
      <c r="C207" s="5" t="str">
        <f>'[1]Abstract review'!E207&amp;""</f>
        <v>2025</v>
      </c>
      <c r="D207" s="4" t="str">
        <f>'[1]Abstract review'!F207</f>
        <v>Integrative single-cell RNA sequencing and bulk RNA sequencing reveals the characteristics of glutathione metabolism and protective role of GSTA4 gene in pancreatic cancer</v>
      </c>
      <c r="E207" s="4" t="str">
        <f>IF('[1]Abstract review'!G207="","",'[1]Abstract review'!G207)</f>
        <v>10.3389/fimmu.2025.1571431</v>
      </c>
      <c r="F207" s="4" t="str">
        <f>IF('[1]Abstract review'!I207="I","Include → full text",IF('[1]Abstract review'!I207="E","Exclude",IF('[1]Abstract review'!I207="DUP","Duplicate — removed",'[1]Abstract review'!I207)))</f>
        <v>Include → full text</v>
      </c>
      <c r="G207" s="4" t="str">
        <f>IF('[1]Abstract review'!I207="E",'[1]Abstract review'!J207,"")</f>
        <v/>
      </c>
      <c r="H207" s="4">
        <f>'[1]Full-text screening-extraction'!A96</f>
        <v>95</v>
      </c>
      <c r="I207" s="4" t="str">
        <f>IF('[1]Full-text screening-extraction'!AB96="","",'[1]Full-text screening-extraction'!AB96)</f>
        <v>unclear</v>
      </c>
      <c r="J207" s="4" t="str">
        <f>IF('[1]Full-text screening-extraction'!AC96="","",'[1]Full-text screening-extraction'!AC96)</f>
        <v>unclear</v>
      </c>
      <c r="K207" s="4" t="str">
        <f>IF('[1]Full-text screening-extraction'!AG96="","",'[1]Full-text screening-extraction'!AG96)</f>
        <v/>
      </c>
      <c r="L207" s="6" t="str">
        <f t="shared" si="13"/>
        <v>Exclude</v>
      </c>
      <c r="M207" s="6" t="str">
        <f t="shared" si="14"/>
        <v>Unclear whether an adjusted model was fitted</v>
      </c>
      <c r="N207" s="6" t="str">
        <f>IF(L207="Include",IFERROR(INDEX('[1]Data extraction'!$AC$2:$AC$58,MATCH(H207+1,'[1]Data extraction'!$AA$2:$AA$58,0)),"not found"),"")</f>
        <v/>
      </c>
      <c r="O207" s="6" t="str">
        <f>IF(N207="","",IFERROR(INDEX('[1]Data extraction'!$L$2:$L$58,MATCH(N207,'[1]Data extraction'!$AC$2:$AC$58,0)),""))</f>
        <v/>
      </c>
      <c r="P207" s="7" t="str">
        <f t="shared" si="15"/>
        <v>Excluded at full text</v>
      </c>
      <c r="Q207" s="6" t="str">
        <f t="shared" si="16"/>
        <v>Analysis &amp; synthesis eligibility</v>
      </c>
      <c r="R207" s="4" t="str">
        <f>IF(P207&lt;&gt;"INCLUDED","",'[1]Full-text screening-extraction'!M96&amp;" ("&amp;'[1]Full-text screening-extraction'!K96&amp;"); outcome: "&amp;'[1]Full-text screening-extraction'!P96&amp;"; multivariable: "&amp;LEFT('[1]Full-text screening-extraction'!T96,120)&amp;" | adjusted for: "&amp;LEFT('[1]Full-text screening-extraction'!U96,100))</f>
        <v/>
      </c>
    </row>
    <row r="208" spans="1:18" x14ac:dyDescent="0.3">
      <c r="A208" s="4">
        <f>'[1]Abstract review'!C208</f>
        <v>204</v>
      </c>
      <c r="B208" s="4" t="str">
        <f>IFERROR(LEFT('[1]Abstract review'!D208,FIND(";",'[1]Abstract review'!D208)-1),'[1]Abstract review'!D208)</f>
        <v>W. Ji</v>
      </c>
      <c r="C208" s="5" t="str">
        <f>'[1]Abstract review'!E208&amp;""</f>
        <v>2025</v>
      </c>
      <c r="D208" s="4" t="str">
        <f>'[1]Abstract review'!F208</f>
        <v>Transcriptomic profiling of blood platelets identifies a diagnostic signature for pancreatic cancer</v>
      </c>
      <c r="E208" s="4" t="str">
        <f>IF('[1]Abstract review'!G208="","",'[1]Abstract review'!G208)</f>
        <v>10.1038/s41416-025-02980-z</v>
      </c>
      <c r="F208" s="4" t="str">
        <f>IF('[1]Abstract review'!I208="I","Include → full text",IF('[1]Abstract review'!I208="E","Exclude",IF('[1]Abstract review'!I208="DUP","Duplicate — removed",'[1]Abstract review'!I208)))</f>
        <v>Exclude</v>
      </c>
      <c r="G208" s="4" t="str">
        <f>IF('[1]Abstract review'!I208="E",'[1]Abstract review'!J208,"")</f>
        <v>Diagnostic value</v>
      </c>
      <c r="H208" s="4"/>
      <c r="I208" s="4"/>
      <c r="J208" s="4"/>
      <c r="K208" s="4"/>
      <c r="L208" s="6" t="str">
        <f t="shared" si="13"/>
        <v/>
      </c>
      <c r="M208" s="6" t="str">
        <f t="shared" si="14"/>
        <v/>
      </c>
      <c r="N208" s="6" t="str">
        <f>IF(L208="Include",IFERROR(INDEX('[1]Data extraction'!$AC$2:$AC$58,MATCH(H208+1,'[1]Data extraction'!$AA$2:$AA$58,0)),"not found"),"")</f>
        <v/>
      </c>
      <c r="O208" s="6" t="str">
        <f>IF(N208="","",IFERROR(INDEX('[1]Data extraction'!$L$2:$L$58,MATCH(N208,'[1]Data extraction'!$AC$2:$AC$58,0)),""))</f>
        <v/>
      </c>
      <c r="P208" s="7" t="str">
        <f t="shared" si="15"/>
        <v>Excluded at title/abstract</v>
      </c>
      <c r="Q208" s="6" t="str">
        <f t="shared" si="16"/>
        <v>Outcomes</v>
      </c>
      <c r="R208" s="4"/>
    </row>
    <row r="209" spans="1:18" x14ac:dyDescent="0.3">
      <c r="A209" s="4">
        <f>'[1]Abstract review'!C209</f>
        <v>205</v>
      </c>
      <c r="B209" s="4" t="str">
        <f>IFERROR(LEFT('[1]Abstract review'!D209,FIND(";",'[1]Abstract review'!D209)-1),'[1]Abstract review'!D209)</f>
        <v>S. Ji</v>
      </c>
      <c r="C209" s="5" t="str">
        <f>'[1]Abstract review'!E209&amp;""</f>
        <v>2025</v>
      </c>
      <c r="D209" s="4" t="str">
        <f>'[1]Abstract review'!F209</f>
        <v>Proteogenomic characterization of non-functional pancreatic neuroendocrine tumors unravels clinically relevant subgroups</v>
      </c>
      <c r="E209" s="4" t="str">
        <f>IF('[1]Abstract review'!G209="","",'[1]Abstract review'!G209)</f>
        <v>10.1016/j.ccell.2025.03.016</v>
      </c>
      <c r="F209" s="4" t="str">
        <f>IF('[1]Abstract review'!I209="I","Include → full text",IF('[1]Abstract review'!I209="E","Exclude",IF('[1]Abstract review'!I209="DUP","Duplicate — removed",'[1]Abstract review'!I209)))</f>
        <v>Exclude</v>
      </c>
      <c r="G209" s="4" t="str">
        <f>IF('[1]Abstract review'!I209="E",'[1]Abstract review'!J209,"")</f>
        <v>no pdac</v>
      </c>
      <c r="H209" s="4"/>
      <c r="I209" s="4"/>
      <c r="J209" s="4"/>
      <c r="K209" s="4"/>
      <c r="L209" s="6" t="str">
        <f t="shared" si="13"/>
        <v/>
      </c>
      <c r="M209" s="6" t="str">
        <f t="shared" si="14"/>
        <v/>
      </c>
      <c r="N209" s="6" t="str">
        <f>IF(L209="Include",IFERROR(INDEX('[1]Data extraction'!$AC$2:$AC$58,MATCH(H209+1,'[1]Data extraction'!$AA$2:$AA$58,0)),"not found"),"")</f>
        <v/>
      </c>
      <c r="O209" s="6" t="str">
        <f>IF(N209="","",IFERROR(INDEX('[1]Data extraction'!$L$2:$L$58,MATCH(N209,'[1]Data extraction'!$AC$2:$AC$58,0)),""))</f>
        <v/>
      </c>
      <c r="P209" s="7" t="str">
        <f t="shared" si="15"/>
        <v>Excluded at title/abstract</v>
      </c>
      <c r="Q209" s="6" t="str">
        <f t="shared" si="16"/>
        <v>Population</v>
      </c>
      <c r="R209" s="4"/>
    </row>
    <row r="210" spans="1:18" x14ac:dyDescent="0.3">
      <c r="A210" s="4">
        <f>'[1]Abstract review'!C210</f>
        <v>206</v>
      </c>
      <c r="B210" s="4" t="str">
        <f>IFERROR(LEFT('[1]Abstract review'!D210,FIND(";",'[1]Abstract review'!D210)-1),'[1]Abstract review'!D210)</f>
        <v>J. Jakubechova</v>
      </c>
      <c r="C210" s="5" t="str">
        <f>'[1]Abstract review'!E210&amp;""</f>
        <v>2025</v>
      </c>
      <c r="D210" s="4" t="str">
        <f>'[1]Abstract review'!F210</f>
        <v>Combined action of suicide gene exosomes from pancreatic cancer-associated fibroblasts and from mesenchymal stem cells as a pancreatic ductal adenocarcinoma treatment approach</v>
      </c>
      <c r="E210" s="4" t="str">
        <f>IF('[1]Abstract review'!G210="","",'[1]Abstract review'!G210)</f>
        <v>10.1186/s12935-025-04130-0</v>
      </c>
      <c r="F210" s="4" t="str">
        <f>IF('[1]Abstract review'!I210="I","Include → full text",IF('[1]Abstract review'!I210="E","Exclude",IF('[1]Abstract review'!I210="DUP","Duplicate — removed",'[1]Abstract review'!I210)))</f>
        <v>Exclude</v>
      </c>
      <c r="G210" s="4" t="str">
        <f>IF('[1]Abstract review'!I210="E",'[1]Abstract review'!J210,"")</f>
        <v>Preclinical studies</v>
      </c>
      <c r="H210" s="4"/>
      <c r="I210" s="4"/>
      <c r="J210" s="4"/>
      <c r="K210" s="4"/>
      <c r="L210" s="6" t="str">
        <f t="shared" si="13"/>
        <v/>
      </c>
      <c r="M210" s="6" t="str">
        <f t="shared" si="14"/>
        <v/>
      </c>
      <c r="N210" s="6" t="str">
        <f>IF(L210="Include",IFERROR(INDEX('[1]Data extraction'!$AC$2:$AC$58,MATCH(H210+1,'[1]Data extraction'!$AA$2:$AA$58,0)),"not found"),"")</f>
        <v/>
      </c>
      <c r="O210" s="6" t="str">
        <f>IF(N210="","",IFERROR(INDEX('[1]Data extraction'!$L$2:$L$58,MATCH(N210,'[1]Data extraction'!$AC$2:$AC$58,0)),""))</f>
        <v/>
      </c>
      <c r="P210" s="7" t="str">
        <f t="shared" si="15"/>
        <v>Excluded at title/abstract</v>
      </c>
      <c r="Q210" s="6" t="str">
        <f t="shared" si="16"/>
        <v>Study design</v>
      </c>
      <c r="R210" s="4"/>
    </row>
    <row r="211" spans="1:18" x14ac:dyDescent="0.3">
      <c r="A211" s="4">
        <f>'[1]Abstract review'!C211</f>
        <v>207</v>
      </c>
      <c r="B211" s="4" t="str">
        <f>IFERROR(LEFT('[1]Abstract review'!D211,FIND(";",'[1]Abstract review'!D211)-1),'[1]Abstract review'!D211)</f>
        <v>M. K. Iyer</v>
      </c>
      <c r="C211" s="5" t="str">
        <f>'[1]Abstract review'!E211&amp;""</f>
        <v>2025</v>
      </c>
      <c r="D211" s="4" t="str">
        <f>'[1]Abstract review'!F211</f>
        <v>Spatial Transcriptomics of Intraductal Papillary Mucinous Neoplasms Reveals Divergent Indolent and Malignant States</v>
      </c>
      <c r="E211" s="4" t="str">
        <f>IF('[1]Abstract review'!G211="","",'[1]Abstract review'!G211)</f>
        <v>10.1158/1078-0432.Ccr-24-1529</v>
      </c>
      <c r="F211" s="4" t="str">
        <f>IF('[1]Abstract review'!I211="I","Include → full text",IF('[1]Abstract review'!I211="E","Exclude",IF('[1]Abstract review'!I211="DUP","Duplicate — removed",'[1]Abstract review'!I211)))</f>
        <v>Exclude</v>
      </c>
      <c r="G211" s="4" t="str">
        <f>IF('[1]Abstract review'!I211="E",'[1]Abstract review'!J211,"")</f>
        <v>no pdac</v>
      </c>
      <c r="H211" s="4"/>
      <c r="I211" s="4"/>
      <c r="J211" s="4"/>
      <c r="K211" s="4"/>
      <c r="L211" s="6" t="str">
        <f t="shared" si="13"/>
        <v/>
      </c>
      <c r="M211" s="6" t="str">
        <f t="shared" si="14"/>
        <v/>
      </c>
      <c r="N211" s="6" t="str">
        <f>IF(L211="Include",IFERROR(INDEX('[1]Data extraction'!$AC$2:$AC$58,MATCH(H211+1,'[1]Data extraction'!$AA$2:$AA$58,0)),"not found"),"")</f>
        <v/>
      </c>
      <c r="O211" s="6" t="str">
        <f>IF(N211="","",IFERROR(INDEX('[1]Data extraction'!$L$2:$L$58,MATCH(N211,'[1]Data extraction'!$AC$2:$AC$58,0)),""))</f>
        <v/>
      </c>
      <c r="P211" s="7" t="str">
        <f t="shared" si="15"/>
        <v>Excluded at title/abstract</v>
      </c>
      <c r="Q211" s="6" t="str">
        <f t="shared" si="16"/>
        <v>Population</v>
      </c>
      <c r="R211" s="4"/>
    </row>
    <row r="212" spans="1:18" x14ac:dyDescent="0.3">
      <c r="A212" s="4">
        <f>'[1]Abstract review'!C212</f>
        <v>208</v>
      </c>
      <c r="B212" s="4" t="str">
        <f>IFERROR(LEFT('[1]Abstract review'!D212,FIND(";",'[1]Abstract review'!D212)-1),'[1]Abstract review'!D212)</f>
        <v>K. M. T. Islam</v>
      </c>
      <c r="C212" s="5" t="str">
        <f>'[1]Abstract review'!E212&amp;""</f>
        <v>2025</v>
      </c>
      <c r="D212" s="4" t="str">
        <f>'[1]Abstract review'!F212</f>
        <v>Transcriptomics analysis unveils the complex interplay between diabetes and hypertension in regulating renal cell carcinoma pathway followed by pancreatic metastasis</v>
      </c>
      <c r="E212" s="4" t="str">
        <f>IF('[1]Abstract review'!G212="","",'[1]Abstract review'!G212)</f>
        <v>10.1016/j.jgeb.2025.100616</v>
      </c>
      <c r="F212" s="4" t="str">
        <f>IF('[1]Abstract review'!I212="I","Include → full text",IF('[1]Abstract review'!I212="E","Exclude",IF('[1]Abstract review'!I212="DUP","Duplicate — removed",'[1]Abstract review'!I212)))</f>
        <v>Exclude</v>
      </c>
      <c r="G212" s="4" t="str">
        <f>IF('[1]Abstract review'!I212="E",'[1]Abstract review'!J212,"")</f>
        <v>no pdac</v>
      </c>
      <c r="H212" s="4"/>
      <c r="I212" s="4"/>
      <c r="J212" s="4"/>
      <c r="K212" s="4"/>
      <c r="L212" s="6" t="str">
        <f t="shared" si="13"/>
        <v/>
      </c>
      <c r="M212" s="6" t="str">
        <f t="shared" si="14"/>
        <v/>
      </c>
      <c r="N212" s="6" t="str">
        <f>IF(L212="Include",IFERROR(INDEX('[1]Data extraction'!$AC$2:$AC$58,MATCH(H212+1,'[1]Data extraction'!$AA$2:$AA$58,0)),"not found"),"")</f>
        <v/>
      </c>
      <c r="O212" s="6" t="str">
        <f>IF(N212="","",IFERROR(INDEX('[1]Data extraction'!$L$2:$L$58,MATCH(N212,'[1]Data extraction'!$AC$2:$AC$58,0)),""))</f>
        <v/>
      </c>
      <c r="P212" s="7" t="str">
        <f t="shared" si="15"/>
        <v>Excluded at title/abstract</v>
      </c>
      <c r="Q212" s="6" t="str">
        <f t="shared" si="16"/>
        <v>Population</v>
      </c>
      <c r="R212" s="4"/>
    </row>
    <row r="213" spans="1:18" x14ac:dyDescent="0.3">
      <c r="A213" s="4">
        <f>'[1]Abstract review'!C213</f>
        <v>209</v>
      </c>
      <c r="B213" s="4" t="str">
        <f>IFERROR(LEFT('[1]Abstract review'!D213,FIND(";",'[1]Abstract review'!D213)-1),'[1]Abstract review'!D213)</f>
        <v>Htlk Huynh</v>
      </c>
      <c r="C213" s="5" t="str">
        <f>'[1]Abstract review'!E213&amp;""</f>
        <v>2025</v>
      </c>
      <c r="D213" s="4" t="str">
        <f>'[1]Abstract review'!F213</f>
        <v>In Silico Identification of ANKRD22 as a Theragnostic Target for Pancreatic Cancer and Fostamatinib's Therapeutic Potential</v>
      </c>
      <c r="E213" s="4" t="str">
        <f>IF('[1]Abstract review'!G213="","",'[1]Abstract review'!G213)</f>
        <v>10.7150/ijms.105193</v>
      </c>
      <c r="F213" s="4" t="str">
        <f>IF('[1]Abstract review'!I213="I","Include → full text",IF('[1]Abstract review'!I213="E","Exclude",IF('[1]Abstract review'!I213="DUP","Duplicate — removed",'[1]Abstract review'!I213)))</f>
        <v>Include → full text</v>
      </c>
      <c r="G213" s="4" t="str">
        <f>IF('[1]Abstract review'!I213="E",'[1]Abstract review'!J213,"")</f>
        <v/>
      </c>
      <c r="H213" s="4">
        <f>'[1]Full-text screening-extraction'!A97</f>
        <v>96</v>
      </c>
      <c r="I213" s="4" t="str">
        <f>IF('[1]Full-text screening-extraction'!AB97="","",'[1]Full-text screening-extraction'!AB97)</f>
        <v>no</v>
      </c>
      <c r="J213" s="4" t="str">
        <f>IF('[1]Full-text screening-extraction'!AC97="","",'[1]Full-text screening-extraction'!AC97)</f>
        <v>NA</v>
      </c>
      <c r="K213" s="4" t="str">
        <f>IF('[1]Full-text screening-extraction'!AG97="","",'[1]Full-text screening-extraction'!AG97)</f>
        <v/>
      </c>
      <c r="L213" s="6" t="str">
        <f t="shared" si="13"/>
        <v>Exclude</v>
      </c>
      <c r="M213" s="6" t="str">
        <f t="shared" si="14"/>
        <v>No adjusted multivariable model fitted</v>
      </c>
      <c r="N213" s="6" t="str">
        <f>IF(L213="Include",IFERROR(INDEX('[1]Data extraction'!$AC$2:$AC$58,MATCH(H213+1,'[1]Data extraction'!$AA$2:$AA$58,0)),"not found"),"")</f>
        <v/>
      </c>
      <c r="O213" s="6" t="str">
        <f>IF(N213="","",IFERROR(INDEX('[1]Data extraction'!$L$2:$L$58,MATCH(N213,'[1]Data extraction'!$AC$2:$AC$58,0)),""))</f>
        <v/>
      </c>
      <c r="P213" s="7" t="str">
        <f t="shared" si="15"/>
        <v>Excluded at full text</v>
      </c>
      <c r="Q213" s="6" t="str">
        <f t="shared" si="16"/>
        <v>Analysis &amp; synthesis eligibility</v>
      </c>
      <c r="R213" s="4" t="str">
        <f>IF(P213&lt;&gt;"INCLUDED","",'[1]Full-text screening-extraction'!M97&amp;" ("&amp;'[1]Full-text screening-extraction'!K97&amp;"); outcome: "&amp;'[1]Full-text screening-extraction'!P97&amp;"; multivariable: "&amp;LEFT('[1]Full-text screening-extraction'!T97,120)&amp;" | adjusted for: "&amp;LEFT('[1]Full-text screening-extraction'!U97,100))</f>
        <v/>
      </c>
    </row>
    <row r="214" spans="1:18" x14ac:dyDescent="0.3">
      <c r="A214" s="4">
        <f>'[1]Abstract review'!C214</f>
        <v>210</v>
      </c>
      <c r="B214" s="4" t="str">
        <f>IFERROR(LEFT('[1]Abstract review'!D214,FIND(";",'[1]Abstract review'!D214)-1),'[1]Abstract review'!D214)</f>
        <v>Marco Huberts</v>
      </c>
      <c r="C214" s="5" t="str">
        <f>'[1]Abstract review'!E214&amp;""</f>
        <v>2025</v>
      </c>
      <c r="D214" s="4" t="str">
        <f>'[1]Abstract review'!F214</f>
        <v>Identifying gene expression signatures of oncolytic virus response in patient-derived pancreatic ductal adenocarcinoma organoids</v>
      </c>
      <c r="E214" s="4" t="str">
        <f>IF('[1]Abstract review'!G214="","",'[1]Abstract review'!G214)</f>
        <v>10.1016/j.omton.2025.201064</v>
      </c>
      <c r="F214" s="4" t="str">
        <f>IF('[1]Abstract review'!I214="I","Include → full text",IF('[1]Abstract review'!I214="E","Exclude",IF('[1]Abstract review'!I214="DUP","Duplicate — removed",'[1]Abstract review'!I214)))</f>
        <v>Exclude</v>
      </c>
      <c r="G214" s="4" t="str">
        <f>IF('[1]Abstract review'!I214="E",'[1]Abstract review'!J214,"")</f>
        <v>Preclinical studies</v>
      </c>
      <c r="H214" s="4"/>
      <c r="I214" s="4"/>
      <c r="J214" s="4"/>
      <c r="K214" s="4"/>
      <c r="L214" s="6" t="str">
        <f t="shared" si="13"/>
        <v/>
      </c>
      <c r="M214" s="6" t="str">
        <f t="shared" si="14"/>
        <v/>
      </c>
      <c r="N214" s="6" t="str">
        <f>IF(L214="Include",IFERROR(INDEX('[1]Data extraction'!$AC$2:$AC$58,MATCH(H214+1,'[1]Data extraction'!$AA$2:$AA$58,0)),"not found"),"")</f>
        <v/>
      </c>
      <c r="O214" s="6" t="str">
        <f>IF(N214="","",IFERROR(INDEX('[1]Data extraction'!$L$2:$L$58,MATCH(N214,'[1]Data extraction'!$AC$2:$AC$58,0)),""))</f>
        <v/>
      </c>
      <c r="P214" s="7" t="str">
        <f t="shared" si="15"/>
        <v>Excluded at title/abstract</v>
      </c>
      <c r="Q214" s="6" t="str">
        <f t="shared" si="16"/>
        <v>Study design</v>
      </c>
      <c r="R214" s="4"/>
    </row>
    <row r="215" spans="1:18" x14ac:dyDescent="0.3">
      <c r="A215" s="4">
        <f>'[1]Abstract review'!C215</f>
        <v>211</v>
      </c>
      <c r="B215" s="4" t="str">
        <f>IFERROR(LEFT('[1]Abstract review'!D215,FIND(";",'[1]Abstract review'!D215)-1),'[1]Abstract review'!D215)</f>
        <v>J. Huang</v>
      </c>
      <c r="C215" s="5" t="str">
        <f>'[1]Abstract review'!E215&amp;""</f>
        <v>2025</v>
      </c>
      <c r="D215" s="4" t="str">
        <f>'[1]Abstract review'!F215</f>
        <v>Serum microRNA-24-based nomogram predicts prognosis for patients with resected pancreatic cancer</v>
      </c>
      <c r="E215" s="4" t="str">
        <f>IF('[1]Abstract review'!G215="","",'[1]Abstract review'!G215)</f>
        <v>10.1038/s41598-024-82369-9</v>
      </c>
      <c r="F215" s="4" t="str">
        <f>IF('[1]Abstract review'!I215="I","Include → full text",IF('[1]Abstract review'!I215="E","Exclude",IF('[1]Abstract review'!I215="DUP","Duplicate — removed",'[1]Abstract review'!I215)))</f>
        <v>Exclude</v>
      </c>
      <c r="G215" s="4" t="str">
        <f>IF('[1]Abstract review'!I215="E",'[1]Abstract review'!J215,"")</f>
        <v>Liquid biopsy / circulating biomarker only</v>
      </c>
      <c r="H215" s="4"/>
      <c r="I215" s="4"/>
      <c r="J215" s="4"/>
      <c r="K215" s="4"/>
      <c r="L215" s="6" t="str">
        <f t="shared" si="13"/>
        <v/>
      </c>
      <c r="M215" s="6" t="str">
        <f t="shared" si="14"/>
        <v/>
      </c>
      <c r="N215" s="6" t="str">
        <f>IF(L215="Include",IFERROR(INDEX('[1]Data extraction'!$AC$2:$AC$58,MATCH(H215+1,'[1]Data extraction'!$AA$2:$AA$58,0)),"not found"),"")</f>
        <v/>
      </c>
      <c r="O215" s="6" t="str">
        <f>IF(N215="","",IFERROR(INDEX('[1]Data extraction'!$L$2:$L$58,MATCH(N215,'[1]Data extraction'!$AC$2:$AC$58,0)),""))</f>
        <v/>
      </c>
      <c r="P215" s="7" t="str">
        <f t="shared" si="15"/>
        <v>Excluded at title/abstract</v>
      </c>
      <c r="Q215" s="6" t="str">
        <f t="shared" si="16"/>
        <v>Biomarker modality &amp; sample type</v>
      </c>
      <c r="R215" s="4"/>
    </row>
    <row r="216" spans="1:18" x14ac:dyDescent="0.3">
      <c r="A216" s="4">
        <f>'[1]Abstract review'!C216</f>
        <v>212</v>
      </c>
      <c r="B216" s="4" t="str">
        <f>IFERROR(LEFT('[1]Abstract review'!D216,FIND(";",'[1]Abstract review'!D216)-1),'[1]Abstract review'!D216)</f>
        <v>Z. Hu</v>
      </c>
      <c r="C216" s="5" t="str">
        <f>'[1]Abstract review'!E216&amp;""</f>
        <v>2025</v>
      </c>
      <c r="D216" s="4" t="str">
        <f>'[1]Abstract review'!F216</f>
        <v>Enhanced oral nanomedicine utilizing biomineralized oncolytic virus for synergistic gastrointestinal cancer therapy</v>
      </c>
      <c r="E216" s="4" t="str">
        <f>IF('[1]Abstract review'!G216="","",'[1]Abstract review'!G216)</f>
        <v>10.1016/j.mtbio.2025.102583</v>
      </c>
      <c r="F216" s="4" t="str">
        <f>IF('[1]Abstract review'!I216="I","Include → full text",IF('[1]Abstract review'!I216="E","Exclude",IF('[1]Abstract review'!I216="DUP","Duplicate — removed",'[1]Abstract review'!I216)))</f>
        <v>Exclude</v>
      </c>
      <c r="G216" s="4" t="str">
        <f>IF('[1]Abstract review'!I216="E",'[1]Abstract review'!J216,"")</f>
        <v>Preclinical studies</v>
      </c>
      <c r="H216" s="4"/>
      <c r="I216" s="4"/>
      <c r="J216" s="4"/>
      <c r="K216" s="4"/>
      <c r="L216" s="6" t="str">
        <f t="shared" si="13"/>
        <v/>
      </c>
      <c r="M216" s="6" t="str">
        <f t="shared" si="14"/>
        <v/>
      </c>
      <c r="N216" s="6" t="str">
        <f>IF(L216="Include",IFERROR(INDEX('[1]Data extraction'!$AC$2:$AC$58,MATCH(H216+1,'[1]Data extraction'!$AA$2:$AA$58,0)),"not found"),"")</f>
        <v/>
      </c>
      <c r="O216" s="6" t="str">
        <f>IF(N216="","",IFERROR(INDEX('[1]Data extraction'!$L$2:$L$58,MATCH(N216,'[1]Data extraction'!$AC$2:$AC$58,0)),""))</f>
        <v/>
      </c>
      <c r="P216" s="7" t="str">
        <f t="shared" si="15"/>
        <v>Excluded at title/abstract</v>
      </c>
      <c r="Q216" s="6" t="str">
        <f t="shared" si="16"/>
        <v>Study design</v>
      </c>
      <c r="R216" s="4"/>
    </row>
    <row r="217" spans="1:18" x14ac:dyDescent="0.3">
      <c r="A217" s="4">
        <f>'[1]Abstract review'!C217</f>
        <v>213</v>
      </c>
      <c r="B217" s="4" t="str">
        <f>IFERROR(LEFT('[1]Abstract review'!D217,FIND(";",'[1]Abstract review'!D217)-1),'[1]Abstract review'!D217)</f>
        <v>Lingbo Hu</v>
      </c>
      <c r="C217" s="5" t="str">
        <f>'[1]Abstract review'!E217&amp;""</f>
        <v>2025</v>
      </c>
      <c r="D217" s="4" t="str">
        <f>'[1]Abstract review'!F217</f>
        <v>Investigating the correlation between tertiary lymphoid structures and clinical outcomes in pancreatic ductal adenocarcinoma: insights into tumor immunology</v>
      </c>
      <c r="E217" s="4" t="str">
        <f>IF('[1]Abstract review'!G217="","",'[1]Abstract review'!G217)</f>
        <v>10.3389/fonc.2025.1569947</v>
      </c>
      <c r="F217" s="4" t="str">
        <f>IF('[1]Abstract review'!I217="I","Include → full text",IF('[1]Abstract review'!I217="E","Exclude",IF('[1]Abstract review'!I217="DUP","Duplicate — removed",'[1]Abstract review'!I217)))</f>
        <v>Include → full text</v>
      </c>
      <c r="G217" s="4" t="str">
        <f>IF('[1]Abstract review'!I217="E",'[1]Abstract review'!J217,"")</f>
        <v/>
      </c>
      <c r="H217" s="4">
        <f>'[1]Full-text screening-extraction'!A98</f>
        <v>97</v>
      </c>
      <c r="I217" s="4" t="str">
        <f>IF('[1]Full-text screening-extraction'!AB98="","",'[1]Full-text screening-extraction'!AB98)</f>
        <v>yes</v>
      </c>
      <c r="J217" s="4" t="str">
        <f>IF('[1]Full-text screening-extraction'!AC98="","",'[1]Full-text screening-extraction'!AC98)</f>
        <v>yes</v>
      </c>
      <c r="K217" s="4" t="str">
        <f>IF('[1]Full-text screening-extraction'!AG98="","",'[1]Full-text screening-extraction'!AG98)</f>
        <v>Excluded — biomarker modality: main prognostic marker is tertiary lymphoid structures (histopathology/IHC finding); the accompanying transcriptomic analysis does not make the marker transcriptomic</v>
      </c>
      <c r="L217" s="6" t="str">
        <f t="shared" si="13"/>
        <v>Exclude</v>
      </c>
      <c r="M217" s="6" t="str">
        <f t="shared" si="14"/>
        <v>Biomarker modality not transcriptomic/proteomic</v>
      </c>
      <c r="N217" s="6" t="str">
        <f>IF(L217="Include",IFERROR(INDEX('[1]Data extraction'!$AC$2:$AC$58,MATCH(H217+1,'[1]Data extraction'!$AA$2:$AA$58,0)),"not found"),"")</f>
        <v/>
      </c>
      <c r="O217" s="6" t="str">
        <f>IF(N217="","",IFERROR(INDEX('[1]Data extraction'!$L$2:$L$58,MATCH(N217,'[1]Data extraction'!$AC$2:$AC$58,0)),""))</f>
        <v/>
      </c>
      <c r="P217" s="7" t="str">
        <f t="shared" si="15"/>
        <v>Excluded at full text</v>
      </c>
      <c r="Q217" s="6" t="str">
        <f t="shared" si="16"/>
        <v>Biomarker modality &amp; sample type</v>
      </c>
      <c r="R217" s="4" t="str">
        <f>IF(P217&lt;&gt;"INCLUDED","",'[1]Full-text screening-extraction'!M98&amp;" ("&amp;'[1]Full-text screening-extraction'!K98&amp;"); outcome: "&amp;'[1]Full-text screening-extraction'!P98&amp;"; multivariable: "&amp;LEFT('[1]Full-text screening-extraction'!T98,120)&amp;" | adjusted for: "&amp;LEFT('[1]Full-text screening-extraction'!U98,100))</f>
        <v/>
      </c>
    </row>
    <row r="218" spans="1:18" x14ac:dyDescent="0.3">
      <c r="A218" s="4">
        <f>'[1]Abstract review'!C218</f>
        <v>214</v>
      </c>
      <c r="B218" s="4" t="str">
        <f>IFERROR(LEFT('[1]Abstract review'!D218,FIND(";",'[1]Abstract review'!D218)-1),'[1]Abstract review'!D218)</f>
        <v>D. Høgdall</v>
      </c>
      <c r="C218" s="5" t="str">
        <f>'[1]Abstract review'!E218&amp;""</f>
        <v>2025</v>
      </c>
      <c r="D218" s="4" t="str">
        <f>'[1]Abstract review'!F218</f>
        <v>Personalized Neoadjuvant Chemotherapy for Gastrointestinal Cancers: Shaping Imprecision to be Precise</v>
      </c>
      <c r="E218" s="4" t="str">
        <f>IF('[1]Abstract review'!G218="","",'[1]Abstract review'!G218)</f>
        <v>10.1158/1078-0432.Ccr-24-4309</v>
      </c>
      <c r="F218" s="4" t="str">
        <f>IF('[1]Abstract review'!I218="I","Include → full text",IF('[1]Abstract review'!I218="E","Exclude",IF('[1]Abstract review'!I218="DUP","Duplicate — removed",'[1]Abstract review'!I218)))</f>
        <v>Exclude</v>
      </c>
      <c r="G218" s="4" t="str">
        <f>IF('[1]Abstract review'!I218="E",'[1]Abstract review'!J218,"")</f>
        <v>Review</v>
      </c>
      <c r="H218" s="4"/>
      <c r="I218" s="4"/>
      <c r="J218" s="4"/>
      <c r="K218" s="4"/>
      <c r="L218" s="6" t="str">
        <f t="shared" si="13"/>
        <v/>
      </c>
      <c r="M218" s="6" t="str">
        <f t="shared" si="14"/>
        <v/>
      </c>
      <c r="N218" s="6" t="str">
        <f>IF(L218="Include",IFERROR(INDEX('[1]Data extraction'!$AC$2:$AC$58,MATCH(H218+1,'[1]Data extraction'!$AA$2:$AA$58,0)),"not found"),"")</f>
        <v/>
      </c>
      <c r="O218" s="6" t="str">
        <f>IF(N218="","",IFERROR(INDEX('[1]Data extraction'!$L$2:$L$58,MATCH(N218,'[1]Data extraction'!$AC$2:$AC$58,0)),""))</f>
        <v/>
      </c>
      <c r="P218" s="7" t="str">
        <f t="shared" si="15"/>
        <v>Excluded at title/abstract</v>
      </c>
      <c r="Q218" s="6" t="str">
        <f t="shared" si="16"/>
        <v>Study design</v>
      </c>
      <c r="R218" s="4"/>
    </row>
    <row r="219" spans="1:18" x14ac:dyDescent="0.3">
      <c r="A219" s="4">
        <f>'[1]Abstract review'!C219</f>
        <v>215</v>
      </c>
      <c r="B219" s="4" t="str">
        <f>IFERROR(LEFT('[1]Abstract review'!D219,FIND(";",'[1]Abstract review'!D219)-1),'[1]Abstract review'!D219)</f>
        <v>Deborah de la Caridad Delgado Herrera</v>
      </c>
      <c r="C219" s="5" t="str">
        <f>'[1]Abstract review'!E219&amp;""</f>
        <v>2025</v>
      </c>
      <c r="D219" s="4" t="str">
        <f>'[1]Abstract review'!F219</f>
        <v>The glutathione S-transferase GSTT1 mediates stemness and sensitivity to FGFR inhibitors in metastatic pancreatic cancer through regulation of &lt;i&gt;PROM1&lt;/i&gt;</v>
      </c>
      <c r="E219" s="4" t="str">
        <f>IF('[1]Abstract review'!G219="","",'[1]Abstract review'!G219)</f>
        <v>10.1101/2025.08.06.668944</v>
      </c>
      <c r="F219" s="4" t="str">
        <f>IF('[1]Abstract review'!I219="I","Include → full text",IF('[1]Abstract review'!I219="E","Exclude",IF('[1]Abstract review'!I219="DUP","Duplicate — removed",'[1]Abstract review'!I219)))</f>
        <v>Exclude</v>
      </c>
      <c r="G219" s="4" t="str">
        <f>IF('[1]Abstract review'!I219="E",'[1]Abstract review'!J219,"")</f>
        <v>Preclinical studies</v>
      </c>
      <c r="H219" s="4"/>
      <c r="I219" s="4"/>
      <c r="J219" s="4"/>
      <c r="K219" s="4"/>
      <c r="L219" s="6" t="str">
        <f t="shared" si="13"/>
        <v/>
      </c>
      <c r="M219" s="6" t="str">
        <f t="shared" si="14"/>
        <v/>
      </c>
      <c r="N219" s="6" t="str">
        <f>IF(L219="Include",IFERROR(INDEX('[1]Data extraction'!$AC$2:$AC$58,MATCH(H219+1,'[1]Data extraction'!$AA$2:$AA$58,0)),"not found"),"")</f>
        <v/>
      </c>
      <c r="O219" s="6" t="str">
        <f>IF(N219="","",IFERROR(INDEX('[1]Data extraction'!$L$2:$L$58,MATCH(N219,'[1]Data extraction'!$AC$2:$AC$58,0)),""))</f>
        <v/>
      </c>
      <c r="P219" s="7" t="str">
        <f t="shared" si="15"/>
        <v>Excluded at title/abstract</v>
      </c>
      <c r="Q219" s="6" t="str">
        <f t="shared" si="16"/>
        <v>Study design</v>
      </c>
      <c r="R219" s="4"/>
    </row>
    <row r="220" spans="1:18" x14ac:dyDescent="0.3">
      <c r="A220" s="4">
        <f>'[1]Abstract review'!C220</f>
        <v>216</v>
      </c>
      <c r="B220" s="4" t="str">
        <f>IFERROR(LEFT('[1]Abstract review'!D220,FIND(";",'[1]Abstract review'!D220)-1),'[1]Abstract review'!D220)</f>
        <v>M. Hendi</v>
      </c>
      <c r="C220" s="5" t="str">
        <f>'[1]Abstract review'!E220&amp;""</f>
        <v>2025</v>
      </c>
      <c r="D220" s="4" t="str">
        <f>'[1]Abstract review'!F220</f>
        <v>Importance of landscape exploration and progress in molecular therapies and precision medicine for pancreatic ductal adenocarcinoma</v>
      </c>
      <c r="E220" s="4" t="str">
        <f>IF('[1]Abstract review'!G220="","",'[1]Abstract review'!G220)</f>
        <v>10.4251/wjgo.v17.i7.103337</v>
      </c>
      <c r="F220" s="4" t="str">
        <f>IF('[1]Abstract review'!I220="I","Include → full text",IF('[1]Abstract review'!I220="E","Exclude",IF('[1]Abstract review'!I220="DUP","Duplicate — removed",'[1]Abstract review'!I220)))</f>
        <v>Exclude</v>
      </c>
      <c r="G220" s="4" t="str">
        <f>IF('[1]Abstract review'!I220="E",'[1]Abstract review'!J220,"")</f>
        <v>Review</v>
      </c>
      <c r="H220" s="4"/>
      <c r="I220" s="4"/>
      <c r="J220" s="4"/>
      <c r="K220" s="4"/>
      <c r="L220" s="6" t="str">
        <f t="shared" si="13"/>
        <v/>
      </c>
      <c r="M220" s="6" t="str">
        <f t="shared" si="14"/>
        <v/>
      </c>
      <c r="N220" s="6" t="str">
        <f>IF(L220="Include",IFERROR(INDEX('[1]Data extraction'!$AC$2:$AC$58,MATCH(H220+1,'[1]Data extraction'!$AA$2:$AA$58,0)),"not found"),"")</f>
        <v/>
      </c>
      <c r="O220" s="6" t="str">
        <f>IF(N220="","",IFERROR(INDEX('[1]Data extraction'!$L$2:$L$58,MATCH(N220,'[1]Data extraction'!$AC$2:$AC$58,0)),""))</f>
        <v/>
      </c>
      <c r="P220" s="7" t="str">
        <f t="shared" si="15"/>
        <v>Excluded at title/abstract</v>
      </c>
      <c r="Q220" s="6" t="str">
        <f t="shared" si="16"/>
        <v>Study design</v>
      </c>
      <c r="R220" s="4"/>
    </row>
    <row r="221" spans="1:18" x14ac:dyDescent="0.3">
      <c r="A221" s="4">
        <f>'[1]Abstract review'!C221</f>
        <v>217</v>
      </c>
      <c r="B221" s="4" t="str">
        <f>IFERROR(LEFT('[1]Abstract review'!D221,FIND(";",'[1]Abstract review'!D221)-1),'[1]Abstract review'!D221)</f>
        <v>Xinying He</v>
      </c>
      <c r="C221" s="5" t="str">
        <f>'[1]Abstract review'!E221&amp;""</f>
        <v>2025</v>
      </c>
      <c r="D221" s="4" t="str">
        <f>'[1]Abstract review'!F221</f>
        <v>Impact of SERPINA3 on the Prognostic Role of KRAS G12R-Mutated Pancreatic Ductal Adenocarcinoma Patients Receiving Gemcitabine-Based Treatment: A Cross-Sectional Study</v>
      </c>
      <c r="E221" s="4" t="str">
        <f>IF('[1]Abstract review'!G221="","",'[1]Abstract review'!G221)</f>
        <v>10.1002/hsr2.71332</v>
      </c>
      <c r="F221" s="4" t="str">
        <f>IF('[1]Abstract review'!I221="I","Include → full text",IF('[1]Abstract review'!I221="E","Exclude",IF('[1]Abstract review'!I221="DUP","Duplicate — removed",'[1]Abstract review'!I221)))</f>
        <v>Include → full text</v>
      </c>
      <c r="G221" s="4" t="str">
        <f>IF('[1]Abstract review'!I221="E",'[1]Abstract review'!J221,"")</f>
        <v/>
      </c>
      <c r="H221" s="4">
        <f>'[1]Full-text screening-extraction'!A99</f>
        <v>98</v>
      </c>
      <c r="I221" s="4" t="str">
        <f>IF('[1]Full-text screening-extraction'!AB99="","",'[1]Full-text screening-extraction'!AB99)</f>
        <v>no</v>
      </c>
      <c r="J221" s="4" t="str">
        <f>IF('[1]Full-text screening-extraction'!AC99="","",'[1]Full-text screening-extraction'!AC99)</f>
        <v>NA</v>
      </c>
      <c r="K221" s="4" t="str">
        <f>IF('[1]Full-text screening-extraction'!AG99="","",'[1]Full-text screening-extraction'!AG99)</f>
        <v/>
      </c>
      <c r="L221" s="6" t="str">
        <f t="shared" si="13"/>
        <v>Exclude</v>
      </c>
      <c r="M221" s="6" t="str">
        <f t="shared" si="14"/>
        <v>No adjusted multivariable model fitted</v>
      </c>
      <c r="N221" s="6" t="str">
        <f>IF(L221="Include",IFERROR(INDEX('[1]Data extraction'!$AC$2:$AC$58,MATCH(H221+1,'[1]Data extraction'!$AA$2:$AA$58,0)),"not found"),"")</f>
        <v/>
      </c>
      <c r="O221" s="6" t="str">
        <f>IF(N221="","",IFERROR(INDEX('[1]Data extraction'!$L$2:$L$58,MATCH(N221,'[1]Data extraction'!$AC$2:$AC$58,0)),""))</f>
        <v/>
      </c>
      <c r="P221" s="7" t="str">
        <f t="shared" si="15"/>
        <v>Excluded at full text</v>
      </c>
      <c r="Q221" s="6" t="str">
        <f t="shared" si="16"/>
        <v>Analysis &amp; synthesis eligibility</v>
      </c>
      <c r="R221" s="4" t="str">
        <f>IF(P221&lt;&gt;"INCLUDED","",'[1]Full-text screening-extraction'!M99&amp;" ("&amp;'[1]Full-text screening-extraction'!K99&amp;"); outcome: "&amp;'[1]Full-text screening-extraction'!P99&amp;"; multivariable: "&amp;LEFT('[1]Full-text screening-extraction'!T99,120)&amp;" | adjusted for: "&amp;LEFT('[1]Full-text screening-extraction'!U99,100))</f>
        <v/>
      </c>
    </row>
    <row r="222" spans="1:18" x14ac:dyDescent="0.3">
      <c r="A222" s="4">
        <f>'[1]Abstract review'!C222</f>
        <v>218</v>
      </c>
      <c r="B222" s="4" t="str">
        <f>IFERROR(LEFT('[1]Abstract review'!D222,FIND(";",'[1]Abstract review'!D222)-1),'[1]Abstract review'!D222)</f>
        <v>Marwa Hassan</v>
      </c>
      <c r="C222" s="5" t="str">
        <f>'[1]Abstract review'!E222&amp;""</f>
        <v>2025</v>
      </c>
      <c r="D222" s="4" t="str">
        <f>'[1]Abstract review'!F222</f>
        <v>Genetic Variants and Soluble Isoforms of PD-1/PD-L1 as Novel Biomarkers for Pancreatic Ductal Adenocarcinoma (PDAC) Susceptibility and Prognosis</v>
      </c>
      <c r="E222" s="4" t="str">
        <f>IF('[1]Abstract review'!G222="","",'[1]Abstract review'!G222)</f>
        <v>10.3390/biomedicines13092246</v>
      </c>
      <c r="F222" s="4" t="str">
        <f>IF('[1]Abstract review'!I222="I","Include → full text",IF('[1]Abstract review'!I222="E","Exclude",IF('[1]Abstract review'!I222="DUP","Duplicate — removed",'[1]Abstract review'!I222)))</f>
        <v>Exclude</v>
      </c>
      <c r="G222" s="4" t="str">
        <f>IF('[1]Abstract review'!I222="E",'[1]Abstract review'!J222,"")</f>
        <v>Exploratory analysis</v>
      </c>
      <c r="H222" s="4"/>
      <c r="I222" s="4"/>
      <c r="J222" s="4"/>
      <c r="K222" s="4"/>
      <c r="L222" s="6" t="str">
        <f t="shared" si="13"/>
        <v/>
      </c>
      <c r="M222" s="6" t="str">
        <f t="shared" si="14"/>
        <v/>
      </c>
      <c r="N222" s="6" t="str">
        <f>IF(L222="Include",IFERROR(INDEX('[1]Data extraction'!$AC$2:$AC$58,MATCH(H222+1,'[1]Data extraction'!$AA$2:$AA$58,0)),"not found"),"")</f>
        <v/>
      </c>
      <c r="O222" s="6" t="str">
        <f>IF(N222="","",IFERROR(INDEX('[1]Data extraction'!$L$2:$L$58,MATCH(N222,'[1]Data extraction'!$AC$2:$AC$58,0)),""))</f>
        <v/>
      </c>
      <c r="P222" s="7" t="str">
        <f t="shared" si="15"/>
        <v>Excluded at title/abstract</v>
      </c>
      <c r="Q222" s="6" t="str">
        <f t="shared" si="16"/>
        <v>Outcomes</v>
      </c>
      <c r="R222" s="4"/>
    </row>
    <row r="223" spans="1:18" x14ac:dyDescent="0.3">
      <c r="A223" s="4">
        <f>'[1]Abstract review'!C223</f>
        <v>219</v>
      </c>
      <c r="B223" s="4" t="str">
        <f>IFERROR(LEFT('[1]Abstract review'!D223,FIND(";",'[1]Abstract review'!D223)-1),'[1]Abstract review'!D223)</f>
        <v>N. A. Hassan Elsheikh</v>
      </c>
      <c r="C223" s="5" t="str">
        <f>'[1]Abstract review'!E223&amp;""</f>
        <v>2025</v>
      </c>
      <c r="D223" s="4" t="str">
        <f>'[1]Abstract review'!F223</f>
        <v>Pan-Cancer Analysis Reveals Ribonuclease K (RNASEK) as a Potential Prognostic Biomarker in Pancreatic Cancer and a Diagnostic Indicator Across Multiple Human Cancers</v>
      </c>
      <c r="E223" s="4" t="str">
        <f>IF('[1]Abstract review'!G223="","",'[1]Abstract review'!G223)</f>
        <v>10.7759/cureus.84574</v>
      </c>
      <c r="F223" s="4" t="str">
        <f>IF('[1]Abstract review'!I223="I","Include → full text",IF('[1]Abstract review'!I223="E","Exclude",IF('[1]Abstract review'!I223="DUP","Duplicate — removed",'[1]Abstract review'!I223)))</f>
        <v>Exclude</v>
      </c>
      <c r="G223" s="4" t="str">
        <f>IF('[1]Abstract review'!I223="E",'[1]Abstract review'!J223,"")</f>
        <v>no pdac</v>
      </c>
      <c r="H223" s="4"/>
      <c r="I223" s="4"/>
      <c r="J223" s="4"/>
      <c r="K223" s="4"/>
      <c r="L223" s="6" t="str">
        <f t="shared" si="13"/>
        <v/>
      </c>
      <c r="M223" s="6" t="str">
        <f t="shared" si="14"/>
        <v/>
      </c>
      <c r="N223" s="6" t="str">
        <f>IF(L223="Include",IFERROR(INDEX('[1]Data extraction'!$AC$2:$AC$58,MATCH(H223+1,'[1]Data extraction'!$AA$2:$AA$58,0)),"not found"),"")</f>
        <v/>
      </c>
      <c r="O223" s="6" t="str">
        <f>IF(N223="","",IFERROR(INDEX('[1]Data extraction'!$L$2:$L$58,MATCH(N223,'[1]Data extraction'!$AC$2:$AC$58,0)),""))</f>
        <v/>
      </c>
      <c r="P223" s="7" t="str">
        <f t="shared" si="15"/>
        <v>Excluded at title/abstract</v>
      </c>
      <c r="Q223" s="6" t="str">
        <f t="shared" si="16"/>
        <v>Population</v>
      </c>
      <c r="R223" s="4"/>
    </row>
    <row r="224" spans="1:18" x14ac:dyDescent="0.3">
      <c r="A224" s="4">
        <f>'[1]Abstract review'!C224</f>
        <v>220</v>
      </c>
      <c r="B224" s="4" t="str">
        <f>IFERROR(LEFT('[1]Abstract review'!D224,FIND(";",'[1]Abstract review'!D224)-1),'[1]Abstract review'!D224)</f>
        <v>Y. B. Han</v>
      </c>
      <c r="C224" s="5" t="str">
        <f>'[1]Abstract review'!E224&amp;""</f>
        <v>2025</v>
      </c>
      <c r="D224" s="4" t="str">
        <f>'[1]Abstract review'!F224</f>
        <v>Spatial transcriptomics reveal high T cell and monocyte status as predictive and prognostic markers in pancreatic cancer</v>
      </c>
      <c r="E224" s="4" t="str">
        <f>IF('[1]Abstract review'!G224="","",'[1]Abstract review'!G224)</f>
        <v>10.1186/s12967-025-06599-9</v>
      </c>
      <c r="F224" s="4" t="str">
        <f>IF('[1]Abstract review'!I224="I","Include → full text",IF('[1]Abstract review'!I224="E","Exclude",IF('[1]Abstract review'!I224="DUP","Duplicate — removed",'[1]Abstract review'!I224)))</f>
        <v>Include → full text</v>
      </c>
      <c r="G224" s="4" t="str">
        <f>IF('[1]Abstract review'!I224="E",'[1]Abstract review'!J224,"")</f>
        <v/>
      </c>
      <c r="H224" s="4">
        <f>'[1]Full-text screening-extraction'!A100</f>
        <v>99</v>
      </c>
      <c r="I224" s="4" t="str">
        <f>IF('[1]Full-text screening-extraction'!AB100="","",'[1]Full-text screening-extraction'!AB100)</f>
        <v>yes</v>
      </c>
      <c r="J224" s="4" t="str">
        <f>IF('[1]Full-text screening-extraction'!AC100="","",'[1]Full-text screening-extraction'!AC100)</f>
        <v>yes</v>
      </c>
      <c r="K224" s="4" t="str">
        <f>IF('[1]Full-text screening-extraction'!AG100="","",'[1]Full-text screening-extraction'!AG100)</f>
        <v/>
      </c>
      <c r="L224" s="6" t="str">
        <f t="shared" si="13"/>
        <v>Include</v>
      </c>
      <c r="M224" s="6" t="str">
        <f t="shared" si="14"/>
        <v/>
      </c>
      <c r="N224" s="6" t="str">
        <f>IF(L224="Include",IFERROR(INDEX('[1]Data extraction'!$AC$2:$AC$58,MATCH(H224+1,'[1]Data extraction'!$AA$2:$AA$58,0)),"not found"),"")</f>
        <v>EV-52</v>
      </c>
      <c r="O224" s="6" t="str">
        <f>IF(N224="","",IFERROR(INDEX('[1]Data extraction'!$L$2:$L$58,MATCH(N224,'[1]Data extraction'!$AC$2:$AC$58,0)),""))</f>
        <v>B</v>
      </c>
      <c r="P224" s="7" t="str">
        <f t="shared" si="15"/>
        <v>INCLUDED</v>
      </c>
      <c r="Q224" s="6" t="str">
        <f t="shared" si="16"/>
        <v>All PICOS rows + Independent prognostic value</v>
      </c>
      <c r="R224" s="4" t="str">
        <f>IF(P224&lt;&gt;"INCLUDED","",'[1]Full-text screening-extraction'!M100&amp;" ("&amp;'[1]Full-text screening-extraction'!K100&amp;"); outcome: "&amp;'[1]Full-text screening-extraction'!P100&amp;"; multivariable: "&amp;LEFT('[1]Full-text screening-extraction'!T100,120)&amp;" | adjusted for: "&amp;LEFT('[1]Full-text screening-extraction'!U100,100))</f>
        <v>Microenvironmental/stromal and immune markers including MFAP4, EGR3, KRT8, monocyte infiltration, CD68+ macrophages, CD3/CD4/CD8 T-cell infiltration (Digital spatial transcriptomics, immunohistochemistry, immune deconvolution, clinicopathologic survival analysis); outcome: Overall survival (OS); multivariable: Multivariate Cox: high monocyte infiltration independently predicted worse OS and PFS overall; high CD68+ cell infiltrat | adjusted for: Age, sex, pT/pN, differentiation, resection margin, invasion variables, CA19-9, treatment group, mul</v>
      </c>
    </row>
    <row r="225" spans="1:18" x14ac:dyDescent="0.3">
      <c r="A225" s="4">
        <f>'[1]Abstract review'!C225</f>
        <v>221</v>
      </c>
      <c r="B225" s="4" t="str">
        <f>IFERROR(LEFT('[1]Abstract review'!D225,FIND(";",'[1]Abstract review'!D225)-1),'[1]Abstract review'!D225)</f>
        <v>Priyanka Gupta</v>
      </c>
      <c r="C225" s="5" t="str">
        <f>'[1]Abstract review'!E225&amp;""</f>
        <v>2025</v>
      </c>
      <c r="D225" s="4" t="str">
        <f>'[1]Abstract review'!F225</f>
        <v>The Aging Microenvironment as a Determinant of Immune Exclusion and Metastatic Fate in Pancreatic Cancer</v>
      </c>
      <c r="E225" s="4" t="str">
        <f>IF('[1]Abstract review'!G225="","",'[1]Abstract review'!G225)</f>
        <v>10.1101/2025.05.08.652966</v>
      </c>
      <c r="F225" s="4" t="str">
        <f>IF('[1]Abstract review'!I225="I","Include → full text",IF('[1]Abstract review'!I225="E","Exclude",IF('[1]Abstract review'!I225="DUP","Duplicate — removed",'[1]Abstract review'!I225)))</f>
        <v>Duplicate — removed</v>
      </c>
      <c r="G225" s="4" t="str">
        <f>IF('[1]Abstract review'!I225="E",'[1]Abstract review'!J225,"")</f>
        <v/>
      </c>
      <c r="H225" s="4"/>
      <c r="I225" s="4"/>
      <c r="J225" s="4"/>
      <c r="K225" s="4"/>
      <c r="L225" s="6" t="str">
        <f t="shared" si="13"/>
        <v/>
      </c>
      <c r="M225" s="6" t="str">
        <f t="shared" si="14"/>
        <v/>
      </c>
      <c r="N225" s="6" t="str">
        <f>IF(L225="Include",IFERROR(INDEX('[1]Data extraction'!$AC$2:$AC$58,MATCH(H225+1,'[1]Data extraction'!$AA$2:$AA$58,0)),"not found"),"")</f>
        <v/>
      </c>
      <c r="O225" s="6" t="str">
        <f>IF(N225="","",IFERROR(INDEX('[1]Data extraction'!$L$2:$L$58,MATCH(N225,'[1]Data extraction'!$AC$2:$AC$58,0)),""))</f>
        <v/>
      </c>
      <c r="P225" s="7" t="str">
        <f t="shared" si="15"/>
        <v>Duplicate removed</v>
      </c>
      <c r="Q225" s="6" t="str">
        <f t="shared" si="16"/>
        <v>Duplicate record</v>
      </c>
      <c r="R225" s="4"/>
    </row>
    <row r="226" spans="1:18" x14ac:dyDescent="0.3">
      <c r="A226" s="4">
        <f>'[1]Abstract review'!C226</f>
        <v>222</v>
      </c>
      <c r="B226" s="4" t="str">
        <f>IFERROR(LEFT('[1]Abstract review'!D226,FIND(";",'[1]Abstract review'!D226)-1),'[1]Abstract review'!D226)</f>
        <v>P. M. Gunasekaran</v>
      </c>
      <c r="C226" s="5" t="str">
        <f>'[1]Abstract review'!E226&amp;""</f>
        <v>2025</v>
      </c>
      <c r="D226" s="4" t="str">
        <f>'[1]Abstract review'!F226</f>
        <v>Hypoxia-induced metastatic heterogeneity in pancreatic cancer</v>
      </c>
      <c r="E226" s="4" t="str">
        <f>IF('[1]Abstract review'!G226="","",'[1]Abstract review'!G226)</f>
        <v>10.1101/2025.08.26.672389</v>
      </c>
      <c r="F226" s="4" t="str">
        <f>IF('[1]Abstract review'!I226="I","Include → full text",IF('[1]Abstract review'!I226="E","Exclude",IF('[1]Abstract review'!I226="DUP","Duplicate — removed",'[1]Abstract review'!I226)))</f>
        <v>Exclude</v>
      </c>
      <c r="G226" s="4" t="str">
        <f>IF('[1]Abstract review'!I226="E",'[1]Abstract review'!J226,"")</f>
        <v>Preclinical studies</v>
      </c>
      <c r="H226" s="4"/>
      <c r="I226" s="4"/>
      <c r="J226" s="4"/>
      <c r="K226" s="4"/>
      <c r="L226" s="6" t="str">
        <f t="shared" si="13"/>
        <v/>
      </c>
      <c r="M226" s="6" t="str">
        <f t="shared" si="14"/>
        <v/>
      </c>
      <c r="N226" s="6" t="str">
        <f>IF(L226="Include",IFERROR(INDEX('[1]Data extraction'!$AC$2:$AC$58,MATCH(H226+1,'[1]Data extraction'!$AA$2:$AA$58,0)),"not found"),"")</f>
        <v/>
      </c>
      <c r="O226" s="6" t="str">
        <f>IF(N226="","",IFERROR(INDEX('[1]Data extraction'!$L$2:$L$58,MATCH(N226,'[1]Data extraction'!$AC$2:$AC$58,0)),""))</f>
        <v/>
      </c>
      <c r="P226" s="7" t="str">
        <f t="shared" si="15"/>
        <v>Excluded at title/abstract</v>
      </c>
      <c r="Q226" s="6" t="str">
        <f t="shared" si="16"/>
        <v>Study design</v>
      </c>
      <c r="R226" s="4"/>
    </row>
    <row r="227" spans="1:18" x14ac:dyDescent="0.3">
      <c r="A227" s="4">
        <f>'[1]Abstract review'!C227</f>
        <v>223</v>
      </c>
      <c r="B227" s="4" t="str">
        <f>IFERROR(LEFT('[1]Abstract review'!D227,FIND(";",'[1]Abstract review'!D227)-1),'[1]Abstract review'!D227)</f>
        <v>Xiao Guan</v>
      </c>
      <c r="C227" s="5" t="str">
        <f>'[1]Abstract review'!E227&amp;""</f>
        <v>2025</v>
      </c>
      <c r="D227" s="4" t="str">
        <f>'[1]Abstract review'!F227</f>
        <v>Integrated multi-omics profiling to establish an IGFBP-based prognostic score for pancreatic ductal adenocarcinoma: unraveling prognostic biomarkers, immune microenvironment crosstalk, and therapeutic implications</v>
      </c>
      <c r="E227" s="4" t="str">
        <f>IF('[1]Abstract review'!G227="","",'[1]Abstract review'!G227)</f>
        <v>10.3389/fimmu.2025.1600527</v>
      </c>
      <c r="F227" s="4" t="str">
        <f>IF('[1]Abstract review'!I227="I","Include → full text",IF('[1]Abstract review'!I227="E","Exclude",IF('[1]Abstract review'!I227="DUP","Duplicate — removed",'[1]Abstract review'!I227)))</f>
        <v>Include → full text</v>
      </c>
      <c r="G227" s="4" t="str">
        <f>IF('[1]Abstract review'!I227="E",'[1]Abstract review'!J227,"")</f>
        <v/>
      </c>
      <c r="H227" s="4">
        <f>'[1]Full-text screening-extraction'!A101</f>
        <v>100</v>
      </c>
      <c r="I227" s="4" t="str">
        <f>IF('[1]Full-text screening-extraction'!AB101="","",'[1]Full-text screening-extraction'!AB101)</f>
        <v>yes</v>
      </c>
      <c r="J227" s="4" t="str">
        <f>IF('[1]Full-text screening-extraction'!AC101="","",'[1]Full-text screening-extraction'!AC101)</f>
        <v>yes</v>
      </c>
      <c r="K227" s="4" t="str">
        <f>IF('[1]Full-text screening-extraction'!AG101="","",'[1]Full-text screening-extraction'!AG101)</f>
        <v/>
      </c>
      <c r="L227" s="6" t="str">
        <f t="shared" si="13"/>
        <v>Include</v>
      </c>
      <c r="M227" s="6" t="str">
        <f t="shared" si="14"/>
        <v/>
      </c>
      <c r="N227" s="6" t="str">
        <f>IF(L227="Include",IFERROR(INDEX('[1]Data extraction'!$AC$2:$AC$58,MATCH(H227+1,'[1]Data extraction'!$AA$2:$AA$58,0)),"not found"),"")</f>
        <v>EV-19</v>
      </c>
      <c r="O227" s="6" t="str">
        <f>IF(N227="","",IFERROR(INDEX('[1]Data extraction'!$L$2:$L$58,MATCH(N227,'[1]Data extraction'!$AC$2:$AC$58,0)),""))</f>
        <v>A</v>
      </c>
      <c r="P227" s="7" t="str">
        <f t="shared" si="15"/>
        <v>INCLUDED</v>
      </c>
      <c r="Q227" s="6" t="str">
        <f t="shared" si="16"/>
        <v>All PICOS rows + Independent prognostic value</v>
      </c>
      <c r="R227" s="4" t="str">
        <f>IF(P227&lt;&gt;"INCLUDED","",'[1]Full-text screening-extraction'!M101&amp;" ("&amp;'[1]Full-text screening-extraction'!K101&amp;"); outcome: "&amp;'[1]Full-text screening-extraction'!P101&amp;"; multivariable: "&amp;LEFT('[1]Full-text screening-extraction'!T101,120)&amp;" | adjusted for: "&amp;LEFT('[1]Full-text screening-extraction'!U101,100))</f>
        <v>IGFBP family (IGFBP1–7), especially IGFBP3; multi-gene prognostic signature (8 genes from LASSO) (Transcriptomics (bulk RNA-seq), single-cell RNA-seq, spatial transcriptomics, mutation analysis, immune profiling); outcome: Overall survival (OS); multivariable: Multivariate Cox confirmed prognostic value of risk score (model-based); IGFBP3 showed strongest prognostic association  | adjusted for: Clinical variables + risk score included in multivariate models; exact covariates not fully detailed</v>
      </c>
    </row>
    <row r="228" spans="1:18" x14ac:dyDescent="0.3">
      <c r="A228" s="4">
        <f>'[1]Abstract review'!C228</f>
        <v>224</v>
      </c>
      <c r="B228" s="4" t="str">
        <f>IFERROR(LEFT('[1]Abstract review'!D228,FIND(";",'[1]Abstract review'!D228)-1),'[1]Abstract review'!D228)</f>
        <v>Patrick M. Grierson</v>
      </c>
      <c r="C228" s="5" t="str">
        <f>'[1]Abstract review'!E228&amp;""</f>
        <v>2025</v>
      </c>
      <c r="D228" s="4" t="str">
        <f>'[1]Abstract review'!F228</f>
        <v>Neoadjuvant BMS-813160, Nivolumab, Gemcitabine, and Nab-Paclitaxel for Patients with Pancreatic Cancer</v>
      </c>
      <c r="E228" s="4" t="str">
        <f>IF('[1]Abstract review'!G228="","",'[1]Abstract review'!G228)</f>
        <v>10.1158/1078-0432.ccr-24-1821</v>
      </c>
      <c r="F228" s="4" t="str">
        <f>IF('[1]Abstract review'!I228="I","Include → full text",IF('[1]Abstract review'!I228="E","Exclude",IF('[1]Abstract review'!I228="DUP","Duplicate — removed",'[1]Abstract review'!I228)))</f>
        <v>Exclude</v>
      </c>
      <c r="G228" s="4" t="str">
        <f>IF('[1]Abstract review'!I228="E",'[1]Abstract review'!J228,"")</f>
        <v>Preclinical studies</v>
      </c>
      <c r="H228" s="4"/>
      <c r="I228" s="4"/>
      <c r="J228" s="4"/>
      <c r="K228" s="4"/>
      <c r="L228" s="6" t="str">
        <f t="shared" si="13"/>
        <v/>
      </c>
      <c r="M228" s="6" t="str">
        <f t="shared" si="14"/>
        <v/>
      </c>
      <c r="N228" s="6" t="str">
        <f>IF(L228="Include",IFERROR(INDEX('[1]Data extraction'!$AC$2:$AC$58,MATCH(H228+1,'[1]Data extraction'!$AA$2:$AA$58,0)),"not found"),"")</f>
        <v/>
      </c>
      <c r="O228" s="6" t="str">
        <f>IF(N228="","",IFERROR(INDEX('[1]Data extraction'!$L$2:$L$58,MATCH(N228,'[1]Data extraction'!$AC$2:$AC$58,0)),""))</f>
        <v/>
      </c>
      <c r="P228" s="7" t="str">
        <f t="shared" si="15"/>
        <v>Excluded at title/abstract</v>
      </c>
      <c r="Q228" s="6" t="str">
        <f t="shared" si="16"/>
        <v>Study design</v>
      </c>
      <c r="R228" s="4"/>
    </row>
    <row r="229" spans="1:18" x14ac:dyDescent="0.3">
      <c r="A229" s="4">
        <f>'[1]Abstract review'!C229</f>
        <v>225</v>
      </c>
      <c r="B229" s="4" t="str">
        <f>IFERROR(LEFT('[1]Abstract review'!D229,FIND(";",'[1]Abstract review'!D229)-1),'[1]Abstract review'!D229)</f>
        <v>J. Gout</v>
      </c>
      <c r="C229" s="5" t="str">
        <f>'[1]Abstract review'!E229&amp;""</f>
        <v>2025</v>
      </c>
      <c r="D229" s="4" t="str">
        <f>'[1]Abstract review'!F229</f>
        <v>Pancreatic organoids as cancer avatars for true personalized medicine</v>
      </c>
      <c r="E229" s="4" t="str">
        <f>IF('[1]Abstract review'!G229="","",'[1]Abstract review'!G229)</f>
        <v>10.1016/j.addr.2025.115642</v>
      </c>
      <c r="F229" s="4" t="str">
        <f>IF('[1]Abstract review'!I229="I","Include → full text",IF('[1]Abstract review'!I229="E","Exclude",IF('[1]Abstract review'!I229="DUP","Duplicate — removed",'[1]Abstract review'!I229)))</f>
        <v>Exclude</v>
      </c>
      <c r="G229" s="4" t="str">
        <f>IF('[1]Abstract review'!I229="E",'[1]Abstract review'!J229,"")</f>
        <v>Review</v>
      </c>
      <c r="H229" s="4"/>
      <c r="I229" s="4"/>
      <c r="J229" s="4"/>
      <c r="K229" s="4"/>
      <c r="L229" s="6" t="str">
        <f t="shared" si="13"/>
        <v/>
      </c>
      <c r="M229" s="6" t="str">
        <f t="shared" si="14"/>
        <v/>
      </c>
      <c r="N229" s="6" t="str">
        <f>IF(L229="Include",IFERROR(INDEX('[1]Data extraction'!$AC$2:$AC$58,MATCH(H229+1,'[1]Data extraction'!$AA$2:$AA$58,0)),"not found"),"")</f>
        <v/>
      </c>
      <c r="O229" s="6" t="str">
        <f>IF(N229="","",IFERROR(INDEX('[1]Data extraction'!$L$2:$L$58,MATCH(N229,'[1]Data extraction'!$AC$2:$AC$58,0)),""))</f>
        <v/>
      </c>
      <c r="P229" s="7" t="str">
        <f t="shared" si="15"/>
        <v>Excluded at title/abstract</v>
      </c>
      <c r="Q229" s="6" t="str">
        <f t="shared" si="16"/>
        <v>Study design</v>
      </c>
      <c r="R229" s="4"/>
    </row>
    <row r="230" spans="1:18" x14ac:dyDescent="0.3">
      <c r="A230" s="4">
        <f>'[1]Abstract review'!C230</f>
        <v>226</v>
      </c>
      <c r="B230" s="4" t="str">
        <f>IFERROR(LEFT('[1]Abstract review'!D230,FIND(";",'[1]Abstract review'!D230)-1),'[1]Abstract review'!D230)</f>
        <v>Jonathan Gonzalez-Ruiz</v>
      </c>
      <c r="C230" s="5" t="str">
        <f>'[1]Abstract review'!E230&amp;""</f>
        <v>2025</v>
      </c>
      <c r="D230" s="4" t="str">
        <f>'[1]Abstract review'!F230</f>
        <v>Defensin-Rich Platelets Drive Pro-Tumorigenic Programs in Pancreatic Adenocarcinoma</v>
      </c>
      <c r="E230" s="4" t="str">
        <f>IF('[1]Abstract review'!G230="","",'[1]Abstract review'!G230)</f>
        <v>10.3390/ijms262210898</v>
      </c>
      <c r="F230" s="4" t="str">
        <f>IF('[1]Abstract review'!I230="I","Include → full text",IF('[1]Abstract review'!I230="E","Exclude",IF('[1]Abstract review'!I230="DUP","Duplicate — removed",'[1]Abstract review'!I230)))</f>
        <v>Include → full text</v>
      </c>
      <c r="G230" s="4" t="str">
        <f>IF('[1]Abstract review'!I230="E",'[1]Abstract review'!J230,"")</f>
        <v/>
      </c>
      <c r="H230" s="4">
        <f>'[1]Full-text screening-extraction'!A102</f>
        <v>101</v>
      </c>
      <c r="I230" s="4" t="str">
        <f>IF('[1]Full-text screening-extraction'!AB102="","",'[1]Full-text screening-extraction'!AB102)</f>
        <v>no</v>
      </c>
      <c r="J230" s="4" t="str">
        <f>IF('[1]Full-text screening-extraction'!AC102="","",'[1]Full-text screening-extraction'!AC102)</f>
        <v>NA</v>
      </c>
      <c r="K230" s="4" t="str">
        <f>IF('[1]Full-text screening-extraction'!AG102="","",'[1]Full-text screening-extraction'!AG102)</f>
        <v/>
      </c>
      <c r="L230" s="6" t="str">
        <f t="shared" si="13"/>
        <v>Exclude</v>
      </c>
      <c r="M230" s="6" t="str">
        <f t="shared" si="14"/>
        <v>No adjusted multivariable model fitted</v>
      </c>
      <c r="N230" s="6" t="str">
        <f>IF(L230="Include",IFERROR(INDEX('[1]Data extraction'!$AC$2:$AC$58,MATCH(H230+1,'[1]Data extraction'!$AA$2:$AA$58,0)),"not found"),"")</f>
        <v/>
      </c>
      <c r="O230" s="6" t="str">
        <f>IF(N230="","",IFERROR(INDEX('[1]Data extraction'!$L$2:$L$58,MATCH(N230,'[1]Data extraction'!$AC$2:$AC$58,0)),""))</f>
        <v/>
      </c>
      <c r="P230" s="7" t="str">
        <f t="shared" si="15"/>
        <v>Excluded at full text</v>
      </c>
      <c r="Q230" s="6" t="str">
        <f t="shared" si="16"/>
        <v>Analysis &amp; synthesis eligibility</v>
      </c>
      <c r="R230" s="4" t="str">
        <f>IF(P230&lt;&gt;"INCLUDED","",'[1]Full-text screening-extraction'!M102&amp;" ("&amp;'[1]Full-text screening-extraction'!K102&amp;"); outcome: "&amp;'[1]Full-text screening-extraction'!P102&amp;"; multivariable: "&amp;LEFT('[1]Full-text screening-extraction'!T102,120)&amp;" | adjusted for: "&amp;LEFT('[1]Full-text screening-extraction'!U102,100))</f>
        <v/>
      </c>
    </row>
    <row r="231" spans="1:18" x14ac:dyDescent="0.3">
      <c r="A231" s="4">
        <f>'[1]Abstract review'!C231</f>
        <v>227</v>
      </c>
      <c r="B231" s="4" t="str">
        <f>IFERROR(LEFT('[1]Abstract review'!D231,FIND(";",'[1]Abstract review'!D231)-1),'[1]Abstract review'!D231)</f>
        <v>X. Gong</v>
      </c>
      <c r="C231" s="5" t="str">
        <f>'[1]Abstract review'!E231&amp;""</f>
        <v>2025</v>
      </c>
      <c r="D231" s="4" t="str">
        <f>'[1]Abstract review'!F231</f>
        <v>The Emerging Triad in Cancer and Aging: Cellular Senescence, Microbiome, and Tumor Microenvironment</v>
      </c>
      <c r="E231" s="4" t="str">
        <f>IF('[1]Abstract review'!G231="","",'[1]Abstract review'!G231)</f>
        <v>10.14336/ad.2025.1495</v>
      </c>
      <c r="F231" s="4" t="str">
        <f>IF('[1]Abstract review'!I231="I","Include → full text",IF('[1]Abstract review'!I231="E","Exclude",IF('[1]Abstract review'!I231="DUP","Duplicate — removed",'[1]Abstract review'!I231)))</f>
        <v>Exclude</v>
      </c>
      <c r="G231" s="4" t="str">
        <f>IF('[1]Abstract review'!I231="E",'[1]Abstract review'!J231,"")</f>
        <v>Review</v>
      </c>
      <c r="H231" s="4"/>
      <c r="I231" s="4"/>
      <c r="J231" s="4"/>
      <c r="K231" s="4"/>
      <c r="L231" s="6" t="str">
        <f t="shared" si="13"/>
        <v/>
      </c>
      <c r="M231" s="6" t="str">
        <f t="shared" si="14"/>
        <v/>
      </c>
      <c r="N231" s="6" t="str">
        <f>IF(L231="Include",IFERROR(INDEX('[1]Data extraction'!$AC$2:$AC$58,MATCH(H231+1,'[1]Data extraction'!$AA$2:$AA$58,0)),"not found"),"")</f>
        <v/>
      </c>
      <c r="O231" s="6" t="str">
        <f>IF(N231="","",IFERROR(INDEX('[1]Data extraction'!$L$2:$L$58,MATCH(N231,'[1]Data extraction'!$AC$2:$AC$58,0)),""))</f>
        <v/>
      </c>
      <c r="P231" s="7" t="str">
        <f t="shared" si="15"/>
        <v>Excluded at title/abstract</v>
      </c>
      <c r="Q231" s="6" t="str">
        <f t="shared" si="16"/>
        <v>Study design</v>
      </c>
      <c r="R231" s="4"/>
    </row>
    <row r="232" spans="1:18" x14ac:dyDescent="0.3">
      <c r="A232" s="4">
        <f>'[1]Abstract review'!C232</f>
        <v>228</v>
      </c>
      <c r="B232" s="4" t="str">
        <f>IFERROR(LEFT('[1]Abstract review'!D232,FIND(";",'[1]Abstract review'!D232)-1),'[1]Abstract review'!D232)</f>
        <v>D. Gong</v>
      </c>
      <c r="C232" s="5" t="str">
        <f>'[1]Abstract review'!E232&amp;""</f>
        <v>2025</v>
      </c>
      <c r="D232" s="4" t="str">
        <f>'[1]Abstract review'!F232</f>
        <v>Integrated spatial morpho-transcriptomics predicts functional traits in pancreatic cancer</v>
      </c>
      <c r="E232" s="4" t="str">
        <f>IF('[1]Abstract review'!G232="","",'[1]Abstract review'!G232)</f>
        <v>10.1101/2025.03.12.642933</v>
      </c>
      <c r="F232" s="4" t="str">
        <f>IF('[1]Abstract review'!I232="I","Include → full text",IF('[1]Abstract review'!I232="E","Exclude",IF('[1]Abstract review'!I232="DUP","Duplicate — removed",'[1]Abstract review'!I232)))</f>
        <v>Exclude</v>
      </c>
      <c r="G232" s="4" t="str">
        <f>IF('[1]Abstract review'!I232="E",'[1]Abstract review'!J232,"")</f>
        <v>Preclinical studies</v>
      </c>
      <c r="H232" s="4"/>
      <c r="I232" s="4"/>
      <c r="J232" s="4"/>
      <c r="K232" s="4"/>
      <c r="L232" s="6" t="str">
        <f t="shared" si="13"/>
        <v/>
      </c>
      <c r="M232" s="6" t="str">
        <f t="shared" si="14"/>
        <v/>
      </c>
      <c r="N232" s="6" t="str">
        <f>IF(L232="Include",IFERROR(INDEX('[1]Data extraction'!$AC$2:$AC$58,MATCH(H232+1,'[1]Data extraction'!$AA$2:$AA$58,0)),"not found"),"")</f>
        <v/>
      </c>
      <c r="O232" s="6" t="str">
        <f>IF(N232="","",IFERROR(INDEX('[1]Data extraction'!$L$2:$L$58,MATCH(N232,'[1]Data extraction'!$AC$2:$AC$58,0)),""))</f>
        <v/>
      </c>
      <c r="P232" s="7" t="str">
        <f t="shared" si="15"/>
        <v>Excluded at title/abstract</v>
      </c>
      <c r="Q232" s="6" t="str">
        <f t="shared" si="16"/>
        <v>Study design</v>
      </c>
      <c r="R232" s="4"/>
    </row>
    <row r="233" spans="1:18" x14ac:dyDescent="0.3">
      <c r="A233" s="4">
        <f>'[1]Abstract review'!C233</f>
        <v>229</v>
      </c>
      <c r="B233" s="4" t="str">
        <f>IFERROR(LEFT('[1]Abstract review'!D233,FIND(";",'[1]Abstract review'!D233)-1),'[1]Abstract review'!D233)</f>
        <v>Ahmad Golestanifar</v>
      </c>
      <c r="C233" s="5" t="str">
        <f>'[1]Abstract review'!E233&amp;""</f>
        <v>2025</v>
      </c>
      <c r="D233" s="4" t="str">
        <f>'[1]Abstract review'!F233</f>
        <v>Combined bulk and single-cell transcriptomic analysis reveals cell-type-specific inflammatory crosstalk in pancreatic cancer</v>
      </c>
      <c r="E233" s="4" t="str">
        <f>IF('[1]Abstract review'!G233="","",'[1]Abstract review'!G233)</f>
        <v>10.1007/s10238-025-01815-8</v>
      </c>
      <c r="F233" s="4" t="str">
        <f>IF('[1]Abstract review'!I233="I","Include → full text",IF('[1]Abstract review'!I233="E","Exclude",IF('[1]Abstract review'!I233="DUP","Duplicate — removed",'[1]Abstract review'!I233)))</f>
        <v>Exclude</v>
      </c>
      <c r="G233" s="4" t="str">
        <f>IF('[1]Abstract review'!I233="E",'[1]Abstract review'!J233,"")</f>
        <v>No survival outcome</v>
      </c>
      <c r="H233" s="4"/>
      <c r="I233" s="4"/>
      <c r="J233" s="4"/>
      <c r="K233" s="4"/>
      <c r="L233" s="6" t="str">
        <f t="shared" si="13"/>
        <v/>
      </c>
      <c r="M233" s="6" t="str">
        <f t="shared" si="14"/>
        <v/>
      </c>
      <c r="N233" s="6" t="str">
        <f>IF(L233="Include",IFERROR(INDEX('[1]Data extraction'!$AC$2:$AC$58,MATCH(H233+1,'[1]Data extraction'!$AA$2:$AA$58,0)),"not found"),"")</f>
        <v/>
      </c>
      <c r="O233" s="6" t="str">
        <f>IF(N233="","",IFERROR(INDEX('[1]Data extraction'!$L$2:$L$58,MATCH(N233,'[1]Data extraction'!$AC$2:$AC$58,0)),""))</f>
        <v/>
      </c>
      <c r="P233" s="7" t="str">
        <f t="shared" si="15"/>
        <v>Excluded at title/abstract</v>
      </c>
      <c r="Q233" s="6" t="str">
        <f t="shared" si="16"/>
        <v>Outcomes</v>
      </c>
      <c r="R233" s="4"/>
    </row>
    <row r="234" spans="1:18" x14ac:dyDescent="0.3">
      <c r="A234" s="4">
        <f>'[1]Abstract review'!C234</f>
        <v>230</v>
      </c>
      <c r="B234" s="4" t="str">
        <f>IFERROR(LEFT('[1]Abstract review'!D234,FIND(";",'[1]Abstract review'!D234)-1),'[1]Abstract review'!D234)</f>
        <v>W. Ge</v>
      </c>
      <c r="C234" s="5" t="str">
        <f>'[1]Abstract review'!E234&amp;""</f>
        <v>2025</v>
      </c>
      <c r="D234" s="4" t="str">
        <f>'[1]Abstract review'!F234</f>
        <v>A novel defined cuproptosis-related signature score to predict prognosis and immunotherapy efficacy in pancreatic cancer</v>
      </c>
      <c r="E234" s="4" t="str">
        <f>IF('[1]Abstract review'!G234="","",'[1]Abstract review'!G234)</f>
        <v>10.3892/ol.2025.15337</v>
      </c>
      <c r="F234" s="4" t="str">
        <f>IF('[1]Abstract review'!I234="I","Include → full text",IF('[1]Abstract review'!I234="E","Exclude",IF('[1]Abstract review'!I234="DUP","Duplicate — removed",'[1]Abstract review'!I234)))</f>
        <v>Include → full text</v>
      </c>
      <c r="G234" s="4" t="str">
        <f>IF('[1]Abstract review'!I234="E",'[1]Abstract review'!J234,"")</f>
        <v/>
      </c>
      <c r="H234" s="4">
        <f>'[1]Full-text screening-extraction'!A103</f>
        <v>102</v>
      </c>
      <c r="I234" s="4" t="str">
        <f>IF('[1]Full-text screening-extraction'!AB103="","",'[1]Full-text screening-extraction'!AB103)</f>
        <v>yes</v>
      </c>
      <c r="J234" s="4" t="str">
        <f>IF('[1]Full-text screening-extraction'!AC103="","",'[1]Full-text screening-extraction'!AC103)</f>
        <v>yes</v>
      </c>
      <c r="K234" s="4" t="str">
        <f>IF('[1]Full-text screening-extraction'!AG103="","",'[1]Full-text screening-extraction'!AG103)</f>
        <v/>
      </c>
      <c r="L234" s="6" t="str">
        <f t="shared" si="13"/>
        <v>Include</v>
      </c>
      <c r="M234" s="6" t="str">
        <f t="shared" si="14"/>
        <v/>
      </c>
      <c r="N234" s="6" t="str">
        <f>IF(L234="Include",IFERROR(INDEX('[1]Data extraction'!$AC$2:$AC$58,MATCH(H234+1,'[1]Data extraction'!$AA$2:$AA$58,0)),"not found"),"")</f>
        <v>EV-68</v>
      </c>
      <c r="O234" s="6" t="str">
        <f>IF(N234="","",IFERROR(INDEX('[1]Data extraction'!$L$2:$L$58,MATCH(N234,'[1]Data extraction'!$AC$2:$AC$58,0)),""))</f>
        <v>A-</v>
      </c>
      <c r="P234" s="7" t="str">
        <f t="shared" si="15"/>
        <v>INCLUDED</v>
      </c>
      <c r="Q234" s="6" t="str">
        <f t="shared" si="16"/>
        <v>All PICOS rows + Independent prognostic value</v>
      </c>
      <c r="R234" s="4" t="str">
        <f>IF(P234&lt;&gt;"INCLUDED","",'[1]Full-text screening-extraction'!M103&amp;" ("&amp;'[1]Full-text screening-extraction'!K103&amp;"); outcome: "&amp;'[1]Full-text screening-extraction'!P103&amp;"; multivariable: "&amp;LEFT('[1]Full-text screening-extraction'!T103,120)&amp;" | adjusted for: "&amp;LEFT('[1]Full-text screening-extraction'!U103,100))</f>
        <v>Cuproptosis-related genes (CGs); signature genes: MIR3677, AC068620.2, UPK2, LDHAP7, FAM83A (Transcriptomics, proteomics, cfDNA, multi-omics integration); outcome: Overall survival (OS); multivariable: YES → multivariable Cox confirms risk score as independent prognostic factor | adjusted for: Adjusted for clinical covariates (age, sex, grade etc.)</v>
      </c>
    </row>
    <row r="235" spans="1:18" x14ac:dyDescent="0.3">
      <c r="A235" s="4">
        <f>'[1]Abstract review'!C235</f>
        <v>231</v>
      </c>
      <c r="B235" s="4" t="str">
        <f>IFERROR(LEFT('[1]Abstract review'!D235,FIND(";",'[1]Abstract review'!D235)-1),'[1]Abstract review'!D235)</f>
        <v>J. Ge</v>
      </c>
      <c r="C235" s="5" t="str">
        <f>'[1]Abstract review'!E235&amp;""</f>
        <v>2025</v>
      </c>
      <c r="D235" s="4" t="str">
        <f>'[1]Abstract review'!F235</f>
        <v>Multi-omics integration and machine learning uncover molecular basal-like subtype of pancreatic cancer and implicate A2ML1 in promoting tumor epithelial-mesenchymal transition</v>
      </c>
      <c r="E235" s="4" t="str">
        <f>IF('[1]Abstract review'!G235="","",'[1]Abstract review'!G235)</f>
        <v>10.1186/s12967-025-06711-z</v>
      </c>
      <c r="F235" s="4" t="str">
        <f>IF('[1]Abstract review'!I235="I","Include → full text",IF('[1]Abstract review'!I235="E","Exclude",IF('[1]Abstract review'!I235="DUP","Duplicate — removed",'[1]Abstract review'!I235)))</f>
        <v>Include → full text</v>
      </c>
      <c r="G235" s="4" t="str">
        <f>IF('[1]Abstract review'!I235="E",'[1]Abstract review'!J235,"")</f>
        <v/>
      </c>
      <c r="H235" s="4">
        <f>'[1]Full-text screening-extraction'!A104</f>
        <v>103</v>
      </c>
      <c r="I235" s="4" t="str">
        <f>IF('[1]Full-text screening-extraction'!AB104="","",'[1]Full-text screening-extraction'!AB104)</f>
        <v>yes</v>
      </c>
      <c r="J235" s="4" t="str">
        <f>IF('[1]Full-text screening-extraction'!AC104="","",'[1]Full-text screening-extraction'!AC104)</f>
        <v>yes</v>
      </c>
      <c r="K235" s="4" t="str">
        <f>IF('[1]Full-text screening-extraction'!AG104="","",'[1]Full-text screening-extraction'!AG104)</f>
        <v/>
      </c>
      <c r="L235" s="6" t="str">
        <f t="shared" si="13"/>
        <v>Include</v>
      </c>
      <c r="M235" s="6" t="str">
        <f t="shared" si="14"/>
        <v/>
      </c>
      <c r="N235" s="6" t="str">
        <f>IF(L235="Include",IFERROR(INDEX('[1]Data extraction'!$AC$2:$AC$58,MATCH(H235+1,'[1]Data extraction'!$AA$2:$AA$58,0)),"not found"),"")</f>
        <v>EV-20</v>
      </c>
      <c r="O235" s="6" t="str">
        <f>IF(N235="","",IFERROR(INDEX('[1]Data extraction'!$L$2:$L$58,MATCH(N235,'[1]Data extraction'!$AC$2:$AC$58,0)),""))</f>
        <v>A</v>
      </c>
      <c r="P235" s="7" t="str">
        <f t="shared" si="15"/>
        <v>INCLUDED</v>
      </c>
      <c r="Q235" s="6" t="str">
        <f t="shared" si="16"/>
        <v>All PICOS rows + Independent prognostic value</v>
      </c>
      <c r="R235" s="4" t="str">
        <f>IF(P235&lt;&gt;"INCLUDED","",'[1]Full-text screening-extraction'!M104&amp;" ("&amp;'[1]Full-text screening-extraction'!K104&amp;"); outcome: "&amp;'[1]Full-text screening-extraction'!P104&amp;"; multivariable: "&amp;LEFT('[1]Full-text screening-extraction'!T104,120)&amp;" | adjusted for: "&amp;LEFT('[1]Full-text screening-extraction'!U104,100))</f>
        <v>Molecular subtypes (CS1 vs CS2); prognostic genes (23 genes); key biomarker: A2ML1 (Multi-omics (mRNA, miRNA, lncRNA, DNA methylation, mutations) + single-cell + spatial transcriptomics); outcome: Overall survival (OS); multivariable: YES → multivariable Cox confirms risk score as independent prognostic factor | adjusted for: Adjusted for age, grade, therapy, TNM, etc.</v>
      </c>
    </row>
    <row r="236" spans="1:18" x14ac:dyDescent="0.3">
      <c r="A236" s="4">
        <f>'[1]Abstract review'!C236</f>
        <v>232</v>
      </c>
      <c r="B236" s="4" t="str">
        <f>IFERROR(LEFT('[1]Abstract review'!D236,FIND(";",'[1]Abstract review'!D236)-1),'[1]Abstract review'!D236)</f>
        <v>J. Ge</v>
      </c>
      <c r="C236" s="5" t="str">
        <f>'[1]Abstract review'!E236&amp;""</f>
        <v>2025</v>
      </c>
      <c r="D236" s="4" t="str">
        <f>'[1]Abstract review'!F236</f>
        <v>SPP1 + macrophages facilitate pancreatic cancer progression via ITGB6-mediated interactions: evidence from integrated multi-omics analysis and experimental validation</v>
      </c>
      <c r="E236" s="4" t="str">
        <f>IF('[1]Abstract review'!G236="","",'[1]Abstract review'!G236)</f>
        <v>10.1007/s12026-025-09666-x</v>
      </c>
      <c r="F236" s="4" t="str">
        <f>IF('[1]Abstract review'!I236="I","Include → full text",IF('[1]Abstract review'!I236="E","Exclude",IF('[1]Abstract review'!I236="DUP","Duplicate — removed",'[1]Abstract review'!I236)))</f>
        <v>Include → full text</v>
      </c>
      <c r="G236" s="4" t="str">
        <f>IF('[1]Abstract review'!I236="E",'[1]Abstract review'!J236,"")</f>
        <v/>
      </c>
      <c r="H236" s="4">
        <f>'[1]Full-text screening-extraction'!A105</f>
        <v>104</v>
      </c>
      <c r="I236" s="4" t="str">
        <f>IF('[1]Full-text screening-extraction'!AB105="","",'[1]Full-text screening-extraction'!AB105)</f>
        <v>yes</v>
      </c>
      <c r="J236" s="4" t="str">
        <f>IF('[1]Full-text screening-extraction'!AC105="","",'[1]Full-text screening-extraction'!AC105)</f>
        <v>yes</v>
      </c>
      <c r="K236" s="4" t="str">
        <f>IF('[1]Full-text screening-extraction'!AG105="","",'[1]Full-text screening-extraction'!AG105)</f>
        <v/>
      </c>
      <c r="L236" s="6" t="str">
        <f t="shared" si="13"/>
        <v>Include</v>
      </c>
      <c r="M236" s="6" t="str">
        <f t="shared" si="14"/>
        <v/>
      </c>
      <c r="N236" s="6" t="str">
        <f>IF(L236="Include",IFERROR(INDEX('[1]Data extraction'!$AC$2:$AC$58,MATCH(H236+1,'[1]Data extraction'!$AA$2:$AA$58,0)),"not found"),"")</f>
        <v>EV-21</v>
      </c>
      <c r="O236" s="6" t="str">
        <f>IF(N236="","",IFERROR(INDEX('[1]Data extraction'!$L$2:$L$58,MATCH(N236,'[1]Data extraction'!$AC$2:$AC$58,0)),""))</f>
        <v>A</v>
      </c>
      <c r="P236" s="7" t="str">
        <f t="shared" si="15"/>
        <v>INCLUDED</v>
      </c>
      <c r="Q236" s="6" t="str">
        <f t="shared" si="16"/>
        <v>All PICOS rows + Independent prognostic value</v>
      </c>
      <c r="R236" s="4" t="str">
        <f>IF(P236&lt;&gt;"INCLUDED","",'[1]Full-text screening-extraction'!M105&amp;" ("&amp;'[1]Full-text screening-extraction'!K105&amp;"); outcome: "&amp;'[1]Full-text screening-extraction'!P105&amp;"; multivariable: "&amp;LEFT('[1]Full-text screening-extraction'!T105,120)&amp;" | adjusted for: "&amp;LEFT('[1]Full-text screening-extraction'!U105,100))</f>
        <v>BM-related gene signature (including LAMA3, ITGA3, ITGB6); SPP1+ TAMs (Transcriptomics + single-cell transcriptomics + functional validation); outcome: Overall survival (prognostic signature); multivariable: Yes (signature constructed and validated across cohorts) | adjusted for: Not clearly reported</v>
      </c>
    </row>
    <row r="237" spans="1:18" x14ac:dyDescent="0.3">
      <c r="A237" s="4">
        <f>'[1]Abstract review'!C237</f>
        <v>233</v>
      </c>
      <c r="B237" s="4" t="str">
        <f>IFERROR(LEFT('[1]Abstract review'!D237,FIND(";",'[1]Abstract review'!D237)-1),'[1]Abstract review'!D237)</f>
        <v>H. Ge</v>
      </c>
      <c r="C237" s="5" t="str">
        <f>'[1]Abstract review'!E237&amp;""</f>
        <v>2025</v>
      </c>
      <c r="D237" s="4" t="str">
        <f>'[1]Abstract review'!F237</f>
        <v>Development of a hypoxia-responsive macrophage prognostic model using single-cell and bulk RNA sequencing in pancreatic cancer</v>
      </c>
      <c r="E237" s="4" t="str">
        <f>IF('[1]Abstract review'!G237="","",'[1]Abstract review'!G237)</f>
        <v>10.1371/journal.pone.0322618</v>
      </c>
      <c r="F237" s="4" t="str">
        <f>IF('[1]Abstract review'!I237="I","Include → full text",IF('[1]Abstract review'!I237="E","Exclude",IF('[1]Abstract review'!I237="DUP","Duplicate — removed",'[1]Abstract review'!I237)))</f>
        <v>Include → full text</v>
      </c>
      <c r="G237" s="4" t="str">
        <f>IF('[1]Abstract review'!I237="E",'[1]Abstract review'!J237,"")</f>
        <v/>
      </c>
      <c r="H237" s="4">
        <f>'[1]Full-text screening-extraction'!A106</f>
        <v>105</v>
      </c>
      <c r="I237" s="4" t="str">
        <f>IF('[1]Full-text screening-extraction'!AB106="","",'[1]Full-text screening-extraction'!AB106)</f>
        <v>yes</v>
      </c>
      <c r="J237" s="4" t="str">
        <f>IF('[1]Full-text screening-extraction'!AC106="","",'[1]Full-text screening-extraction'!AC106)</f>
        <v>yes</v>
      </c>
      <c r="K237" s="4" t="str">
        <f>IF('[1]Full-text screening-extraction'!AG106="","",'[1]Full-text screening-extraction'!AG106)</f>
        <v/>
      </c>
      <c r="L237" s="6" t="str">
        <f t="shared" si="13"/>
        <v>Include</v>
      </c>
      <c r="M237" s="6" t="str">
        <f t="shared" si="14"/>
        <v/>
      </c>
      <c r="N237" s="6" t="str">
        <f>IF(L237="Include",IFERROR(INDEX('[1]Data extraction'!$AC$2:$AC$58,MATCH(H237+1,'[1]Data extraction'!$AA$2:$AA$58,0)),"not found"),"")</f>
        <v>EV-54</v>
      </c>
      <c r="O237" s="6" t="str">
        <f>IF(N237="","",IFERROR(INDEX('[1]Data extraction'!$L$2:$L$58,MATCH(N237,'[1]Data extraction'!$AC$2:$AC$58,0)),""))</f>
        <v>A</v>
      </c>
      <c r="P237" s="7" t="str">
        <f t="shared" si="15"/>
        <v>INCLUDED</v>
      </c>
      <c r="Q237" s="6" t="str">
        <f t="shared" si="16"/>
        <v>All PICOS rows + Independent prognostic value</v>
      </c>
      <c r="R237" s="4" t="str">
        <f>IF(P237&lt;&gt;"INCLUDED","",'[1]Full-text screening-extraction'!M106&amp;" ("&amp;'[1]Full-text screening-extraction'!K106&amp;"); outcome: "&amp;'[1]Full-text screening-extraction'!P106&amp;"; multivariable: "&amp;LEFT('[1]Full-text screening-extraction'!T106,120)&amp;" | adjusted for: "&amp;LEFT('[1]Full-text screening-extraction'!U106,100))</f>
        <v>Hypoxia score; 13-gene signature (LYZ, PLAU, INSIG2, KRTCAP2 etc.) (scRNA-seq + bulk RNA-seq (hypoxia hallmark genes from MSigDB)); outcome: Overall survival (OS); PFS; multivariable: YES → hypoxia score independent prognostic factor | adjusted for: Adjusted for clinicopathologic variables (age, TNM, etc.)</v>
      </c>
    </row>
    <row r="238" spans="1:18" x14ac:dyDescent="0.3">
      <c r="A238" s="4">
        <f>'[1]Abstract review'!C238</f>
        <v>234</v>
      </c>
      <c r="B238" s="4" t="str">
        <f>IFERROR(LEFT('[1]Abstract review'!D238,FIND(";",'[1]Abstract review'!D238)-1),'[1]Abstract review'!D238)</f>
        <v>W. Gasper</v>
      </c>
      <c r="C238" s="5" t="str">
        <f>'[1]Abstract review'!E238&amp;""</f>
        <v>2025</v>
      </c>
      <c r="D238" s="4" t="str">
        <f>'[1]Abstract review'!F238</f>
        <v>Form Follows Function: A New Paradigm of Pancreatic Cancer Progression</v>
      </c>
      <c r="E238" s="4" t="str">
        <f>IF('[1]Abstract review'!G238="","",'[1]Abstract review'!G238)</f>
        <v>10.1101/2025.08.12.667175</v>
      </c>
      <c r="F238" s="4" t="str">
        <f>IF('[1]Abstract review'!I238="I","Include → full text",IF('[1]Abstract review'!I238="E","Exclude",IF('[1]Abstract review'!I238="DUP","Duplicate — removed",'[1]Abstract review'!I238)))</f>
        <v>Exclude</v>
      </c>
      <c r="G238" s="4" t="str">
        <f>IF('[1]Abstract review'!I238="E",'[1]Abstract review'!J238,"")</f>
        <v>Diagnostic value</v>
      </c>
      <c r="H238" s="4"/>
      <c r="I238" s="4"/>
      <c r="J238" s="4"/>
      <c r="K238" s="4"/>
      <c r="L238" s="6" t="str">
        <f t="shared" si="13"/>
        <v/>
      </c>
      <c r="M238" s="6" t="str">
        <f t="shared" si="14"/>
        <v/>
      </c>
      <c r="N238" s="6" t="str">
        <f>IF(L238="Include",IFERROR(INDEX('[1]Data extraction'!$AC$2:$AC$58,MATCH(H238+1,'[1]Data extraction'!$AA$2:$AA$58,0)),"not found"),"")</f>
        <v/>
      </c>
      <c r="O238" s="6" t="str">
        <f>IF(N238="","",IFERROR(INDEX('[1]Data extraction'!$L$2:$L$58,MATCH(N238,'[1]Data extraction'!$AC$2:$AC$58,0)),""))</f>
        <v/>
      </c>
      <c r="P238" s="7" t="str">
        <f t="shared" si="15"/>
        <v>Excluded at title/abstract</v>
      </c>
      <c r="Q238" s="6" t="str">
        <f t="shared" si="16"/>
        <v>Outcomes</v>
      </c>
      <c r="R238" s="4"/>
    </row>
    <row r="239" spans="1:18" x14ac:dyDescent="0.3">
      <c r="A239" s="4">
        <f>'[1]Abstract review'!C239</f>
        <v>235</v>
      </c>
      <c r="B239" s="4" t="str">
        <f>IFERROR(LEFT('[1]Abstract review'!D239,FIND(";",'[1]Abstract review'!D239)-1),'[1]Abstract review'!D239)</f>
        <v>Shan Gao</v>
      </c>
      <c r="C239" s="5" t="str">
        <f>'[1]Abstract review'!E239&amp;""</f>
        <v>2025</v>
      </c>
      <c r="D239" s="4" t="str">
        <f>'[1]Abstract review'!F239</f>
        <v>Development and Validation of a Prognostic Signature Based on Transcription Factors Associated with Endoplasmic Reticulum Stress in Pancreatic Adenocarcinoma</v>
      </c>
      <c r="E239" s="4" t="str">
        <f>IF('[1]Abstract review'!G239="","",'[1]Abstract review'!G239)</f>
        <v>10.2174/0109298673364512250611034932</v>
      </c>
      <c r="F239" s="4" t="str">
        <f>IF('[1]Abstract review'!I239="I","Include → full text",IF('[1]Abstract review'!I239="E","Exclude",IF('[1]Abstract review'!I239="DUP","Duplicate — removed",'[1]Abstract review'!I239)))</f>
        <v>Include → full text</v>
      </c>
      <c r="G239" s="4" t="str">
        <f>IF('[1]Abstract review'!I239="E",'[1]Abstract review'!J239,"")</f>
        <v/>
      </c>
      <c r="H239" s="4">
        <f>'[1]Full-text screening-extraction'!A107</f>
        <v>106</v>
      </c>
      <c r="I239" s="4" t="str">
        <f>IF('[1]Full-text screening-extraction'!AB107="","",'[1]Full-text screening-extraction'!AB107)</f>
        <v>yes</v>
      </c>
      <c r="J239" s="4" t="str">
        <f>IF('[1]Full-text screening-extraction'!AC107="","",'[1]Full-text screening-extraction'!AC107)</f>
        <v>yes</v>
      </c>
      <c r="K239" s="4" t="str">
        <f>IF('[1]Full-text screening-extraction'!AG107="","",'[1]Full-text screening-extraction'!AG107)</f>
        <v/>
      </c>
      <c r="L239" s="6" t="str">
        <f t="shared" si="13"/>
        <v>Include</v>
      </c>
      <c r="M239" s="6" t="str">
        <f t="shared" si="14"/>
        <v/>
      </c>
      <c r="N239" s="6" t="str">
        <f>IF(L239="Include",IFERROR(INDEX('[1]Data extraction'!$AC$2:$AC$58,MATCH(H239+1,'[1]Data extraction'!$AA$2:$AA$58,0)),"not found"),"")</f>
        <v>EV-22</v>
      </c>
      <c r="O239" s="6" t="str">
        <f>IF(N239="","",IFERROR(INDEX('[1]Data extraction'!$L$2:$L$58,MATCH(N239,'[1]Data extraction'!$AC$2:$AC$58,0)),""))</f>
        <v>A</v>
      </c>
      <c r="P239" s="7" t="str">
        <f t="shared" si="15"/>
        <v>INCLUDED</v>
      </c>
      <c r="Q239" s="6" t="str">
        <f t="shared" si="16"/>
        <v>All PICOS rows + Independent prognostic value</v>
      </c>
      <c r="R239" s="4" t="str">
        <f>IF(P239&lt;&gt;"INCLUDED","",'[1]Full-text screening-extraction'!M107&amp;" ("&amp;'[1]Full-text screening-extraction'!K107&amp;"); outcome: "&amp;'[1]Full-text screening-extraction'!P107&amp;"; multivariable: "&amp;LEFT('[1]Full-text screening-extraction'!T107,120)&amp;" | adjusted for: "&amp;LEFT('[1]Full-text screening-extraction'!U107,100))</f>
        <v>Four-TF ER stress-related signature (STAT1, IRF6, NRF1, RXRA); key gene IRF6 (Transcriptomics + functional validation); outcome: Overall survival; multivariable: Yes (multivariate Cox used for model construction) | adjusted for: Not clearly reported</v>
      </c>
    </row>
    <row r="240" spans="1:18" x14ac:dyDescent="0.3">
      <c r="A240" s="4">
        <f>'[1]Abstract review'!C240</f>
        <v>236</v>
      </c>
      <c r="B240" s="4" t="str">
        <f>IFERROR(LEFT('[1]Abstract review'!D240,FIND(";",'[1]Abstract review'!D240)-1),'[1]Abstract review'!D240)</f>
        <v>L. Galasso</v>
      </c>
      <c r="C240" s="5" t="str">
        <f>'[1]Abstract review'!E240&amp;""</f>
        <v>2025</v>
      </c>
      <c r="D240" s="4" t="str">
        <f>'[1]Abstract review'!F240</f>
        <v>Decoding Pancreatic Neuroendocrine Tumors: Molecular Profiles, Biomarkers, and Pathways to Personalized Therapy</v>
      </c>
      <c r="E240" s="4" t="str">
        <f>IF('[1]Abstract review'!G240="","",'[1]Abstract review'!G240)</f>
        <v>10.3390/ijms26167814</v>
      </c>
      <c r="F240" s="4" t="str">
        <f>IF('[1]Abstract review'!I240="I","Include → full text",IF('[1]Abstract review'!I240="E","Exclude",IF('[1]Abstract review'!I240="DUP","Duplicate — removed",'[1]Abstract review'!I240)))</f>
        <v>Exclude</v>
      </c>
      <c r="G240" s="4" t="str">
        <f>IF('[1]Abstract review'!I240="E",'[1]Abstract review'!J240,"")</f>
        <v>no pdac</v>
      </c>
      <c r="H240" s="4"/>
      <c r="I240" s="4"/>
      <c r="J240" s="4"/>
      <c r="K240" s="4"/>
      <c r="L240" s="6" t="str">
        <f t="shared" si="13"/>
        <v/>
      </c>
      <c r="M240" s="6" t="str">
        <f t="shared" si="14"/>
        <v/>
      </c>
      <c r="N240" s="6" t="str">
        <f>IF(L240="Include",IFERROR(INDEX('[1]Data extraction'!$AC$2:$AC$58,MATCH(H240+1,'[1]Data extraction'!$AA$2:$AA$58,0)),"not found"),"")</f>
        <v/>
      </c>
      <c r="O240" s="6" t="str">
        <f>IF(N240="","",IFERROR(INDEX('[1]Data extraction'!$L$2:$L$58,MATCH(N240,'[1]Data extraction'!$AC$2:$AC$58,0)),""))</f>
        <v/>
      </c>
      <c r="P240" s="7" t="str">
        <f t="shared" si="15"/>
        <v>Excluded at title/abstract</v>
      </c>
      <c r="Q240" s="6" t="str">
        <f t="shared" si="16"/>
        <v>Population</v>
      </c>
      <c r="R240" s="4"/>
    </row>
    <row r="241" spans="1:18" x14ac:dyDescent="0.3">
      <c r="A241" s="4">
        <f>'[1]Abstract review'!C241</f>
        <v>237</v>
      </c>
      <c r="B241" s="4" t="str">
        <f>IFERROR(LEFT('[1]Abstract review'!D241,FIND(";",'[1]Abstract review'!D241)-1),'[1]Abstract review'!D241)</f>
        <v>J. G</v>
      </c>
      <c r="C241" s="5" t="str">
        <f>'[1]Abstract review'!E241&amp;""</f>
        <v>2025</v>
      </c>
      <c r="D241" s="4" t="str">
        <f>'[1]Abstract review'!F241</f>
        <v>Identification of potential biomarkers for pancreatic ductal adenocarcinoma: a bioinformatics analysis</v>
      </c>
      <c r="E241" s="4" t="str">
        <f>IF('[1]Abstract review'!G241="","",'[1]Abstract review'!G241)</f>
        <v>10.1080/10255842.2024.2356648</v>
      </c>
      <c r="F241" s="4" t="str">
        <f>IF('[1]Abstract review'!I241="I","Include → full text",IF('[1]Abstract review'!I241="E","Exclude",IF('[1]Abstract review'!I241="DUP","Duplicate — removed",'[1]Abstract review'!I241)))</f>
        <v>Include → full text</v>
      </c>
      <c r="G241" s="4" t="str">
        <f>IF('[1]Abstract review'!I241="E",'[1]Abstract review'!J241,"")</f>
        <v/>
      </c>
      <c r="H241" s="4">
        <f>'[1]Full-text screening-extraction'!A108</f>
        <v>107</v>
      </c>
      <c r="I241" s="4" t="str">
        <f>IF('[1]Full-text screening-extraction'!AB108="","",'[1]Full-text screening-extraction'!AB108)</f>
        <v>no</v>
      </c>
      <c r="J241" s="4" t="str">
        <f>IF('[1]Full-text screening-extraction'!AC108="","",'[1]Full-text screening-extraction'!AC108)</f>
        <v>NA</v>
      </c>
      <c r="K241" s="4" t="str">
        <f>IF('[1]Full-text screening-extraction'!AG108="","",'[1]Full-text screening-extraction'!AG108)</f>
        <v/>
      </c>
      <c r="L241" s="6" t="str">
        <f t="shared" si="13"/>
        <v>Exclude</v>
      </c>
      <c r="M241" s="6" t="str">
        <f t="shared" si="14"/>
        <v>No adjusted multivariable model fitted</v>
      </c>
      <c r="N241" s="6" t="str">
        <f>IF(L241="Include",IFERROR(INDEX('[1]Data extraction'!$AC$2:$AC$58,MATCH(H241+1,'[1]Data extraction'!$AA$2:$AA$58,0)),"not found"),"")</f>
        <v/>
      </c>
      <c r="O241" s="6" t="str">
        <f>IF(N241="","",IFERROR(INDEX('[1]Data extraction'!$L$2:$L$58,MATCH(N241,'[1]Data extraction'!$AC$2:$AC$58,0)),""))</f>
        <v/>
      </c>
      <c r="P241" s="7" t="str">
        <f t="shared" si="15"/>
        <v>Excluded at full text</v>
      </c>
      <c r="Q241" s="6" t="str">
        <f t="shared" si="16"/>
        <v>Analysis &amp; synthesis eligibility</v>
      </c>
      <c r="R241" s="4" t="str">
        <f>IF(P241&lt;&gt;"INCLUDED","",'[1]Full-text screening-extraction'!M108&amp;" ("&amp;'[1]Full-text screening-extraction'!K108&amp;"); outcome: "&amp;'[1]Full-text screening-extraction'!P108&amp;"; multivariable: "&amp;LEFT('[1]Full-text screening-extraction'!T108,120)&amp;" | adjusted for: "&amp;LEFT('[1]Full-text screening-extraction'!U108,100))</f>
        <v/>
      </c>
    </row>
    <row r="242" spans="1:18" x14ac:dyDescent="0.3">
      <c r="A242" s="4">
        <f>'[1]Abstract review'!C242</f>
        <v>238</v>
      </c>
      <c r="B242" s="4" t="str">
        <f>IFERROR(LEFT('[1]Abstract review'!D242,FIND(";",'[1]Abstract review'!D242)-1),'[1]Abstract review'!D242)</f>
        <v>O. Freylikhman</v>
      </c>
      <c r="C242" s="5" t="str">
        <f>'[1]Abstract review'!E242&amp;""</f>
        <v>2025</v>
      </c>
      <c r="D242" s="4" t="str">
        <f>'[1]Abstract review'!F242</f>
        <v>RNA Signature as Potential Diagnostic Marker for Differentiation of Pancreatic Cysts: A Pilot Study</v>
      </c>
      <c r="E242" s="4" t="str">
        <f>IF('[1]Abstract review'!G242="","",'[1]Abstract review'!G242)</f>
        <v>10.3390/ijms26199680</v>
      </c>
      <c r="F242" s="4" t="str">
        <f>IF('[1]Abstract review'!I242="I","Include → full text",IF('[1]Abstract review'!I242="E","Exclude",IF('[1]Abstract review'!I242="DUP","Duplicate — removed",'[1]Abstract review'!I242)))</f>
        <v>Exclude</v>
      </c>
      <c r="G242" s="4" t="str">
        <f>IF('[1]Abstract review'!I242="E",'[1]Abstract review'!J242,"")</f>
        <v>Diagnostic value</v>
      </c>
      <c r="H242" s="4"/>
      <c r="I242" s="4"/>
      <c r="J242" s="4"/>
      <c r="K242" s="4"/>
      <c r="L242" s="6" t="str">
        <f t="shared" si="13"/>
        <v/>
      </c>
      <c r="M242" s="6" t="str">
        <f t="shared" si="14"/>
        <v/>
      </c>
      <c r="N242" s="6" t="str">
        <f>IF(L242="Include",IFERROR(INDEX('[1]Data extraction'!$AC$2:$AC$58,MATCH(H242+1,'[1]Data extraction'!$AA$2:$AA$58,0)),"not found"),"")</f>
        <v/>
      </c>
      <c r="O242" s="6" t="str">
        <f>IF(N242="","",IFERROR(INDEX('[1]Data extraction'!$L$2:$L$58,MATCH(N242,'[1]Data extraction'!$AC$2:$AC$58,0)),""))</f>
        <v/>
      </c>
      <c r="P242" s="7" t="str">
        <f t="shared" si="15"/>
        <v>Excluded at title/abstract</v>
      </c>
      <c r="Q242" s="6" t="str">
        <f t="shared" si="16"/>
        <v>Outcomes</v>
      </c>
      <c r="R242" s="4"/>
    </row>
    <row r="243" spans="1:18" x14ac:dyDescent="0.3">
      <c r="A243" s="4">
        <f>'[1]Abstract review'!C243</f>
        <v>239</v>
      </c>
      <c r="B243" s="4" t="str">
        <f>IFERROR(LEFT('[1]Abstract review'!D243,FIND(";",'[1]Abstract review'!D243)-1),'[1]Abstract review'!D243)</f>
        <v>Grazia Fenu</v>
      </c>
      <c r="C243" s="5" t="str">
        <f>'[1]Abstract review'!E243&amp;""</f>
        <v>2025</v>
      </c>
      <c r="D243" s="4" t="str">
        <f>'[1]Abstract review'!F243</f>
        <v>Functional Characterization of miR-216a-5p and miR-125a-5p on Pancreatic Cancer Stem Cells</v>
      </c>
      <c r="E243" s="4" t="str">
        <f>IF('[1]Abstract review'!G243="","",'[1]Abstract review'!G243)</f>
        <v>10.3390/ijms26072830</v>
      </c>
      <c r="F243" s="4" t="str">
        <f>IF('[1]Abstract review'!I243="I","Include → full text",IF('[1]Abstract review'!I243="E","Exclude",IF('[1]Abstract review'!I243="DUP","Duplicate — removed",'[1]Abstract review'!I243)))</f>
        <v>Exclude</v>
      </c>
      <c r="G243" s="4" t="str">
        <f>IF('[1]Abstract review'!I243="E",'[1]Abstract review'!J243,"")</f>
        <v>Preclinical studies</v>
      </c>
      <c r="H243" s="4"/>
      <c r="I243" s="4"/>
      <c r="J243" s="4"/>
      <c r="K243" s="4"/>
      <c r="L243" s="6" t="str">
        <f t="shared" si="13"/>
        <v/>
      </c>
      <c r="M243" s="6" t="str">
        <f t="shared" si="14"/>
        <v/>
      </c>
      <c r="N243" s="6" t="str">
        <f>IF(L243="Include",IFERROR(INDEX('[1]Data extraction'!$AC$2:$AC$58,MATCH(H243+1,'[1]Data extraction'!$AA$2:$AA$58,0)),"not found"),"")</f>
        <v/>
      </c>
      <c r="O243" s="6" t="str">
        <f>IF(N243="","",IFERROR(INDEX('[1]Data extraction'!$L$2:$L$58,MATCH(N243,'[1]Data extraction'!$AC$2:$AC$58,0)),""))</f>
        <v/>
      </c>
      <c r="P243" s="7" t="str">
        <f t="shared" si="15"/>
        <v>Excluded at title/abstract</v>
      </c>
      <c r="Q243" s="6" t="str">
        <f t="shared" si="16"/>
        <v>Study design</v>
      </c>
      <c r="R243" s="4"/>
    </row>
    <row r="244" spans="1:18" x14ac:dyDescent="0.3">
      <c r="A244" s="4">
        <f>'[1]Abstract review'!C244</f>
        <v>240</v>
      </c>
      <c r="B244" s="4" t="str">
        <f>IFERROR(LEFT('[1]Abstract review'!D244,FIND(";",'[1]Abstract review'!D244)-1),'[1]Abstract review'!D244)</f>
        <v>S. Feng</v>
      </c>
      <c r="C244" s="5" t="str">
        <f>'[1]Abstract review'!E244&amp;""</f>
        <v>2025</v>
      </c>
      <c r="D244" s="4" t="str">
        <f>'[1]Abstract review'!F244</f>
        <v>Cancer Cell-Derived Exosomal miR-519a/522-5p Promotes Pancreatic Cancer Progression by Enhancing Warburg Effect</v>
      </c>
      <c r="E244" s="4" t="str">
        <f>IF('[1]Abstract review'!G244="","",'[1]Abstract review'!G244)</f>
        <v>10.1245/s10434-025-17540-1</v>
      </c>
      <c r="F244" s="4" t="str">
        <f>IF('[1]Abstract review'!I244="I","Include → full text",IF('[1]Abstract review'!I244="E","Exclude",IF('[1]Abstract review'!I244="DUP","Duplicate — removed",'[1]Abstract review'!I244)))</f>
        <v>Exclude</v>
      </c>
      <c r="G244" s="4" t="str">
        <f>IF('[1]Abstract review'!I244="E",'[1]Abstract review'!J244,"")</f>
        <v>Liquid biopsy / circulating biomarker only</v>
      </c>
      <c r="H244" s="4"/>
      <c r="I244" s="4"/>
      <c r="J244" s="4"/>
      <c r="K244" s="4"/>
      <c r="L244" s="6" t="str">
        <f t="shared" si="13"/>
        <v/>
      </c>
      <c r="M244" s="6" t="str">
        <f t="shared" si="14"/>
        <v/>
      </c>
      <c r="N244" s="6" t="str">
        <f>IF(L244="Include",IFERROR(INDEX('[1]Data extraction'!$AC$2:$AC$58,MATCH(H244+1,'[1]Data extraction'!$AA$2:$AA$58,0)),"not found"),"")</f>
        <v/>
      </c>
      <c r="O244" s="6" t="str">
        <f>IF(N244="","",IFERROR(INDEX('[1]Data extraction'!$L$2:$L$58,MATCH(N244,'[1]Data extraction'!$AC$2:$AC$58,0)),""))</f>
        <v/>
      </c>
      <c r="P244" s="7" t="str">
        <f t="shared" si="15"/>
        <v>Excluded at title/abstract</v>
      </c>
      <c r="Q244" s="6" t="str">
        <f t="shared" si="16"/>
        <v>Biomarker modality &amp; sample type</v>
      </c>
      <c r="R244" s="4"/>
    </row>
    <row r="245" spans="1:18" x14ac:dyDescent="0.3">
      <c r="A245" s="4">
        <f>'[1]Abstract review'!C245</f>
        <v>241</v>
      </c>
      <c r="B245" s="4" t="str">
        <f>IFERROR(LEFT('[1]Abstract review'!D245,FIND(";",'[1]Abstract review'!D245)-1),'[1]Abstract review'!D245)</f>
        <v>H. Feng</v>
      </c>
      <c r="C245" s="5" t="str">
        <f>'[1]Abstract review'!E245&amp;""</f>
        <v>2025</v>
      </c>
      <c r="D245" s="4" t="str">
        <f>'[1]Abstract review'!F245</f>
        <v>Unveiling circulating targets in pancreatic cancer: Insights from proteogenomic evidence and clinical cohorts</v>
      </c>
      <c r="E245" s="4" t="str">
        <f>IF('[1]Abstract review'!G245="","",'[1]Abstract review'!G245)</f>
        <v>10.1016/j.isci.2024.111693</v>
      </c>
      <c r="F245" s="4" t="str">
        <f>IF('[1]Abstract review'!I245="I","Include → full text",IF('[1]Abstract review'!I245="E","Exclude",IF('[1]Abstract review'!I245="DUP","Duplicate — removed",'[1]Abstract review'!I245)))</f>
        <v>Exclude</v>
      </c>
      <c r="G245" s="4" t="str">
        <f>IF('[1]Abstract review'!I245="E",'[1]Abstract review'!J245,"")</f>
        <v>Liquid biopsy / circulating biomarker only</v>
      </c>
      <c r="H245" s="4"/>
      <c r="I245" s="4"/>
      <c r="J245" s="4"/>
      <c r="K245" s="4"/>
      <c r="L245" s="6" t="str">
        <f t="shared" si="13"/>
        <v/>
      </c>
      <c r="M245" s="6" t="str">
        <f t="shared" si="14"/>
        <v/>
      </c>
      <c r="N245" s="6" t="str">
        <f>IF(L245="Include",IFERROR(INDEX('[1]Data extraction'!$AC$2:$AC$58,MATCH(H245+1,'[1]Data extraction'!$AA$2:$AA$58,0)),"not found"),"")</f>
        <v/>
      </c>
      <c r="O245" s="6" t="str">
        <f>IF(N245="","",IFERROR(INDEX('[1]Data extraction'!$L$2:$L$58,MATCH(N245,'[1]Data extraction'!$AC$2:$AC$58,0)),""))</f>
        <v/>
      </c>
      <c r="P245" s="7" t="str">
        <f t="shared" si="15"/>
        <v>Excluded at title/abstract</v>
      </c>
      <c r="Q245" s="6" t="str">
        <f t="shared" si="16"/>
        <v>Biomarker modality &amp; sample type</v>
      </c>
      <c r="R245" s="4"/>
    </row>
    <row r="246" spans="1:18" x14ac:dyDescent="0.3">
      <c r="A246" s="4">
        <f>'[1]Abstract review'!C246</f>
        <v>242</v>
      </c>
      <c r="B246" s="4" t="str">
        <f>IFERROR(LEFT('[1]Abstract review'!D246,FIND(";",'[1]Abstract review'!D246)-1),'[1]Abstract review'!D246)</f>
        <v>J. Fang</v>
      </c>
      <c r="C246" s="5" t="str">
        <f>'[1]Abstract review'!E246&amp;""</f>
        <v>2025</v>
      </c>
      <c r="D246" s="4" t="str">
        <f>'[1]Abstract review'!F246</f>
        <v>Characterization of pancreatic cancer stem cells and construction of a stem cell-based prognostic signature</v>
      </c>
      <c r="E246" s="4" t="str">
        <f>IF('[1]Abstract review'!G246="","",'[1]Abstract review'!G246)</f>
        <v>10.1038/s41598-025-33029-z</v>
      </c>
      <c r="F246" s="4" t="str">
        <f>IF('[1]Abstract review'!I246="I","Include → full text",IF('[1]Abstract review'!I246="E","Exclude",IF('[1]Abstract review'!I246="DUP","Duplicate — removed",'[1]Abstract review'!I246)))</f>
        <v>Include → full text</v>
      </c>
      <c r="G246" s="4" t="str">
        <f>IF('[1]Abstract review'!I246="E",'[1]Abstract review'!J246,"")</f>
        <v/>
      </c>
      <c r="H246" s="4">
        <f>'[1]Full-text screening-extraction'!A109</f>
        <v>108</v>
      </c>
      <c r="I246" s="4" t="str">
        <f>IF('[1]Full-text screening-extraction'!AB109="","",'[1]Full-text screening-extraction'!AB109)</f>
        <v>yes</v>
      </c>
      <c r="J246" s="4" t="str">
        <f>IF('[1]Full-text screening-extraction'!AC109="","",'[1]Full-text screening-extraction'!AC109)</f>
        <v>yes</v>
      </c>
      <c r="K246" s="4" t="str">
        <f>IF('[1]Full-text screening-extraction'!AG109="","",'[1]Full-text screening-extraction'!AG109)</f>
        <v/>
      </c>
      <c r="L246" s="6" t="str">
        <f t="shared" si="13"/>
        <v>Include</v>
      </c>
      <c r="M246" s="6" t="str">
        <f t="shared" si="14"/>
        <v/>
      </c>
      <c r="N246" s="6" t="str">
        <f>IF(L246="Include",IFERROR(INDEX('[1]Data extraction'!$AC$2:$AC$58,MATCH(H246+1,'[1]Data extraction'!$AA$2:$AA$58,0)),"not found"),"")</f>
        <v>EV-55</v>
      </c>
      <c r="O246" s="6" t="str">
        <f>IF(N246="","",IFERROR(INDEX('[1]Data extraction'!$L$2:$L$58,MATCH(N246,'[1]Data extraction'!$AC$2:$AC$58,0)),""))</f>
        <v>B</v>
      </c>
      <c r="P246" s="7" t="str">
        <f t="shared" si="15"/>
        <v>INCLUDED</v>
      </c>
      <c r="Q246" s="6" t="str">
        <f t="shared" si="16"/>
        <v>All PICOS rows + Independent prognostic value</v>
      </c>
      <c r="R246" s="4" t="str">
        <f>IF(P246&lt;&gt;"INCLUDED","",'[1]Full-text screening-extraction'!M109&amp;" ("&amp;'[1]Full-text screening-extraction'!K109&amp;"); outcome: "&amp;'[1]Full-text screening-extraction'!P109&amp;"; multivariable: "&amp;LEFT('[1]Full-text screening-extraction'!T109,120)&amp;" | adjusted for: "&amp;LEFT('[1]Full-text screening-extraction'!U109,100))</f>
        <v>SHCBP1, CEP55, GMNN, CDCA5, FAM111B (CSCLPI genes) (scRNA-seq + bulk RNA-seq + machine learning); outcome: Overall survival (OS); multivariable: YES (independent prognostic index) | adjusted for: Adjusted (clinical covariates in Cox)</v>
      </c>
    </row>
    <row r="247" spans="1:18" x14ac:dyDescent="0.3">
      <c r="A247" s="4">
        <f>'[1]Abstract review'!C247</f>
        <v>243</v>
      </c>
      <c r="B247" s="4" t="str">
        <f>IFERROR(LEFT('[1]Abstract review'!D247,FIND(";",'[1]Abstract review'!D247)-1),'[1]Abstract review'!D247)</f>
        <v>J. Fang</v>
      </c>
      <c r="C247" s="5" t="str">
        <f>'[1]Abstract review'!E247&amp;""</f>
        <v>2025</v>
      </c>
      <c r="D247" s="4" t="str">
        <f>'[1]Abstract review'!F247</f>
        <v>Identification of pancreatic subtypes and prognostic markers on the basis of changes in immunologic signature gene sets activity</v>
      </c>
      <c r="E247" s="4" t="str">
        <f>IF('[1]Abstract review'!G247="","",'[1]Abstract review'!G247)</f>
        <v>10.1097/md.0000000000045385</v>
      </c>
      <c r="F247" s="4" t="str">
        <f>IF('[1]Abstract review'!I247="I","Include → full text",IF('[1]Abstract review'!I247="E","Exclude",IF('[1]Abstract review'!I247="DUP","Duplicate — removed",'[1]Abstract review'!I247)))</f>
        <v>Include → full text</v>
      </c>
      <c r="G247" s="4" t="str">
        <f>IF('[1]Abstract review'!I247="E",'[1]Abstract review'!J247,"")</f>
        <v/>
      </c>
      <c r="H247" s="4">
        <f>'[1]Full-text screening-extraction'!A110</f>
        <v>109</v>
      </c>
      <c r="I247" s="4" t="str">
        <f>IF('[1]Full-text screening-extraction'!AB110="","",'[1]Full-text screening-extraction'!AB110)</f>
        <v>yes</v>
      </c>
      <c r="J247" s="4" t="str">
        <f>IF('[1]Full-text screening-extraction'!AC110="","",'[1]Full-text screening-extraction'!AC110)</f>
        <v>yes</v>
      </c>
      <c r="K247" s="4" t="str">
        <f>IF('[1]Full-text screening-extraction'!AG110="","",'[1]Full-text screening-extraction'!AG110)</f>
        <v/>
      </c>
      <c r="L247" s="6" t="str">
        <f t="shared" si="13"/>
        <v>Include</v>
      </c>
      <c r="M247" s="6" t="str">
        <f t="shared" si="14"/>
        <v/>
      </c>
      <c r="N247" s="6" t="str">
        <f>IF(L247="Include",IFERROR(INDEX('[1]Data extraction'!$AC$2:$AC$58,MATCH(H247+1,'[1]Data extraction'!$AA$2:$AA$58,0)),"not found"),"")</f>
        <v>EV-56</v>
      </c>
      <c r="O247" s="6" t="str">
        <f>IF(N247="","",IFERROR(INDEX('[1]Data extraction'!$L$2:$L$58,MATCH(N247,'[1]Data extraction'!$AC$2:$AC$58,0)),""))</f>
        <v>A</v>
      </c>
      <c r="P247" s="7" t="str">
        <f t="shared" si="15"/>
        <v>INCLUDED</v>
      </c>
      <c r="Q247" s="6" t="str">
        <f t="shared" si="16"/>
        <v>All PICOS rows + Independent prognostic value</v>
      </c>
      <c r="R247" s="4" t="str">
        <f>IF(P247&lt;&gt;"INCLUDED","",'[1]Full-text screening-extraction'!M110&amp;" ("&amp;'[1]Full-text screening-extraction'!K110&amp;"); outcome: "&amp;'[1]Full-text screening-extraction'!P110&amp;"; multivariable: "&amp;LEFT('[1]Full-text screening-extraction'!T110,120)&amp;" | adjusted for: "&amp;LEFT('[1]Full-text screening-extraction'!U110,100))</f>
        <v>23 ISGS-based features in RS model (Bulk RNA-seq / immunogenomic signature analysis); outcome: Overall survival (OS); multivariable: YES (RS independent in multivariable Cox) | adjusted for: Stage_N and RS in nomogram</v>
      </c>
    </row>
    <row r="248" spans="1:18" x14ac:dyDescent="0.3">
      <c r="A248" s="4">
        <f>'[1]Abstract review'!C248</f>
        <v>244</v>
      </c>
      <c r="B248" s="4" t="str">
        <f>IFERROR(LEFT('[1]Abstract review'!D248,FIND(";",'[1]Abstract review'!D248)-1),'[1]Abstract review'!D248)</f>
        <v>Z. Fan</v>
      </c>
      <c r="C248" s="5" t="str">
        <f>'[1]Abstract review'!E248&amp;""</f>
        <v>2025</v>
      </c>
      <c r="D248" s="4" t="str">
        <f>'[1]Abstract review'!F248</f>
        <v>Pancreatic cancer subtyping - the keystone of precision treatment</v>
      </c>
      <c r="E248" s="4" t="str">
        <f>IF('[1]Abstract review'!G248="","",'[1]Abstract review'!G248)</f>
        <v>10.3389/fimmu.2025.1563725</v>
      </c>
      <c r="F248" s="4" t="str">
        <f>IF('[1]Abstract review'!I248="I","Include → full text",IF('[1]Abstract review'!I248="E","Exclude",IF('[1]Abstract review'!I248="DUP","Duplicate — removed",'[1]Abstract review'!I248)))</f>
        <v>Exclude</v>
      </c>
      <c r="G248" s="4" t="str">
        <f>IF('[1]Abstract review'!I248="E",'[1]Abstract review'!J248,"")</f>
        <v>Review</v>
      </c>
      <c r="H248" s="4"/>
      <c r="I248" s="4"/>
      <c r="J248" s="4"/>
      <c r="K248" s="4"/>
      <c r="L248" s="6" t="str">
        <f t="shared" si="13"/>
        <v/>
      </c>
      <c r="M248" s="6" t="str">
        <f t="shared" si="14"/>
        <v/>
      </c>
      <c r="N248" s="6" t="str">
        <f>IF(L248="Include",IFERROR(INDEX('[1]Data extraction'!$AC$2:$AC$58,MATCH(H248+1,'[1]Data extraction'!$AA$2:$AA$58,0)),"not found"),"")</f>
        <v/>
      </c>
      <c r="O248" s="6" t="str">
        <f>IF(N248="","",IFERROR(INDEX('[1]Data extraction'!$L$2:$L$58,MATCH(N248,'[1]Data extraction'!$AC$2:$AC$58,0)),""))</f>
        <v/>
      </c>
      <c r="P248" s="7" t="str">
        <f t="shared" si="15"/>
        <v>Excluded at title/abstract</v>
      </c>
      <c r="Q248" s="6" t="str">
        <f t="shared" si="16"/>
        <v>Study design</v>
      </c>
      <c r="R248" s="4"/>
    </row>
    <row r="249" spans="1:18" x14ac:dyDescent="0.3">
      <c r="A249" s="4">
        <f>'[1]Abstract review'!C249</f>
        <v>245</v>
      </c>
      <c r="B249" s="4" t="str">
        <f>IFERROR(LEFT('[1]Abstract review'!D249,FIND(";",'[1]Abstract review'!D249)-1),'[1]Abstract review'!D249)</f>
        <v>Zeinab A. El-Moaty</v>
      </c>
      <c r="C249" s="5" t="str">
        <f>'[1]Abstract review'!E249&amp;""</f>
        <v>2025</v>
      </c>
      <c r="D249" s="4" t="str">
        <f>'[1]Abstract review'!F249</f>
        <v>Unraveling the therapeutic landscape of miRNAs in pancreatic cancer</v>
      </c>
      <c r="E249" s="4" t="str">
        <f>IF('[1]Abstract review'!G249="","",'[1]Abstract review'!G249)</f>
        <v>10.1007/s00210-025-04301-w</v>
      </c>
      <c r="F249" s="4" t="str">
        <f>IF('[1]Abstract review'!I249="I","Include → full text",IF('[1]Abstract review'!I249="E","Exclude",IF('[1]Abstract review'!I249="DUP","Duplicate — removed",'[1]Abstract review'!I249)))</f>
        <v>Exclude</v>
      </c>
      <c r="G249" s="4" t="str">
        <f>IF('[1]Abstract review'!I249="E",'[1]Abstract review'!J249,"")</f>
        <v>Review</v>
      </c>
      <c r="H249" s="4"/>
      <c r="I249" s="4"/>
      <c r="J249" s="4"/>
      <c r="K249" s="4"/>
      <c r="L249" s="6" t="str">
        <f t="shared" si="13"/>
        <v/>
      </c>
      <c r="M249" s="6" t="str">
        <f t="shared" si="14"/>
        <v/>
      </c>
      <c r="N249" s="6" t="str">
        <f>IF(L249="Include",IFERROR(INDEX('[1]Data extraction'!$AC$2:$AC$58,MATCH(H249+1,'[1]Data extraction'!$AA$2:$AA$58,0)),"not found"),"")</f>
        <v/>
      </c>
      <c r="O249" s="6" t="str">
        <f>IF(N249="","",IFERROR(INDEX('[1]Data extraction'!$L$2:$L$58,MATCH(N249,'[1]Data extraction'!$AC$2:$AC$58,0)),""))</f>
        <v/>
      </c>
      <c r="P249" s="7" t="str">
        <f t="shared" si="15"/>
        <v>Excluded at title/abstract</v>
      </c>
      <c r="Q249" s="6" t="str">
        <f t="shared" si="16"/>
        <v>Study design</v>
      </c>
      <c r="R249" s="4"/>
    </row>
    <row r="250" spans="1:18" x14ac:dyDescent="0.3">
      <c r="A250" s="4">
        <f>'[1]Abstract review'!C250</f>
        <v>246</v>
      </c>
      <c r="B250" s="4" t="str">
        <f>IFERROR(LEFT('[1]Abstract review'!D250,FIND(";",'[1]Abstract review'!D250)-1),'[1]Abstract review'!D250)</f>
        <v>Thomas L. Ekstrom</v>
      </c>
      <c r="C250" s="5" t="str">
        <f>'[1]Abstract review'!E250&amp;""</f>
        <v>2025</v>
      </c>
      <c r="D250" s="4" t="str">
        <f>'[1]Abstract review'!F250</f>
        <v>Glucocorticoid receptor suppresses GATA6-mediated RNA polymerase II pause release to modulate classical subtype identity in pancreatic cancer</v>
      </c>
      <c r="E250" s="4" t="str">
        <f>IF('[1]Abstract review'!G250="","",'[1]Abstract review'!G250)</f>
        <v>10.1136/gutjnl-2024-334374</v>
      </c>
      <c r="F250" s="4" t="str">
        <f>IF('[1]Abstract review'!I250="I","Include → full text",IF('[1]Abstract review'!I250="E","Exclude",IF('[1]Abstract review'!I250="DUP","Duplicate — removed",'[1]Abstract review'!I250)))</f>
        <v>Exclude</v>
      </c>
      <c r="G250" s="4" t="str">
        <f>IF('[1]Abstract review'!I250="E",'[1]Abstract review'!J250,"")</f>
        <v>Preclinical studies</v>
      </c>
      <c r="H250" s="4"/>
      <c r="I250" s="4"/>
      <c r="J250" s="4"/>
      <c r="K250" s="4"/>
      <c r="L250" s="6" t="str">
        <f t="shared" si="13"/>
        <v/>
      </c>
      <c r="M250" s="6" t="str">
        <f t="shared" si="14"/>
        <v/>
      </c>
      <c r="N250" s="6" t="str">
        <f>IF(L250="Include",IFERROR(INDEX('[1]Data extraction'!$AC$2:$AC$58,MATCH(H250+1,'[1]Data extraction'!$AA$2:$AA$58,0)),"not found"),"")</f>
        <v/>
      </c>
      <c r="O250" s="6" t="str">
        <f>IF(N250="","",IFERROR(INDEX('[1]Data extraction'!$L$2:$L$58,MATCH(N250,'[1]Data extraction'!$AC$2:$AC$58,0)),""))</f>
        <v/>
      </c>
      <c r="P250" s="7" t="str">
        <f t="shared" si="15"/>
        <v>Excluded at title/abstract</v>
      </c>
      <c r="Q250" s="6" t="str">
        <f t="shared" si="16"/>
        <v>Study design</v>
      </c>
      <c r="R250" s="4"/>
    </row>
    <row r="251" spans="1:18" x14ac:dyDescent="0.3">
      <c r="A251" s="4">
        <f>'[1]Abstract review'!C251</f>
        <v>247</v>
      </c>
      <c r="B251" s="4" t="str">
        <f>IFERROR(LEFT('[1]Abstract review'!D251,FIND(";",'[1]Abstract review'!D251)-1),'[1]Abstract review'!D251)</f>
        <v>N. Dusetti</v>
      </c>
      <c r="C251" s="5" t="str">
        <f>'[1]Abstract review'!E251&amp;""</f>
        <v>2025</v>
      </c>
      <c r="D251" s="4" t="str">
        <f>'[1]Abstract review'!F251</f>
        <v>Medical management of pancreatic cancer: from personalization to broadening treatment strategies</v>
      </c>
      <c r="E251" s="4" t="str">
        <f>IF('[1]Abstract review'!G251="","",'[1]Abstract review'!G251)</f>
        <v>10.1016/j.ctrv.2025.102973</v>
      </c>
      <c r="F251" s="4" t="str">
        <f>IF('[1]Abstract review'!I251="I","Include → full text",IF('[1]Abstract review'!I251="E","Exclude",IF('[1]Abstract review'!I251="DUP","Duplicate — removed",'[1]Abstract review'!I251)))</f>
        <v>Exclude</v>
      </c>
      <c r="G251" s="4" t="str">
        <f>IF('[1]Abstract review'!I251="E",'[1]Abstract review'!J251,"")</f>
        <v>Review</v>
      </c>
      <c r="H251" s="4"/>
      <c r="I251" s="4"/>
      <c r="J251" s="4"/>
      <c r="K251" s="4"/>
      <c r="L251" s="6" t="str">
        <f t="shared" si="13"/>
        <v/>
      </c>
      <c r="M251" s="6" t="str">
        <f t="shared" si="14"/>
        <v/>
      </c>
      <c r="N251" s="6" t="str">
        <f>IF(L251="Include",IFERROR(INDEX('[1]Data extraction'!$AC$2:$AC$58,MATCH(H251+1,'[1]Data extraction'!$AA$2:$AA$58,0)),"not found"),"")</f>
        <v/>
      </c>
      <c r="O251" s="6" t="str">
        <f>IF(N251="","",IFERROR(INDEX('[1]Data extraction'!$L$2:$L$58,MATCH(N251,'[1]Data extraction'!$AC$2:$AC$58,0)),""))</f>
        <v/>
      </c>
      <c r="P251" s="7" t="str">
        <f t="shared" si="15"/>
        <v>Excluded at title/abstract</v>
      </c>
      <c r="Q251" s="6" t="str">
        <f t="shared" si="16"/>
        <v>Study design</v>
      </c>
      <c r="R251" s="4"/>
    </row>
    <row r="252" spans="1:18" x14ac:dyDescent="0.3">
      <c r="A252" s="4">
        <f>'[1]Abstract review'!C252</f>
        <v>248</v>
      </c>
      <c r="B252" s="4" t="str">
        <f>IFERROR(LEFT('[1]Abstract review'!D252,FIND(";",'[1]Abstract review'!D252)-1),'[1]Abstract review'!D252)</f>
        <v>H. Duo</v>
      </c>
      <c r="C252" s="5" t="str">
        <f>'[1]Abstract review'!E252&amp;""</f>
        <v>2025</v>
      </c>
      <c r="D252" s="4" t="str">
        <f>'[1]Abstract review'!F252</f>
        <v>Prognostic and immune microenvironment analysis of cuproptosis-related lncRNAs in human pancreatic cancer</v>
      </c>
      <c r="E252" s="4" t="str">
        <f>IF('[1]Abstract review'!G252="","",'[1]Abstract review'!G252)</f>
        <v>10.1016/j.compbiomed.2025.111004</v>
      </c>
      <c r="F252" s="4" t="str">
        <f>IF('[1]Abstract review'!I252="I","Include → full text",IF('[1]Abstract review'!I252="E","Exclude",IF('[1]Abstract review'!I252="DUP","Duplicate — removed",'[1]Abstract review'!I252)))</f>
        <v>Include → full text</v>
      </c>
      <c r="G252" s="4" t="str">
        <f>IF('[1]Abstract review'!I252="E",'[1]Abstract review'!J252,"")</f>
        <v/>
      </c>
      <c r="H252" s="4">
        <f>'[1]Full-text screening-extraction'!A111</f>
        <v>110</v>
      </c>
      <c r="I252" s="4" t="str">
        <f>IF('[1]Full-text screening-extraction'!AB111="","",'[1]Full-text screening-extraction'!AB111)</f>
        <v>yes</v>
      </c>
      <c r="J252" s="4" t="str">
        <f>IF('[1]Full-text screening-extraction'!AC111="","",'[1]Full-text screening-extraction'!AC111)</f>
        <v>yes</v>
      </c>
      <c r="K252" s="4" t="str">
        <f>IF('[1]Full-text screening-extraction'!AG111="","",'[1]Full-text screening-extraction'!AG111)</f>
        <v/>
      </c>
      <c r="L252" s="6" t="str">
        <f t="shared" si="13"/>
        <v>Include</v>
      </c>
      <c r="M252" s="6" t="str">
        <f t="shared" si="14"/>
        <v/>
      </c>
      <c r="N252" s="6" t="str">
        <f>IF(L252="Include",IFERROR(INDEX('[1]Data extraction'!$AC$2:$AC$58,MATCH(H252+1,'[1]Data extraction'!$AA$2:$AA$58,0)),"not found"),"")</f>
        <v>EV-57</v>
      </c>
      <c r="O252" s="6" t="str">
        <f>IF(N252="","",IFERROR(INDEX('[1]Data extraction'!$L$2:$L$58,MATCH(N252,'[1]Data extraction'!$AC$2:$AC$58,0)),""))</f>
        <v>B+</v>
      </c>
      <c r="P252" s="7" t="str">
        <f t="shared" si="15"/>
        <v>INCLUDED</v>
      </c>
      <c r="Q252" s="6" t="str">
        <f t="shared" si="16"/>
        <v>All PICOS rows + Independent prognostic value</v>
      </c>
      <c r="R252" s="4" t="str">
        <f>IF(P252&lt;&gt;"INCLUDED","",'[1]Full-text screening-extraction'!M111&amp;" ("&amp;'[1]Full-text screening-extraction'!K111&amp;"); outcome: "&amp;'[1]Full-text screening-extraction'!P111&amp;"; multivariable: "&amp;LEFT('[1]Full-text screening-extraction'!T111,120)&amp;" | adjusted for: "&amp;LEFT('[1]Full-text screening-extraction'!U111,100))</f>
        <v>Cuproptosis-related lncRNA prognostic model; key lncRNAs LINC00900 and AC078820.1 (Transcriptomics focused on cuproptosis-related lncRNAs); outcome: Overall survival; multivariable: Yes, multivariate Cox model used and authors state LINC00900 and AC078820.1 were identified as independent prognostic bi | adjusted for: Not clearly detailed in excerpt</v>
      </c>
    </row>
    <row r="253" spans="1:18" x14ac:dyDescent="0.3">
      <c r="A253" s="4">
        <f>'[1]Abstract review'!C253</f>
        <v>249</v>
      </c>
      <c r="B253" s="4" t="str">
        <f>IFERROR(LEFT('[1]Abstract review'!D253,FIND(";",'[1]Abstract review'!D253)-1),'[1]Abstract review'!D253)</f>
        <v>Xiyao Du</v>
      </c>
      <c r="C253" s="5" t="str">
        <f>'[1]Abstract review'!E253&amp;""</f>
        <v>2025</v>
      </c>
      <c r="D253" s="4" t="str">
        <f>'[1]Abstract review'!F253</f>
        <v>A long non-coding RNA SCAMP1 induces pancreatic ductal adenocarcinoma progression through miR-106a-5p/AGK signaling</v>
      </c>
      <c r="E253" s="4" t="str">
        <f>IF('[1]Abstract review'!G253="","",'[1]Abstract review'!G253)</f>
        <v>10.1007/s10238-025-01943-1</v>
      </c>
      <c r="F253" s="4" t="str">
        <f>IF('[1]Abstract review'!I253="I","Include → full text",IF('[1]Abstract review'!I253="E","Exclude",IF('[1]Abstract review'!I253="DUP","Duplicate — removed",'[1]Abstract review'!I253)))</f>
        <v>Include → full text</v>
      </c>
      <c r="G253" s="4" t="str">
        <f>IF('[1]Abstract review'!I253="E",'[1]Abstract review'!J253,"")</f>
        <v/>
      </c>
      <c r="H253" s="4">
        <f>'[1]Full-text screening-extraction'!A112</f>
        <v>111</v>
      </c>
      <c r="I253" s="4" t="str">
        <f>IF('[1]Full-text screening-extraction'!AB112="","",'[1]Full-text screening-extraction'!AB112)</f>
        <v>no</v>
      </c>
      <c r="J253" s="4" t="str">
        <f>IF('[1]Full-text screening-extraction'!AC112="","",'[1]Full-text screening-extraction'!AC112)</f>
        <v>NA</v>
      </c>
      <c r="K253" s="4" t="str">
        <f>IF('[1]Full-text screening-extraction'!AG112="","",'[1]Full-text screening-extraction'!AG112)</f>
        <v/>
      </c>
      <c r="L253" s="6" t="str">
        <f t="shared" si="13"/>
        <v>Exclude</v>
      </c>
      <c r="M253" s="6" t="str">
        <f t="shared" si="14"/>
        <v>No adjusted multivariable model fitted</v>
      </c>
      <c r="N253" s="6" t="str">
        <f>IF(L253="Include",IFERROR(INDEX('[1]Data extraction'!$AC$2:$AC$58,MATCH(H253+1,'[1]Data extraction'!$AA$2:$AA$58,0)),"not found"),"")</f>
        <v/>
      </c>
      <c r="O253" s="6" t="str">
        <f>IF(N253="","",IFERROR(INDEX('[1]Data extraction'!$L$2:$L$58,MATCH(N253,'[1]Data extraction'!$AC$2:$AC$58,0)),""))</f>
        <v/>
      </c>
      <c r="P253" s="7" t="str">
        <f t="shared" si="15"/>
        <v>Excluded at full text</v>
      </c>
      <c r="Q253" s="6" t="str">
        <f t="shared" si="16"/>
        <v>Analysis &amp; synthesis eligibility</v>
      </c>
      <c r="R253" s="4" t="str">
        <f>IF(P253&lt;&gt;"INCLUDED","",'[1]Full-text screening-extraction'!M112&amp;" ("&amp;'[1]Full-text screening-extraction'!K112&amp;"); outcome: "&amp;'[1]Full-text screening-extraction'!P112&amp;"; multivariable: "&amp;LEFT('[1]Full-text screening-extraction'!T112,120)&amp;" | adjusted for: "&amp;LEFT('[1]Full-text screening-extraction'!U112,100))</f>
        <v/>
      </c>
    </row>
    <row r="254" spans="1:18" x14ac:dyDescent="0.3">
      <c r="A254" s="4">
        <f>'[1]Abstract review'!C254</f>
        <v>250</v>
      </c>
      <c r="B254" s="4" t="str">
        <f>IFERROR(LEFT('[1]Abstract review'!D254,FIND(";",'[1]Abstract review'!D254)-1),'[1]Abstract review'!D254)</f>
        <v>H. Du</v>
      </c>
      <c r="C254" s="5" t="str">
        <f>'[1]Abstract review'!E254&amp;""</f>
        <v>2025</v>
      </c>
      <c r="D254" s="4" t="str">
        <f>'[1]Abstract review'!F254</f>
        <v>Integration of single-cell RNA and bulk RNA sequencing revealed malignant ductal cell heterogeneity and prognosis signatures in pancreatic cancer</v>
      </c>
      <c r="E254" s="4" t="str">
        <f>IF('[1]Abstract review'!G254="","",'[1]Abstract review'!G254)</f>
        <v>10.3389/fimmu.2025.1579184</v>
      </c>
      <c r="F254" s="4" t="str">
        <f>IF('[1]Abstract review'!I254="I","Include → full text",IF('[1]Abstract review'!I254="E","Exclude",IF('[1]Abstract review'!I254="DUP","Duplicate — removed",'[1]Abstract review'!I254)))</f>
        <v>Include → full text</v>
      </c>
      <c r="G254" s="4" t="str">
        <f>IF('[1]Abstract review'!I254="E",'[1]Abstract review'!J254,"")</f>
        <v/>
      </c>
      <c r="H254" s="4">
        <f>'[1]Full-text screening-extraction'!A113</f>
        <v>112</v>
      </c>
      <c r="I254" s="4" t="str">
        <f>IF('[1]Full-text screening-extraction'!AB113="","",'[1]Full-text screening-extraction'!AB113)</f>
        <v>unclear</v>
      </c>
      <c r="J254" s="4" t="str">
        <f>IF('[1]Full-text screening-extraction'!AC113="","",'[1]Full-text screening-extraction'!AC113)</f>
        <v>unclear</v>
      </c>
      <c r="K254" s="4" t="str">
        <f>IF('[1]Full-text screening-extraction'!AG113="","",'[1]Full-text screening-extraction'!AG113)</f>
        <v/>
      </c>
      <c r="L254" s="6" t="str">
        <f t="shared" si="13"/>
        <v>Exclude</v>
      </c>
      <c r="M254" s="6" t="str">
        <f t="shared" si="14"/>
        <v>Unclear whether an adjusted model was fitted</v>
      </c>
      <c r="N254" s="6" t="str">
        <f>IF(L254="Include",IFERROR(INDEX('[1]Data extraction'!$AC$2:$AC$58,MATCH(H254+1,'[1]Data extraction'!$AA$2:$AA$58,0)),"not found"),"")</f>
        <v/>
      </c>
      <c r="O254" s="6" t="str">
        <f>IF(N254="","",IFERROR(INDEX('[1]Data extraction'!$L$2:$L$58,MATCH(N254,'[1]Data extraction'!$AC$2:$AC$58,0)),""))</f>
        <v/>
      </c>
      <c r="P254" s="7" t="str">
        <f t="shared" si="15"/>
        <v>Excluded at full text</v>
      </c>
      <c r="Q254" s="6" t="str">
        <f t="shared" si="16"/>
        <v>Analysis &amp; synthesis eligibility</v>
      </c>
      <c r="R254" s="4" t="str">
        <f>IF(P254&lt;&gt;"INCLUDED","",'[1]Full-text screening-extraction'!M113&amp;" ("&amp;'[1]Full-text screening-extraction'!K113&amp;"); outcome: "&amp;'[1]Full-text screening-extraction'!P113&amp;"; multivariable: "&amp;LEFT('[1]Full-text screening-extraction'!T113,120)&amp;" | adjusted for: "&amp;LEFT('[1]Full-text screening-extraction'!U113,100))</f>
        <v/>
      </c>
    </row>
    <row r="255" spans="1:18" x14ac:dyDescent="0.3">
      <c r="A255" s="4">
        <f>'[1]Abstract review'!C255</f>
        <v>251</v>
      </c>
      <c r="B255" s="4" t="str">
        <f>IFERROR(LEFT('[1]Abstract review'!D255,FIND(";",'[1]Abstract review'!D255)-1),'[1]Abstract review'!D255)</f>
        <v>Z. Deng</v>
      </c>
      <c r="C255" s="5" t="str">
        <f>'[1]Abstract review'!E255&amp;""</f>
        <v>2025</v>
      </c>
      <c r="D255" s="4" t="str">
        <f>'[1]Abstract review'!F255</f>
        <v>A lipid metabolism related gene signature predicts postoperative recurrence in pancreatic cancer through multicenter cohort validation</v>
      </c>
      <c r="E255" s="4" t="str">
        <f>IF('[1]Abstract review'!G255="","",'[1]Abstract review'!G255)</f>
        <v>10.1038/s41598-025-96855-1</v>
      </c>
      <c r="F255" s="4" t="str">
        <f>IF('[1]Abstract review'!I255="I","Include → full text",IF('[1]Abstract review'!I255="E","Exclude",IF('[1]Abstract review'!I255="DUP","Duplicate — removed",'[1]Abstract review'!I255)))</f>
        <v>Include → full text</v>
      </c>
      <c r="G255" s="4" t="str">
        <f>IF('[1]Abstract review'!I255="E",'[1]Abstract review'!J255,"")</f>
        <v/>
      </c>
      <c r="H255" s="4">
        <f>'[1]Full-text screening-extraction'!A114</f>
        <v>113</v>
      </c>
      <c r="I255" s="4" t="str">
        <f>IF('[1]Full-text screening-extraction'!AB114="","",'[1]Full-text screening-extraction'!AB114)</f>
        <v>yes</v>
      </c>
      <c r="J255" s="4" t="str">
        <f>IF('[1]Full-text screening-extraction'!AC114="","",'[1]Full-text screening-extraction'!AC114)</f>
        <v>yes</v>
      </c>
      <c r="K255" s="4" t="str">
        <f>IF('[1]Full-text screening-extraction'!AG114="","",'[1]Full-text screening-extraction'!AG114)</f>
        <v/>
      </c>
      <c r="L255" s="6" t="str">
        <f t="shared" si="13"/>
        <v>Include</v>
      </c>
      <c r="M255" s="6" t="str">
        <f t="shared" si="14"/>
        <v/>
      </c>
      <c r="N255" s="6" t="str">
        <f>IF(L255="Include",IFERROR(INDEX('[1]Data extraction'!$AC$2:$AC$58,MATCH(H255+1,'[1]Data extraction'!$AA$2:$AA$58,0)),"not found"),"")</f>
        <v>EV-58</v>
      </c>
      <c r="O255" s="6" t="str">
        <f>IF(N255="","",IFERROR(INDEX('[1]Data extraction'!$L$2:$L$58,MATCH(N255,'[1]Data extraction'!$AC$2:$AC$58,0)),""))</f>
        <v>A-</v>
      </c>
      <c r="P255" s="7" t="str">
        <f t="shared" si="15"/>
        <v>INCLUDED</v>
      </c>
      <c r="Q255" s="6" t="str">
        <f t="shared" si="16"/>
        <v>All PICOS rows + Independent prognostic value</v>
      </c>
      <c r="R255" s="4" t="str">
        <f>IF(P255&lt;&gt;"INCLUDED","",'[1]Full-text screening-extraction'!M114&amp;" ("&amp;'[1]Full-text screening-extraction'!K114&amp;"); outcome: "&amp;'[1]Full-text screening-extraction'!P114&amp;"; multivariable: "&amp;LEFT('[1]Full-text screening-extraction'!T114,120)&amp;" | adjusted for: "&amp;LEFT('[1]Full-text screening-extraction'!U114,100))</f>
        <v>ST3GAL2, SLCO1B3, PTGES, PRKACA (Lipid metabolism-related transcriptomics; bulk RNA-seq with supplementary single-cell exploration); outcome: Progression-free interval (PFI)/postoperative recurrence; multivariable: Risk score remained independently associated with PFI in multivariate Cox analysis; clinical variables lost significance | adjusted for: Tumor location, T stage/tumor size, N stage/tumor invasion, M stage/tumor metastasis, and other clin</v>
      </c>
    </row>
    <row r="256" spans="1:18" x14ac:dyDescent="0.3">
      <c r="A256" s="4">
        <f>'[1]Abstract review'!C256</f>
        <v>252</v>
      </c>
      <c r="B256" s="4" t="str">
        <f>IFERROR(LEFT('[1]Abstract review'!D256,FIND(";",'[1]Abstract review'!D256)-1),'[1]Abstract review'!D256)</f>
        <v>Z. Deng</v>
      </c>
      <c r="C256" s="5" t="str">
        <f>'[1]Abstract review'!E256&amp;""</f>
        <v>2025</v>
      </c>
      <c r="D256" s="4" t="str">
        <f>'[1]Abstract review'!F256</f>
        <v>Integrated analysis of polytranscriptomics reveals TNFSF ligand genes in pancreatic cancer prognosis and immune regulation</v>
      </c>
      <c r="E256" s="4" t="str">
        <f>IF('[1]Abstract review'!G256="","",'[1]Abstract review'!G256)</f>
        <v>10.1186/s12865-025-00733-4</v>
      </c>
      <c r="F256" s="4" t="str">
        <f>IF('[1]Abstract review'!I256="I","Include → full text",IF('[1]Abstract review'!I256="E","Exclude",IF('[1]Abstract review'!I256="DUP","Duplicate — removed",'[1]Abstract review'!I256)))</f>
        <v>Include → full text</v>
      </c>
      <c r="G256" s="4" t="str">
        <f>IF('[1]Abstract review'!I256="E",'[1]Abstract review'!J256,"")</f>
        <v/>
      </c>
      <c r="H256" s="4">
        <f>'[1]Full-text screening-extraction'!A115</f>
        <v>114</v>
      </c>
      <c r="I256" s="4" t="str">
        <f>IF('[1]Full-text screening-extraction'!AB115="","",'[1]Full-text screening-extraction'!AB115)</f>
        <v>no</v>
      </c>
      <c r="J256" s="4" t="str">
        <f>IF('[1]Full-text screening-extraction'!AC115="","",'[1]Full-text screening-extraction'!AC115)</f>
        <v>NA</v>
      </c>
      <c r="K256" s="4" t="str">
        <f>IF('[1]Full-text screening-extraction'!AG115="","",'[1]Full-text screening-extraction'!AG115)</f>
        <v/>
      </c>
      <c r="L256" s="6" t="str">
        <f t="shared" si="13"/>
        <v>Exclude</v>
      </c>
      <c r="M256" s="6" t="str">
        <f t="shared" si="14"/>
        <v>No adjusted multivariable model fitted</v>
      </c>
      <c r="N256" s="6" t="str">
        <f>IF(L256="Include",IFERROR(INDEX('[1]Data extraction'!$AC$2:$AC$58,MATCH(H256+1,'[1]Data extraction'!$AA$2:$AA$58,0)),"not found"),"")</f>
        <v/>
      </c>
      <c r="O256" s="6" t="str">
        <f>IF(N256="","",IFERROR(INDEX('[1]Data extraction'!$L$2:$L$58,MATCH(N256,'[1]Data extraction'!$AC$2:$AC$58,0)),""))</f>
        <v/>
      </c>
      <c r="P256" s="7" t="str">
        <f t="shared" si="15"/>
        <v>Excluded at full text</v>
      </c>
      <c r="Q256" s="6" t="str">
        <f t="shared" si="16"/>
        <v>Analysis &amp; synthesis eligibility</v>
      </c>
      <c r="R256" s="4" t="str">
        <f>IF(P256&lt;&gt;"INCLUDED","",'[1]Full-text screening-extraction'!M115&amp;" ("&amp;'[1]Full-text screening-extraction'!K115&amp;"); outcome: "&amp;'[1]Full-text screening-extraction'!P115&amp;"; multivariable: "&amp;LEFT('[1]Full-text screening-extraction'!T115,120)&amp;" | adjusted for: "&amp;LEFT('[1]Full-text screening-extraction'!U115,100))</f>
        <v/>
      </c>
    </row>
    <row r="257" spans="1:18" x14ac:dyDescent="0.3">
      <c r="A257" s="4">
        <f>'[1]Abstract review'!C257</f>
        <v>253</v>
      </c>
      <c r="B257" s="4" t="str">
        <f>IFERROR(LEFT('[1]Abstract review'!D257,FIND(";",'[1]Abstract review'!D257)-1),'[1]Abstract review'!D257)</f>
        <v>L. A. Delgado-Coka</v>
      </c>
      <c r="C257" s="5" t="str">
        <f>'[1]Abstract review'!E257&amp;""</f>
        <v>2025</v>
      </c>
      <c r="D257" s="4" t="str">
        <f>'[1]Abstract review'!F257</f>
        <v>Advancing Precision Medicine in PDAC: An Ethical Scoping Review and Call to Action for IHC Implementation</v>
      </c>
      <c r="E257" s="4" t="str">
        <f>IF('[1]Abstract review'!G257="","",'[1]Abstract review'!G257)</f>
        <v>10.3390/cancers17121899</v>
      </c>
      <c r="F257" s="4" t="str">
        <f>IF('[1]Abstract review'!I257="I","Include → full text",IF('[1]Abstract review'!I257="E","Exclude",IF('[1]Abstract review'!I257="DUP","Duplicate — removed",'[1]Abstract review'!I257)))</f>
        <v>Exclude</v>
      </c>
      <c r="G257" s="4" t="str">
        <f>IF('[1]Abstract review'!I257="E",'[1]Abstract review'!J257,"")</f>
        <v>Review</v>
      </c>
      <c r="H257" s="4"/>
      <c r="I257" s="4"/>
      <c r="J257" s="4"/>
      <c r="K257" s="4"/>
      <c r="L257" s="6" t="str">
        <f t="shared" si="13"/>
        <v/>
      </c>
      <c r="M257" s="6" t="str">
        <f t="shared" si="14"/>
        <v/>
      </c>
      <c r="N257" s="6" t="str">
        <f>IF(L257="Include",IFERROR(INDEX('[1]Data extraction'!$AC$2:$AC$58,MATCH(H257+1,'[1]Data extraction'!$AA$2:$AA$58,0)),"not found"),"")</f>
        <v/>
      </c>
      <c r="O257" s="6" t="str">
        <f>IF(N257="","",IFERROR(INDEX('[1]Data extraction'!$L$2:$L$58,MATCH(N257,'[1]Data extraction'!$AC$2:$AC$58,0)),""))</f>
        <v/>
      </c>
      <c r="P257" s="7" t="str">
        <f t="shared" si="15"/>
        <v>Excluded at title/abstract</v>
      </c>
      <c r="Q257" s="6" t="str">
        <f t="shared" si="16"/>
        <v>Study design</v>
      </c>
      <c r="R257" s="4"/>
    </row>
    <row r="258" spans="1:18" x14ac:dyDescent="0.3">
      <c r="A258" s="4">
        <f>'[1]Abstract review'!C258</f>
        <v>254</v>
      </c>
      <c r="B258" s="4" t="str">
        <f>IFERROR(LEFT('[1]Abstract review'!D258,FIND(";",'[1]Abstract review'!D258)-1),'[1]Abstract review'!D258)</f>
        <v>I. V. da Silva</v>
      </c>
      <c r="C258" s="5" t="str">
        <f>'[1]Abstract review'!E258&amp;""</f>
        <v>2025</v>
      </c>
      <c r="D258" s="4" t="str">
        <f>'[1]Abstract review'!F258</f>
        <v>The Association of Aquaporins with MAPK Signaling Pathway Unveils Potential Prognostic Biomarkers for Pancreatic Cancer: A Transcriptomics Approach</v>
      </c>
      <c r="E258" s="4" t="str">
        <f>IF('[1]Abstract review'!G258="","",'[1]Abstract review'!G258)</f>
        <v>10.3390/biom15040488</v>
      </c>
      <c r="F258" s="4" t="str">
        <f>IF('[1]Abstract review'!I258="I","Include → full text",IF('[1]Abstract review'!I258="E","Exclude",IF('[1]Abstract review'!I258="DUP","Duplicate — removed",'[1]Abstract review'!I258)))</f>
        <v>Exclude</v>
      </c>
      <c r="G258" s="4" t="str">
        <f>IF('[1]Abstract review'!I258="E",'[1]Abstract review'!J258,"")</f>
        <v>No survival outcome</v>
      </c>
      <c r="H258" s="4"/>
      <c r="I258" s="4"/>
      <c r="J258" s="4"/>
      <c r="K258" s="4"/>
      <c r="L258" s="6" t="str">
        <f t="shared" si="13"/>
        <v/>
      </c>
      <c r="M258" s="6" t="str">
        <f t="shared" si="14"/>
        <v/>
      </c>
      <c r="N258" s="6" t="str">
        <f>IF(L258="Include",IFERROR(INDEX('[1]Data extraction'!$AC$2:$AC$58,MATCH(H258+1,'[1]Data extraction'!$AA$2:$AA$58,0)),"not found"),"")</f>
        <v/>
      </c>
      <c r="O258" s="6" t="str">
        <f>IF(N258="","",IFERROR(INDEX('[1]Data extraction'!$L$2:$L$58,MATCH(N258,'[1]Data extraction'!$AC$2:$AC$58,0)),""))</f>
        <v/>
      </c>
      <c r="P258" s="7" t="str">
        <f t="shared" si="15"/>
        <v>Excluded at title/abstract</v>
      </c>
      <c r="Q258" s="6" t="str">
        <f t="shared" si="16"/>
        <v>Outcomes</v>
      </c>
      <c r="R258" s="4"/>
    </row>
    <row r="259" spans="1:18" x14ac:dyDescent="0.3">
      <c r="A259" s="4">
        <f>'[1]Abstract review'!C259</f>
        <v>255</v>
      </c>
      <c r="B259" s="4" t="str">
        <f>IFERROR(LEFT('[1]Abstract review'!D259,FIND(";",'[1]Abstract review'!D259)-1),'[1]Abstract review'!D259)</f>
        <v>Z. Cui</v>
      </c>
      <c r="C259" s="5" t="str">
        <f>'[1]Abstract review'!E259&amp;""</f>
        <v>2025</v>
      </c>
      <c r="D259" s="4" t="str">
        <f>'[1]Abstract review'!F259</f>
        <v>OCIAD2 as a novel prognostic and therapeutic biomarker for pancreatic cancer: A study based on transcriptomic signature and bioinformatics analysis</v>
      </c>
      <c r="E259" s="4" t="str">
        <f>IF('[1]Abstract review'!G259="","",'[1]Abstract review'!G259)</f>
        <v>10.1371/journal.pcbi.1013566</v>
      </c>
      <c r="F259" s="4" t="str">
        <f>IF('[1]Abstract review'!I259="I","Include → full text",IF('[1]Abstract review'!I259="E","Exclude",IF('[1]Abstract review'!I259="DUP","Duplicate — removed",'[1]Abstract review'!I259)))</f>
        <v>Include → full text</v>
      </c>
      <c r="G259" s="4" t="str">
        <f>IF('[1]Abstract review'!I259="E",'[1]Abstract review'!J259,"")</f>
        <v/>
      </c>
      <c r="H259" s="4">
        <f>'[1]Full-text screening-extraction'!A116</f>
        <v>115</v>
      </c>
      <c r="I259" s="4" t="str">
        <f>IF('[1]Full-text screening-extraction'!AB116="","",'[1]Full-text screening-extraction'!AB116)</f>
        <v>yes</v>
      </c>
      <c r="J259" s="4" t="str">
        <f>IF('[1]Full-text screening-extraction'!AC116="","",'[1]Full-text screening-extraction'!AC116)</f>
        <v>yes</v>
      </c>
      <c r="K259" s="4" t="str">
        <f>IF('[1]Full-text screening-extraction'!AG116="","",'[1]Full-text screening-extraction'!AG116)</f>
        <v/>
      </c>
      <c r="L259" s="6" t="str">
        <f t="shared" si="13"/>
        <v>Include</v>
      </c>
      <c r="M259" s="6" t="str">
        <f t="shared" si="14"/>
        <v/>
      </c>
      <c r="N259" s="6" t="str">
        <f>IF(L259="Include",IFERROR(INDEX('[1]Data extraction'!$AC$2:$AC$58,MATCH(H259+1,'[1]Data extraction'!$AA$2:$AA$58,0)),"not found"),"")</f>
        <v>EV-59</v>
      </c>
      <c r="O259" s="6" t="str">
        <f>IF(N259="","",IFERROR(INDEX('[1]Data extraction'!$L$2:$L$58,MATCH(N259,'[1]Data extraction'!$AC$2:$AC$58,0)),""))</f>
        <v>A</v>
      </c>
      <c r="P259" s="7" t="str">
        <f t="shared" si="15"/>
        <v>INCLUDED</v>
      </c>
      <c r="Q259" s="6" t="str">
        <f t="shared" si="16"/>
        <v>All PICOS rows + Independent prognostic value</v>
      </c>
      <c r="R259" s="4" t="str">
        <f>IF(P259&lt;&gt;"INCLUDED","",'[1]Full-text screening-extraction'!M116&amp;" ("&amp;'[1]Full-text screening-extraction'!K116&amp;"); outcome: "&amp;'[1]Full-text screening-extraction'!P116&amp;"; multivariable: "&amp;LEFT('[1]Full-text screening-extraction'!T116,120)&amp;" | adjusted for: "&amp;LEFT('[1]Full-text screening-extraction'!U116,100))</f>
        <v>DCBLD2, OCIAD2, SAMD9 (Transcriptomics (bulk + single-cell), RNA-seq after gene knockdown, drug sensitivity omics); outcome: Overall survival (OS); multivariable: Yes – DCBLD2, OCIAD2, SAMD9 identified as independent prognostic biomarkers in multivariable Cox model (along with age a | adjusted for: Age, lymph node metastasis (LNM), and gene expression variables</v>
      </c>
    </row>
    <row r="260" spans="1:18" x14ac:dyDescent="0.3">
      <c r="A260" s="4">
        <f>'[1]Abstract review'!C260</f>
        <v>256</v>
      </c>
      <c r="B260" s="4" t="str">
        <f>IFERROR(LEFT('[1]Abstract review'!D260,FIND(";",'[1]Abstract review'!D260)-1),'[1]Abstract review'!D260)</f>
        <v>R. Cui</v>
      </c>
      <c r="C260" s="5" t="str">
        <f>'[1]Abstract review'!E260&amp;""</f>
        <v>2025</v>
      </c>
      <c r="D260" s="4" t="str">
        <f>'[1]Abstract review'!F260</f>
        <v>Prognostic and immunotherapeutic potential of disulfidptosis-associated signature in pancreatic cancer</v>
      </c>
      <c r="E260" s="4" t="str">
        <f>IF('[1]Abstract review'!G260="","",'[1]Abstract review'!G260)</f>
        <v>10.3389/fimmu.2025.1568976</v>
      </c>
      <c r="F260" s="4" t="str">
        <f>IF('[1]Abstract review'!I260="I","Include → full text",IF('[1]Abstract review'!I260="E","Exclude",IF('[1]Abstract review'!I260="DUP","Duplicate — removed",'[1]Abstract review'!I260)))</f>
        <v>Include → full text</v>
      </c>
      <c r="G260" s="4" t="str">
        <f>IF('[1]Abstract review'!I260="E",'[1]Abstract review'!J260,"")</f>
        <v/>
      </c>
      <c r="H260" s="4">
        <f>'[1]Full-text screening-extraction'!A117</f>
        <v>116</v>
      </c>
      <c r="I260" s="4" t="str">
        <f>IF('[1]Full-text screening-extraction'!AB117="","",'[1]Full-text screening-extraction'!AB117)</f>
        <v>yes</v>
      </c>
      <c r="J260" s="4" t="str">
        <f>IF('[1]Full-text screening-extraction'!AC117="","",'[1]Full-text screening-extraction'!AC117)</f>
        <v>yes</v>
      </c>
      <c r="K260" s="4" t="str">
        <f>IF('[1]Full-text screening-extraction'!AG117="","",'[1]Full-text screening-extraction'!AG117)</f>
        <v/>
      </c>
      <c r="L260" s="6" t="str">
        <f t="shared" si="13"/>
        <v>Include</v>
      </c>
      <c r="M260" s="6" t="str">
        <f t="shared" si="14"/>
        <v/>
      </c>
      <c r="N260" s="6" t="str">
        <f>IF(L260="Include",IFERROR(INDEX('[1]Data extraction'!$AC$2:$AC$58,MATCH(H260+1,'[1]Data extraction'!$AA$2:$AA$58,0)),"not found"),"")</f>
        <v>EV-60</v>
      </c>
      <c r="O260" s="6" t="str">
        <f>IF(N260="","",IFERROR(INDEX('[1]Data extraction'!$L$2:$L$58,MATCH(N260,'[1]Data extraction'!$AC$2:$AC$58,0)),""))</f>
        <v>A</v>
      </c>
      <c r="P260" s="7" t="str">
        <f t="shared" si="15"/>
        <v>INCLUDED</v>
      </c>
      <c r="Q260" s="6" t="str">
        <f t="shared" si="16"/>
        <v>All PICOS rows + Independent prognostic value</v>
      </c>
      <c r="R260" s="4" t="str">
        <f>IF(P260&lt;&gt;"INCLUDED","",'[1]Full-text screening-extraction'!M117&amp;" ("&amp;'[1]Full-text screening-extraction'!K117&amp;"); outcome: "&amp;'[1]Full-text screening-extraction'!P117&amp;"; multivariable: "&amp;LEFT('[1]Full-text screening-extraction'!T117,120)&amp;" | adjusted for: "&amp;LEFT('[1]Full-text screening-extraction'!U117,100))</f>
        <v>Disulfidptosis-related prognostic signature / DPS (8-gene signature: SLC3A2, HMGA1, S100A2, DUSP5, SPRR1B, MET, CREB5, MACROD2) (Bulk transcriptomics, single-cell transcriptomics, spatial transcriptomics, mutation data); outcome: Overall survival (OS); multivariable: Not clearly reported for individual genes; yes for DPS as multivariable prognostic factor in CPTAC and TCGA nomogram ana | adjusted for: Clinicopathological features including age, gender, stage / clinical variables depending on cohort</v>
      </c>
    </row>
    <row r="261" spans="1:18" x14ac:dyDescent="0.3">
      <c r="A261" s="4">
        <f>'[1]Abstract review'!C261</f>
        <v>257</v>
      </c>
      <c r="B261" s="4" t="str">
        <f>IFERROR(LEFT('[1]Abstract review'!D261,FIND(";",'[1]Abstract review'!D261)-1),'[1]Abstract review'!D261)</f>
        <v>J. Cros</v>
      </c>
      <c r="C261" s="5" t="str">
        <f>'[1]Abstract review'!E261&amp;""</f>
        <v>2025</v>
      </c>
      <c r="D261" s="4" t="str">
        <f>'[1]Abstract review'!F261</f>
        <v>Predictive value of metabolic state on PanNET response to mTOR inhibitors</v>
      </c>
      <c r="E261" s="4" t="str">
        <f>IF('[1]Abstract review'!G261="","",'[1]Abstract review'!G261)</f>
        <v>10.1530/erc-24-0331</v>
      </c>
      <c r="F261" s="4" t="str">
        <f>IF('[1]Abstract review'!I261="I","Include → full text",IF('[1]Abstract review'!I261="E","Exclude",IF('[1]Abstract review'!I261="DUP","Duplicate — removed",'[1]Abstract review'!I261)))</f>
        <v>Exclude</v>
      </c>
      <c r="G261" s="4" t="str">
        <f>IF('[1]Abstract review'!I261="E",'[1]Abstract review'!J261,"")</f>
        <v>no pdac</v>
      </c>
      <c r="H261" s="4"/>
      <c r="I261" s="4"/>
      <c r="J261" s="4"/>
      <c r="K261" s="4"/>
      <c r="L261" s="6" t="str">
        <f t="shared" ref="L261:L294" si="17">IF(H261="","",IF(K261&lt;&gt;"","Exclude",IF(J261="yes","Include","Exclude")))</f>
        <v/>
      </c>
      <c r="M261" s="6" t="str">
        <f t="shared" ref="M261:M294" si="18">IF(L261&lt;&gt;"Exclude","",IF(K261&lt;&gt;"",IF(ISNUMBER(SEARCH("biomarker modality",K261)),"Biomarker modality not transcriptomic/proteomic","Primary question not prognostic; adjustment unclear"),IF(J261="NA","No adjusted multivariable model fitted",IF(J261="no","Biomarker not independent after adjustment","Unclear whether an adjusted model was fitted"))))</f>
        <v/>
      </c>
      <c r="N261" s="6" t="str">
        <f>IF(L261="Include",IFERROR(INDEX('[1]Data extraction'!$AC$2:$AC$58,MATCH(H261+1,'[1]Data extraction'!$AA$2:$AA$58,0)),"not found"),"")</f>
        <v/>
      </c>
      <c r="O261" s="6" t="str">
        <f>IF(N261="","",IFERROR(INDEX('[1]Data extraction'!$L$2:$L$58,MATCH(N261,'[1]Data extraction'!$AC$2:$AC$58,0)),""))</f>
        <v/>
      </c>
      <c r="P261" s="7" t="str">
        <f t="shared" ref="P261:P294" si="19">IF(F261="Exclude","Excluded at title/abstract",IF(LEFT(F261,9)="Duplicate","Duplicate removed",IF(L261="Include","INCLUDED","Excluded at full text")))</f>
        <v>Excluded at title/abstract</v>
      </c>
      <c r="Q261" s="6" t="str">
        <f t="shared" ref="Q261:Q294" si="20">IF(P261="INCLUDED",$W$23,IFERROR(INDEX($W$5:$W$22,MATCH(IF(G261&lt;&gt;"",G261,M261),$V$5:$V$22,0)),IF(P261="Duplicate removed","Duplicate record","")))</f>
        <v>Population</v>
      </c>
      <c r="R261" s="4"/>
    </row>
    <row r="262" spans="1:18" x14ac:dyDescent="0.3">
      <c r="A262" s="4">
        <f>'[1]Abstract review'!C262</f>
        <v>258</v>
      </c>
      <c r="B262" s="4" t="str">
        <f>IFERROR(LEFT('[1]Abstract review'!D262,FIND(";",'[1]Abstract review'!D262)-1),'[1]Abstract review'!D262)</f>
        <v>B. R. Counts</v>
      </c>
      <c r="C262" s="5" t="str">
        <f>'[1]Abstract review'!E262&amp;""</f>
        <v>2025</v>
      </c>
      <c r="D262" s="4" t="str">
        <f>'[1]Abstract review'!F262</f>
        <v>Pancreatic Cancer Induces Population-Specific Switching of Myosin Isoforms and Discrete Activation of Cachexia Genes in Skeletal Muscle Myocytes</v>
      </c>
      <c r="E262" s="4" t="str">
        <f>IF('[1]Abstract review'!G262="","",'[1]Abstract review'!G262)</f>
        <v>10.1101/2025.09.01.673500</v>
      </c>
      <c r="F262" s="4" t="str">
        <f>IF('[1]Abstract review'!I262="I","Include → full text",IF('[1]Abstract review'!I262="E","Exclude",IF('[1]Abstract review'!I262="DUP","Duplicate — removed",'[1]Abstract review'!I262)))</f>
        <v>Exclude</v>
      </c>
      <c r="G262" s="4" t="str">
        <f>IF('[1]Abstract review'!I262="E",'[1]Abstract review'!J262,"")</f>
        <v>Preclinical studies</v>
      </c>
      <c r="H262" s="4"/>
      <c r="I262" s="4"/>
      <c r="J262" s="4"/>
      <c r="K262" s="4"/>
      <c r="L262" s="6" t="str">
        <f t="shared" si="17"/>
        <v/>
      </c>
      <c r="M262" s="6" t="str">
        <f t="shared" si="18"/>
        <v/>
      </c>
      <c r="N262" s="6" t="str">
        <f>IF(L262="Include",IFERROR(INDEX('[1]Data extraction'!$AC$2:$AC$58,MATCH(H262+1,'[1]Data extraction'!$AA$2:$AA$58,0)),"not found"),"")</f>
        <v/>
      </c>
      <c r="O262" s="6" t="str">
        <f>IF(N262="","",IFERROR(INDEX('[1]Data extraction'!$L$2:$L$58,MATCH(N262,'[1]Data extraction'!$AC$2:$AC$58,0)),""))</f>
        <v/>
      </c>
      <c r="P262" s="7" t="str">
        <f t="shared" si="19"/>
        <v>Excluded at title/abstract</v>
      </c>
      <c r="Q262" s="6" t="str">
        <f t="shared" si="20"/>
        <v>Study design</v>
      </c>
      <c r="R262" s="4"/>
    </row>
    <row r="263" spans="1:18" x14ac:dyDescent="0.3">
      <c r="A263" s="4">
        <f>'[1]Abstract review'!C263</f>
        <v>259</v>
      </c>
      <c r="B263" s="4" t="str">
        <f>IFERROR(LEFT('[1]Abstract review'!D263,FIND(";",'[1]Abstract review'!D263)-1),'[1]Abstract review'!D263)</f>
        <v>E. Corre</v>
      </c>
      <c r="C263" s="5" t="str">
        <f>'[1]Abstract review'!E263&amp;""</f>
        <v>2025</v>
      </c>
      <c r="D263" s="4" t="str">
        <f>'[1]Abstract review'!F263</f>
        <v>Bimodal silencing of the acinar cell-specific mRNA translation repressor PAIP2B defines a poor prognostic subgroup within the classical pancreatic tumor type</v>
      </c>
      <c r="E263" s="4" t="str">
        <f>IF('[1]Abstract review'!G263="","",'[1]Abstract review'!G263)</f>
        <v>10.1016/j.canlet.2025.217971</v>
      </c>
      <c r="F263" s="4" t="str">
        <f>IF('[1]Abstract review'!I263="I","Include → full text",IF('[1]Abstract review'!I263="E","Exclude",IF('[1]Abstract review'!I263="DUP","Duplicate — removed",'[1]Abstract review'!I263)))</f>
        <v>Exclude</v>
      </c>
      <c r="G263" s="4" t="str">
        <f>IF('[1]Abstract review'!I263="E",'[1]Abstract review'!J263,"")</f>
        <v>Preclinical studies</v>
      </c>
      <c r="H263" s="4"/>
      <c r="I263" s="4"/>
      <c r="J263" s="4"/>
      <c r="K263" s="4"/>
      <c r="L263" s="6" t="str">
        <f t="shared" si="17"/>
        <v/>
      </c>
      <c r="M263" s="6" t="str">
        <f t="shared" si="18"/>
        <v/>
      </c>
      <c r="N263" s="6" t="str">
        <f>IF(L263="Include",IFERROR(INDEX('[1]Data extraction'!$AC$2:$AC$58,MATCH(H263+1,'[1]Data extraction'!$AA$2:$AA$58,0)),"not found"),"")</f>
        <v/>
      </c>
      <c r="O263" s="6" t="str">
        <f>IF(N263="","",IFERROR(INDEX('[1]Data extraction'!$L$2:$L$58,MATCH(N263,'[1]Data extraction'!$AC$2:$AC$58,0)),""))</f>
        <v/>
      </c>
      <c r="P263" s="7" t="str">
        <f t="shared" si="19"/>
        <v>Excluded at title/abstract</v>
      </c>
      <c r="Q263" s="6" t="str">
        <f t="shared" si="20"/>
        <v>Study design</v>
      </c>
      <c r="R263" s="4"/>
    </row>
    <row r="264" spans="1:18" x14ac:dyDescent="0.3">
      <c r="A264" s="4">
        <f>'[1]Abstract review'!C264</f>
        <v>260</v>
      </c>
      <c r="B264" s="4" t="str">
        <f>IFERROR(LEFT('[1]Abstract review'!D264,FIND(";",'[1]Abstract review'!D264)-1),'[1]Abstract review'!D264)</f>
        <v>Claire Alexandra Chew</v>
      </c>
      <c r="C264" s="5" t="str">
        <f>'[1]Abstract review'!E264&amp;""</f>
        <v>2025</v>
      </c>
      <c r="D264" s="4" t="str">
        <f>'[1]Abstract review'!F264</f>
        <v>Functional Precision in Pancreatic Cancer: Redefining Biomarkers with Patient-Derived Organoids</v>
      </c>
      <c r="E264" s="4" t="str">
        <f>IF('[1]Abstract review'!G264="","",'[1]Abstract review'!G264)</f>
        <v>10.3390/ijms26189083</v>
      </c>
      <c r="F264" s="4" t="str">
        <f>IF('[1]Abstract review'!I264="I","Include → full text",IF('[1]Abstract review'!I264="E","Exclude",IF('[1]Abstract review'!I264="DUP","Duplicate — removed",'[1]Abstract review'!I264)))</f>
        <v>Exclude</v>
      </c>
      <c r="G264" s="4" t="str">
        <f>IF('[1]Abstract review'!I264="E",'[1]Abstract review'!J264,"")</f>
        <v>Review</v>
      </c>
      <c r="H264" s="4"/>
      <c r="I264" s="4"/>
      <c r="J264" s="4"/>
      <c r="K264" s="4"/>
      <c r="L264" s="6" t="str">
        <f t="shared" si="17"/>
        <v/>
      </c>
      <c r="M264" s="6" t="str">
        <f t="shared" si="18"/>
        <v/>
      </c>
      <c r="N264" s="6" t="str">
        <f>IF(L264="Include",IFERROR(INDEX('[1]Data extraction'!$AC$2:$AC$58,MATCH(H264+1,'[1]Data extraction'!$AA$2:$AA$58,0)),"not found"),"")</f>
        <v/>
      </c>
      <c r="O264" s="6" t="str">
        <f>IF(N264="","",IFERROR(INDEX('[1]Data extraction'!$L$2:$L$58,MATCH(N264,'[1]Data extraction'!$AC$2:$AC$58,0)),""))</f>
        <v/>
      </c>
      <c r="P264" s="7" t="str">
        <f t="shared" si="19"/>
        <v>Excluded at title/abstract</v>
      </c>
      <c r="Q264" s="6" t="str">
        <f t="shared" si="20"/>
        <v>Study design</v>
      </c>
      <c r="R264" s="4"/>
    </row>
    <row r="265" spans="1:18" x14ac:dyDescent="0.3">
      <c r="A265" s="4">
        <f>'[1]Abstract review'!C265</f>
        <v>261</v>
      </c>
      <c r="B265" s="4" t="str">
        <f>IFERROR(LEFT('[1]Abstract review'!D265,FIND(";",'[1]Abstract review'!D265)-1),'[1]Abstract review'!D265)</f>
        <v>Yuhang Chen</v>
      </c>
      <c r="C265" s="5" t="str">
        <f>'[1]Abstract review'!E265&amp;""</f>
        <v>2025</v>
      </c>
      <c r="D265" s="4" t="str">
        <f>'[1]Abstract review'!F265</f>
        <v>Lactate-associated gene MCU promotes the proliferation, migration, and invasion of pancreatic ductal adenocarcinoma</v>
      </c>
      <c r="E265" s="4" t="str">
        <f>IF('[1]Abstract review'!G265="","",'[1]Abstract review'!G265)</f>
        <v>10.1186/s12885-025-14319-1</v>
      </c>
      <c r="F265" s="4" t="str">
        <f>IF('[1]Abstract review'!I265="I","Include → full text",IF('[1]Abstract review'!I265="E","Exclude",IF('[1]Abstract review'!I265="DUP","Duplicate — removed",'[1]Abstract review'!I265)))</f>
        <v>Include → full text</v>
      </c>
      <c r="G265" s="4" t="str">
        <f>IF('[1]Abstract review'!I265="E",'[1]Abstract review'!J265,"")</f>
        <v/>
      </c>
      <c r="H265" s="4">
        <f>'[1]Full-text screening-extraction'!A118</f>
        <v>117</v>
      </c>
      <c r="I265" s="4" t="str">
        <f>IF('[1]Full-text screening-extraction'!AB118="","",'[1]Full-text screening-extraction'!AB118)</f>
        <v>no</v>
      </c>
      <c r="J265" s="4" t="str">
        <f>IF('[1]Full-text screening-extraction'!AC118="","",'[1]Full-text screening-extraction'!AC118)</f>
        <v>NA</v>
      </c>
      <c r="K265" s="4" t="str">
        <f>IF('[1]Full-text screening-extraction'!AG118="","",'[1]Full-text screening-extraction'!AG118)</f>
        <v/>
      </c>
      <c r="L265" s="6" t="str">
        <f t="shared" si="17"/>
        <v>Exclude</v>
      </c>
      <c r="M265" s="6" t="str">
        <f t="shared" si="18"/>
        <v>No adjusted multivariable model fitted</v>
      </c>
      <c r="N265" s="6" t="str">
        <f>IF(L265="Include",IFERROR(INDEX('[1]Data extraction'!$AC$2:$AC$58,MATCH(H265+1,'[1]Data extraction'!$AA$2:$AA$58,0)),"not found"),"")</f>
        <v/>
      </c>
      <c r="O265" s="6" t="str">
        <f>IF(N265="","",IFERROR(INDEX('[1]Data extraction'!$L$2:$L$58,MATCH(N265,'[1]Data extraction'!$AC$2:$AC$58,0)),""))</f>
        <v/>
      </c>
      <c r="P265" s="7" t="str">
        <f t="shared" si="19"/>
        <v>Excluded at full text</v>
      </c>
      <c r="Q265" s="6" t="str">
        <f t="shared" si="20"/>
        <v>Analysis &amp; synthesis eligibility</v>
      </c>
      <c r="R265" s="4" t="str">
        <f>IF(P265&lt;&gt;"INCLUDED","",'[1]Full-text screening-extraction'!M118&amp;" ("&amp;'[1]Full-text screening-extraction'!K118&amp;"); outcome: "&amp;'[1]Full-text screening-extraction'!P118&amp;"; multivariable: "&amp;LEFT('[1]Full-text screening-extraction'!T118,120)&amp;" | adjusted for: "&amp;LEFT('[1]Full-text screening-extraction'!U118,100))</f>
        <v/>
      </c>
    </row>
    <row r="266" spans="1:18" x14ac:dyDescent="0.3">
      <c r="A266" s="4">
        <f>'[1]Abstract review'!C266</f>
        <v>262</v>
      </c>
      <c r="B266" s="4" t="str">
        <f>IFERROR(LEFT('[1]Abstract review'!D266,FIND(";",'[1]Abstract review'!D266)-1),'[1]Abstract review'!D266)</f>
        <v>Xinyuan Chen</v>
      </c>
      <c r="C266" s="5" t="str">
        <f>'[1]Abstract review'!E266&amp;""</f>
        <v>2025</v>
      </c>
      <c r="D266" s="4" t="str">
        <f>'[1]Abstract review'!F266</f>
        <v>Attenuated immune surveillance during squamous cell transformation of pancreatic adenosquamous cancer defines new therapeutic opportunity for cancer interception</v>
      </c>
      <c r="E266" s="4" t="str">
        <f>IF('[1]Abstract review'!G266="","",'[1]Abstract review'!G266)</f>
        <v>10.1136/jitc-2025-012066</v>
      </c>
      <c r="F266" s="4" t="str">
        <f>IF('[1]Abstract review'!I266="I","Include → full text",IF('[1]Abstract review'!I266="E","Exclude",IF('[1]Abstract review'!I266="DUP","Duplicate — removed",'[1]Abstract review'!I266)))</f>
        <v>Exclude</v>
      </c>
      <c r="G266" s="4" t="str">
        <f>IF('[1]Abstract review'!I266="E",'[1]Abstract review'!J266,"")</f>
        <v>no pdac</v>
      </c>
      <c r="H266" s="4"/>
      <c r="I266" s="4"/>
      <c r="J266" s="4"/>
      <c r="K266" s="4"/>
      <c r="L266" s="6" t="str">
        <f t="shared" si="17"/>
        <v/>
      </c>
      <c r="M266" s="6" t="str">
        <f t="shared" si="18"/>
        <v/>
      </c>
      <c r="N266" s="6" t="str">
        <f>IF(L266="Include",IFERROR(INDEX('[1]Data extraction'!$AC$2:$AC$58,MATCH(H266+1,'[1]Data extraction'!$AA$2:$AA$58,0)),"not found"),"")</f>
        <v/>
      </c>
      <c r="O266" s="6" t="str">
        <f>IF(N266="","",IFERROR(INDEX('[1]Data extraction'!$L$2:$L$58,MATCH(N266,'[1]Data extraction'!$AC$2:$AC$58,0)),""))</f>
        <v/>
      </c>
      <c r="P266" s="7" t="str">
        <f t="shared" si="19"/>
        <v>Excluded at title/abstract</v>
      </c>
      <c r="Q266" s="6" t="str">
        <f t="shared" si="20"/>
        <v>Population</v>
      </c>
      <c r="R266" s="4"/>
    </row>
    <row r="267" spans="1:18" x14ac:dyDescent="0.3">
      <c r="A267" s="4">
        <f>'[1]Abstract review'!C267</f>
        <v>263</v>
      </c>
      <c r="B267" s="4" t="str">
        <f>IFERROR(LEFT('[1]Abstract review'!D267,FIND(";",'[1]Abstract review'!D267)-1),'[1]Abstract review'!D267)</f>
        <v>Q. Chen</v>
      </c>
      <c r="C267" s="5" t="str">
        <f>'[1]Abstract review'!E267&amp;""</f>
        <v>2025</v>
      </c>
      <c r="D267" s="4" t="str">
        <f>'[1]Abstract review'!F267</f>
        <v>PLAAT2 facilitates the development of pancreatic cancer and serves as a predictor of resistance to chemotherapy</v>
      </c>
      <c r="E267" s="4" t="str">
        <f>IF('[1]Abstract review'!G267="","",'[1]Abstract review'!G267)</f>
        <v>10.1186/s12885-025-15481-2</v>
      </c>
      <c r="F267" s="4" t="str">
        <f>IF('[1]Abstract review'!I267="I","Include → full text",IF('[1]Abstract review'!I267="E","Exclude",IF('[1]Abstract review'!I267="DUP","Duplicate — removed",'[1]Abstract review'!I267)))</f>
        <v>Include → full text</v>
      </c>
      <c r="G267" s="4" t="str">
        <f>IF('[1]Abstract review'!I267="E",'[1]Abstract review'!J267,"")</f>
        <v/>
      </c>
      <c r="H267" s="4">
        <f>'[1]Full-text screening-extraction'!A119</f>
        <v>118</v>
      </c>
      <c r="I267" s="4" t="str">
        <f>IF('[1]Full-text screening-extraction'!AB119="","",'[1]Full-text screening-extraction'!AB119)</f>
        <v>yes</v>
      </c>
      <c r="J267" s="4" t="str">
        <f>IF('[1]Full-text screening-extraction'!AC119="","",'[1]Full-text screening-extraction'!AC119)</f>
        <v>yes</v>
      </c>
      <c r="K267" s="4" t="str">
        <f>IF('[1]Full-text screening-extraction'!AG119="","",'[1]Full-text screening-extraction'!AG119)</f>
        <v/>
      </c>
      <c r="L267" s="6" t="str">
        <f t="shared" si="17"/>
        <v>Include</v>
      </c>
      <c r="M267" s="6" t="str">
        <f t="shared" si="18"/>
        <v/>
      </c>
      <c r="N267" s="6" t="str">
        <f>IF(L267="Include",IFERROR(INDEX('[1]Data extraction'!$AC$2:$AC$58,MATCH(H267+1,'[1]Data extraction'!$AA$2:$AA$58,0)),"not found"),"")</f>
        <v>EV-23</v>
      </c>
      <c r="O267" s="6" t="str">
        <f>IF(N267="","",IFERROR(INDEX('[1]Data extraction'!$L$2:$L$58,MATCH(N267,'[1]Data extraction'!$AC$2:$AC$58,0)),""))</f>
        <v>A</v>
      </c>
      <c r="P267" s="7" t="str">
        <f t="shared" si="19"/>
        <v>INCLUDED</v>
      </c>
      <c r="Q267" s="6" t="str">
        <f t="shared" si="20"/>
        <v>All PICOS rows + Independent prognostic value</v>
      </c>
      <c r="R267" s="4" t="str">
        <f>IF(P267&lt;&gt;"INCLUDED","",'[1]Full-text screening-extraction'!M119&amp;" ("&amp;'[1]Full-text screening-extraction'!K119&amp;"); outcome: "&amp;'[1]Full-text screening-extraction'!P119&amp;"; multivariable: "&amp;LEFT('[1]Full-text screening-extraction'!T119,120)&amp;" | adjusted for: "&amp;LEFT('[1]Full-text screening-extraction'!U119,100))</f>
        <v>PLAAT2; additionally an 11-gene PLAAT2-derived prognostic signature (TEKT2, GALNT16, NACAD, HMGA2, RIC3, ARNT2, SLC16A11, CA8, TMEM139, NT5M, ZNF488) (Transcriptomics, clinicopathologic survival data, somatic mutation data, immune deconvolution, predicted drug sensitivity, tissue-level IHC/qRT-PCR, in vitro functional assays); outcome: Overall survival (OS); multivariable: PLAAT2 remained independently associated with poor OS: HR 1.71 (95% CI 1.09–2.66), P=0.019 | adjusted for: Sex, age, clinical stage, tumor grade</v>
      </c>
    </row>
    <row r="268" spans="1:18" x14ac:dyDescent="0.3">
      <c r="A268" s="4">
        <f>'[1]Abstract review'!C268</f>
        <v>264</v>
      </c>
      <c r="B268" s="4" t="str">
        <f>IFERROR(LEFT('[1]Abstract review'!D268,FIND(";",'[1]Abstract review'!D268)-1),'[1]Abstract review'!D268)</f>
        <v>L. Chen</v>
      </c>
      <c r="C268" s="5" t="str">
        <f>'[1]Abstract review'!E268&amp;""</f>
        <v>2025</v>
      </c>
      <c r="D268" s="4" t="str">
        <f>'[1]Abstract review'!F268</f>
        <v>Single-cell and multi-omics analysis identifies TRIM9 as a key ubiquitination regulator in pancreatic cancer</v>
      </c>
      <c r="E268" s="4" t="str">
        <f>IF('[1]Abstract review'!G268="","",'[1]Abstract review'!G268)</f>
        <v>10.3389/fimmu.2025.1631708</v>
      </c>
      <c r="F268" s="4" t="str">
        <f>IF('[1]Abstract review'!I268="I","Include → full text",IF('[1]Abstract review'!I268="E","Exclude",IF('[1]Abstract review'!I268="DUP","Duplicate — removed",'[1]Abstract review'!I268)))</f>
        <v>Exclude</v>
      </c>
      <c r="G268" s="4" t="str">
        <f>IF('[1]Abstract review'!I268="E",'[1]Abstract review'!J268,"")</f>
        <v>Review</v>
      </c>
      <c r="H268" s="4"/>
      <c r="I268" s="4"/>
      <c r="J268" s="4"/>
      <c r="K268" s="4"/>
      <c r="L268" s="6" t="str">
        <f t="shared" si="17"/>
        <v/>
      </c>
      <c r="M268" s="6" t="str">
        <f t="shared" si="18"/>
        <v/>
      </c>
      <c r="N268" s="6" t="str">
        <f>IF(L268="Include",IFERROR(INDEX('[1]Data extraction'!$AC$2:$AC$58,MATCH(H268+1,'[1]Data extraction'!$AA$2:$AA$58,0)),"not found"),"")</f>
        <v/>
      </c>
      <c r="O268" s="6" t="str">
        <f>IF(N268="","",IFERROR(INDEX('[1]Data extraction'!$L$2:$L$58,MATCH(N268,'[1]Data extraction'!$AC$2:$AC$58,0)),""))</f>
        <v/>
      </c>
      <c r="P268" s="7" t="str">
        <f t="shared" si="19"/>
        <v>Excluded at title/abstract</v>
      </c>
      <c r="Q268" s="6" t="str">
        <f t="shared" si="20"/>
        <v>Study design</v>
      </c>
      <c r="R268" s="4"/>
    </row>
    <row r="269" spans="1:18" x14ac:dyDescent="0.3">
      <c r="A269" s="4">
        <f>'[1]Abstract review'!C269</f>
        <v>265</v>
      </c>
      <c r="B269" s="4" t="str">
        <f>IFERROR(LEFT('[1]Abstract review'!D269,FIND(";",'[1]Abstract review'!D269)-1),'[1]Abstract review'!D269)</f>
        <v>K. Chen</v>
      </c>
      <c r="C269" s="5" t="str">
        <f>'[1]Abstract review'!E269&amp;""</f>
        <v>2025</v>
      </c>
      <c r="D269" s="4" t="str">
        <f>'[1]Abstract review'!F269</f>
        <v>Single-Cell Sequencing Unravels Pancreatic Cancer: Novel Technologies Reveal Novel Aspects of Cellular Heterogeneity and Inform Therapeutic Strategies</v>
      </c>
      <c r="E269" s="4" t="str">
        <f>IF('[1]Abstract review'!G269="","",'[1]Abstract review'!G269)</f>
        <v>10.3390/biomedicines13123024</v>
      </c>
      <c r="F269" s="4" t="str">
        <f>IF('[1]Abstract review'!I269="I","Include → full text",IF('[1]Abstract review'!I269="E","Exclude",IF('[1]Abstract review'!I269="DUP","Duplicate — removed",'[1]Abstract review'!I269)))</f>
        <v>Exclude</v>
      </c>
      <c r="G269" s="4" t="str">
        <f>IF('[1]Abstract review'!I269="E",'[1]Abstract review'!J269,"")</f>
        <v>Review</v>
      </c>
      <c r="H269" s="4"/>
      <c r="I269" s="4"/>
      <c r="J269" s="4"/>
      <c r="K269" s="4"/>
      <c r="L269" s="6" t="str">
        <f t="shared" si="17"/>
        <v/>
      </c>
      <c r="M269" s="6" t="str">
        <f t="shared" si="18"/>
        <v/>
      </c>
      <c r="N269" s="6" t="str">
        <f>IF(L269="Include",IFERROR(INDEX('[1]Data extraction'!$AC$2:$AC$58,MATCH(H269+1,'[1]Data extraction'!$AA$2:$AA$58,0)),"not found"),"")</f>
        <v/>
      </c>
      <c r="O269" s="6" t="str">
        <f>IF(N269="","",IFERROR(INDEX('[1]Data extraction'!$L$2:$L$58,MATCH(N269,'[1]Data extraction'!$AC$2:$AC$58,0)),""))</f>
        <v/>
      </c>
      <c r="P269" s="7" t="str">
        <f t="shared" si="19"/>
        <v>Excluded at title/abstract</v>
      </c>
      <c r="Q269" s="6" t="str">
        <f t="shared" si="20"/>
        <v>Study design</v>
      </c>
      <c r="R269" s="4"/>
    </row>
    <row r="270" spans="1:18" x14ac:dyDescent="0.3">
      <c r="A270" s="4">
        <f>'[1]Abstract review'!C270</f>
        <v>266</v>
      </c>
      <c r="B270" s="4" t="str">
        <f>IFERROR(LEFT('[1]Abstract review'!D270,FIND(";",'[1]Abstract review'!D270)-1),'[1]Abstract review'!D270)</f>
        <v>Jing Chen</v>
      </c>
      <c r="C270" s="5" t="str">
        <f>'[1]Abstract review'!E270&amp;""</f>
        <v>2025</v>
      </c>
      <c r="D270" s="4" t="str">
        <f>'[1]Abstract review'!F270</f>
        <v>Elucidating Pancreatic Ductal Adenocarcinoma Carcinogenesis at Single-Cell Resolution and Identifying Subtype Specific Drug Candidates</v>
      </c>
      <c r="E270" s="4" t="str">
        <f>IF('[1]Abstract review'!G270="","",'[1]Abstract review'!G270)</f>
        <v>10.3390/ijms262412031</v>
      </c>
      <c r="F270" s="4" t="str">
        <f>IF('[1]Abstract review'!I270="I","Include → full text",IF('[1]Abstract review'!I270="E","Exclude",IF('[1]Abstract review'!I270="DUP","Duplicate — removed",'[1]Abstract review'!I270)))</f>
        <v>Exclude</v>
      </c>
      <c r="G270" s="4" t="str">
        <f>IF('[1]Abstract review'!I270="E",'[1]Abstract review'!J270,"")</f>
        <v>Not transcriptomic/proteomic biomarker expression</v>
      </c>
      <c r="H270" s="4"/>
      <c r="I270" s="4"/>
      <c r="J270" s="4"/>
      <c r="K270" s="4"/>
      <c r="L270" s="6" t="str">
        <f t="shared" si="17"/>
        <v/>
      </c>
      <c r="M270" s="6" t="str">
        <f t="shared" si="18"/>
        <v/>
      </c>
      <c r="N270" s="6" t="str">
        <f>IF(L270="Include",IFERROR(INDEX('[1]Data extraction'!$AC$2:$AC$58,MATCH(H270+1,'[1]Data extraction'!$AA$2:$AA$58,0)),"not found"),"")</f>
        <v/>
      </c>
      <c r="O270" s="6" t="str">
        <f>IF(N270="","",IFERROR(INDEX('[1]Data extraction'!$L$2:$L$58,MATCH(N270,'[1]Data extraction'!$AC$2:$AC$58,0)),""))</f>
        <v/>
      </c>
      <c r="P270" s="7" t="str">
        <f t="shared" si="19"/>
        <v>Excluded at title/abstract</v>
      </c>
      <c r="Q270" s="6" t="str">
        <f t="shared" si="20"/>
        <v>Biomarker modality &amp; sample type</v>
      </c>
      <c r="R270" s="4"/>
    </row>
    <row r="271" spans="1:18" x14ac:dyDescent="0.3">
      <c r="A271" s="4">
        <f>'[1]Abstract review'!C271</f>
        <v>267</v>
      </c>
      <c r="B271" s="4" t="str">
        <f>IFERROR(LEFT('[1]Abstract review'!D271,FIND(";",'[1]Abstract review'!D271)-1),'[1]Abstract review'!D271)</f>
        <v>H. Chen</v>
      </c>
      <c r="C271" s="5" t="str">
        <f>'[1]Abstract review'!E271&amp;""</f>
        <v>2025</v>
      </c>
      <c r="D271" s="4" t="str">
        <f>'[1]Abstract review'!F271</f>
        <v>Establishment of M2 macrophage-related prognostic signature in pancreatic ductal adenocarcinoma</v>
      </c>
      <c r="E271" s="4" t="str">
        <f>IF('[1]Abstract review'!G271="","",'[1]Abstract review'!G271)</f>
        <v>10.1007/s12672-025-02838-z</v>
      </c>
      <c r="F271" s="4" t="str">
        <f>IF('[1]Abstract review'!I271="I","Include → full text",IF('[1]Abstract review'!I271="E","Exclude",IF('[1]Abstract review'!I271="DUP","Duplicate — removed",'[1]Abstract review'!I271)))</f>
        <v>Include → full text</v>
      </c>
      <c r="G271" s="4" t="str">
        <f>IF('[1]Abstract review'!I271="E",'[1]Abstract review'!J271,"")</f>
        <v/>
      </c>
      <c r="H271" s="4">
        <f>'[1]Full-text screening-extraction'!A120</f>
        <v>119</v>
      </c>
      <c r="I271" s="4" t="str">
        <f>IF('[1]Full-text screening-extraction'!AB120="","",'[1]Full-text screening-extraction'!AB120)</f>
        <v>yes</v>
      </c>
      <c r="J271" s="4" t="str">
        <f>IF('[1]Full-text screening-extraction'!AC120="","",'[1]Full-text screening-extraction'!AC120)</f>
        <v>yes</v>
      </c>
      <c r="K271" s="4" t="str">
        <f>IF('[1]Full-text screening-extraction'!AG120="","",'[1]Full-text screening-extraction'!AG120)</f>
        <v/>
      </c>
      <c r="L271" s="6" t="str">
        <f t="shared" si="17"/>
        <v>Include</v>
      </c>
      <c r="M271" s="6" t="str">
        <f t="shared" si="18"/>
        <v/>
      </c>
      <c r="N271" s="6" t="str">
        <f>IF(L271="Include",IFERROR(INDEX('[1]Data extraction'!$AC$2:$AC$58,MATCH(H271+1,'[1]Data extraction'!$AA$2:$AA$58,0)),"not found"),"")</f>
        <v>EV-61</v>
      </c>
      <c r="O271" s="6" t="str">
        <f>IF(N271="","",IFERROR(INDEX('[1]Data extraction'!$L$2:$L$58,MATCH(N271,'[1]Data extraction'!$AC$2:$AC$58,0)),""))</f>
        <v>B+</v>
      </c>
      <c r="P271" s="7" t="str">
        <f t="shared" si="19"/>
        <v>INCLUDED</v>
      </c>
      <c r="Q271" s="6" t="str">
        <f t="shared" si="20"/>
        <v>All PICOS rows + Independent prognostic value</v>
      </c>
      <c r="R271" s="4" t="str">
        <f>IF(P271&lt;&gt;"INCLUDED","",'[1]Full-text screening-extraction'!M120&amp;" ("&amp;'[1]Full-text screening-extraction'!K120&amp;"); outcome: "&amp;'[1]Full-text screening-extraction'!P120&amp;"; multivariable: "&amp;LEFT('[1]Full-text screening-extraction'!T120,120)&amp;" | adjusted for: "&amp;LEFT('[1]Full-text screening-extraction'!U120,100))</f>
        <v>M2 macrophage-related 6-gene prognostic signature: CCL2, CD9, FBP1, LIMS1, LYZ, TGFBI; also M2/TAM biology and TNFRSF12A highlighted (scRNA-seq, bulk RNA expression, SNV, CNV, clinical survival data, immune infiltration, drug sensitivity prediction); outcome: Overall survival (OS); multivariable: Multivariate Cox showed risk score remained an independent prognostic factor for OS in PDAC (exact HR/CI not provided in | adjusted for: Not clearly specified in the pasted excerpt; multivariable analysis likely adjusted for clinicopatho</v>
      </c>
    </row>
    <row r="272" spans="1:18" x14ac:dyDescent="0.3">
      <c r="A272" s="4">
        <f>'[1]Abstract review'!C272</f>
        <v>268</v>
      </c>
      <c r="B272" s="4" t="str">
        <f>IFERROR(LEFT('[1]Abstract review'!D272,FIND(";",'[1]Abstract review'!D272)-1),'[1]Abstract review'!D272)</f>
        <v>C. Chen</v>
      </c>
      <c r="C272" s="5" t="str">
        <f>'[1]Abstract review'!E272&amp;""</f>
        <v>2025</v>
      </c>
      <c r="D272" s="4" t="str">
        <f>'[1]Abstract review'!F272</f>
        <v>Tumor-intrinsic MHC-II activation in pancreatic ductal adenocarcinoma enhances immune response and treatment efficacy</v>
      </c>
      <c r="E272" s="4" t="str">
        <f>IF('[1]Abstract review'!G272="","",'[1]Abstract review'!G272)</f>
        <v>10.1101/2025.10.21.683745</v>
      </c>
      <c r="F272" s="4" t="str">
        <f>IF('[1]Abstract review'!I272="I","Include → full text",IF('[1]Abstract review'!I272="E","Exclude",IF('[1]Abstract review'!I272="DUP","Duplicate — removed",'[1]Abstract review'!I272)))</f>
        <v>Exclude</v>
      </c>
      <c r="G272" s="4" t="str">
        <f>IF('[1]Abstract review'!I272="E",'[1]Abstract review'!J272,"")</f>
        <v>Preprint (not peer-reviewed)</v>
      </c>
      <c r="H272" s="4"/>
      <c r="I272" s="4"/>
      <c r="J272" s="4"/>
      <c r="K272" s="4"/>
      <c r="L272" s="6" t="str">
        <f t="shared" si="17"/>
        <v/>
      </c>
      <c r="M272" s="6" t="str">
        <f t="shared" si="18"/>
        <v/>
      </c>
      <c r="N272" s="6" t="str">
        <f>IF(L272="Include",IFERROR(INDEX('[1]Data extraction'!$AC$2:$AC$58,MATCH(H272+1,'[1]Data extraction'!$AA$2:$AA$58,0)),"not found"),"")</f>
        <v/>
      </c>
      <c r="O272" s="6" t="str">
        <f>IF(N272="","",IFERROR(INDEX('[1]Data extraction'!$L$2:$L$58,MATCH(N272,'[1]Data extraction'!$AC$2:$AC$58,0)),""))</f>
        <v/>
      </c>
      <c r="P272" s="7" t="str">
        <f t="shared" si="19"/>
        <v>Excluded at title/abstract</v>
      </c>
      <c r="Q272" s="6" t="str">
        <f t="shared" si="20"/>
        <v>Study design</v>
      </c>
      <c r="R272" s="4"/>
    </row>
    <row r="273" spans="1:18" x14ac:dyDescent="0.3">
      <c r="A273" s="4">
        <f>'[1]Abstract review'!C273</f>
        <v>269</v>
      </c>
      <c r="B273" s="4" t="str">
        <f>IFERROR(LEFT('[1]Abstract review'!D273,FIND(";",'[1]Abstract review'!D273)-1),'[1]Abstract review'!D273)</f>
        <v>W. H. Chang</v>
      </c>
      <c r="C273" s="5" t="str">
        <f>'[1]Abstract review'!E273&amp;""</f>
        <v>2025</v>
      </c>
      <c r="D273" s="4" t="str">
        <f>'[1]Abstract review'!F273</f>
        <v>Comparative Tumor Microenvironment Analysis for HCC and PDAC Using KMplotter</v>
      </c>
      <c r="E273" s="4" t="str">
        <f>IF('[1]Abstract review'!G273="","",'[1]Abstract review'!G273)</f>
        <v>10.3390/ijms262411920</v>
      </c>
      <c r="F273" s="4" t="str">
        <f>IF('[1]Abstract review'!I273="I","Include → full text",IF('[1]Abstract review'!I273="E","Exclude",IF('[1]Abstract review'!I273="DUP","Duplicate — removed",'[1]Abstract review'!I273)))</f>
        <v>Include → full text</v>
      </c>
      <c r="G273" s="4" t="str">
        <f>IF('[1]Abstract review'!I273="E",'[1]Abstract review'!J273,"")</f>
        <v/>
      </c>
      <c r="H273" s="4">
        <f>'[1]Full-text screening-extraction'!A121</f>
        <v>120</v>
      </c>
      <c r="I273" s="4" t="str">
        <f>IF('[1]Full-text screening-extraction'!AB121="","",'[1]Full-text screening-extraction'!AB121)</f>
        <v>no</v>
      </c>
      <c r="J273" s="4" t="str">
        <f>IF('[1]Full-text screening-extraction'!AC121="","",'[1]Full-text screening-extraction'!AC121)</f>
        <v>NA</v>
      </c>
      <c r="K273" s="4" t="str">
        <f>IF('[1]Full-text screening-extraction'!AG121="","",'[1]Full-text screening-extraction'!AG121)</f>
        <v/>
      </c>
      <c r="L273" s="6" t="str">
        <f t="shared" si="17"/>
        <v>Exclude</v>
      </c>
      <c r="M273" s="6" t="str">
        <f t="shared" si="18"/>
        <v>No adjusted multivariable model fitted</v>
      </c>
      <c r="N273" s="6" t="str">
        <f>IF(L273="Include",IFERROR(INDEX('[1]Data extraction'!$AC$2:$AC$58,MATCH(H273+1,'[1]Data extraction'!$AA$2:$AA$58,0)),"not found"),"")</f>
        <v/>
      </c>
      <c r="O273" s="6" t="str">
        <f>IF(N273="","",IFERROR(INDEX('[1]Data extraction'!$L$2:$L$58,MATCH(N273,'[1]Data extraction'!$AC$2:$AC$58,0)),""))</f>
        <v/>
      </c>
      <c r="P273" s="7" t="str">
        <f t="shared" si="19"/>
        <v>Excluded at full text</v>
      </c>
      <c r="Q273" s="6" t="str">
        <f t="shared" si="20"/>
        <v>Analysis &amp; synthesis eligibility</v>
      </c>
      <c r="R273" s="4" t="str">
        <f>IF(P273&lt;&gt;"INCLUDED","",'[1]Full-text screening-extraction'!M121&amp;" ("&amp;'[1]Full-text screening-extraction'!K121&amp;"); outcome: "&amp;'[1]Full-text screening-extraction'!P121&amp;"; multivariable: "&amp;LEFT('[1]Full-text screening-extraction'!T121,120)&amp;" | adjusted for: "&amp;LEFT('[1]Full-text screening-extraction'!U121,100))</f>
        <v/>
      </c>
    </row>
    <row r="274" spans="1:18" x14ac:dyDescent="0.3">
      <c r="A274" s="4">
        <f>'[1]Abstract review'!C274</f>
        <v>270</v>
      </c>
      <c r="B274" s="4" t="str">
        <f>IFERROR(LEFT('[1]Abstract review'!D274,FIND(";",'[1]Abstract review'!D274)-1),'[1]Abstract review'!D274)</f>
        <v>B. Chanez</v>
      </c>
      <c r="C274" s="5" t="str">
        <f>'[1]Abstract review'!E274&amp;""</f>
        <v>2025</v>
      </c>
      <c r="D274" s="4" t="str">
        <f>'[1]Abstract review'!F274</f>
        <v>Toward Precision Chemotherapy for Pancreatic Cancer Guided by Transcriptomic Signatures</v>
      </c>
      <c r="E274" s="4" t="str">
        <f>IF('[1]Abstract review'!G274="","",'[1]Abstract review'!G274)</f>
        <v>10.1002/ueg2.70124</v>
      </c>
      <c r="F274" s="4" t="str">
        <f>IF('[1]Abstract review'!I274="I","Include → full text",IF('[1]Abstract review'!I274="E","Exclude",IF('[1]Abstract review'!I274="DUP","Duplicate — removed",'[1]Abstract review'!I274)))</f>
        <v>Exclude</v>
      </c>
      <c r="G274" s="4" t="str">
        <f>IF('[1]Abstract review'!I274="E",'[1]Abstract review'!J274,"")</f>
        <v>Review</v>
      </c>
      <c r="H274" s="4"/>
      <c r="I274" s="4"/>
      <c r="J274" s="4"/>
      <c r="K274" s="4"/>
      <c r="L274" s="6" t="str">
        <f t="shared" si="17"/>
        <v/>
      </c>
      <c r="M274" s="6" t="str">
        <f t="shared" si="18"/>
        <v/>
      </c>
      <c r="N274" s="6" t="str">
        <f>IF(L274="Include",IFERROR(INDEX('[1]Data extraction'!$AC$2:$AC$58,MATCH(H274+1,'[1]Data extraction'!$AA$2:$AA$58,0)),"not found"),"")</f>
        <v/>
      </c>
      <c r="O274" s="6" t="str">
        <f>IF(N274="","",IFERROR(INDEX('[1]Data extraction'!$L$2:$L$58,MATCH(N274,'[1]Data extraction'!$AC$2:$AC$58,0)),""))</f>
        <v/>
      </c>
      <c r="P274" s="7" t="str">
        <f t="shared" si="19"/>
        <v>Excluded at title/abstract</v>
      </c>
      <c r="Q274" s="6" t="str">
        <f t="shared" si="20"/>
        <v>Study design</v>
      </c>
      <c r="R274" s="4"/>
    </row>
    <row r="275" spans="1:18" x14ac:dyDescent="0.3">
      <c r="A275" s="4">
        <f>'[1]Abstract review'!C275</f>
        <v>271</v>
      </c>
      <c r="B275" s="4" t="str">
        <f>IFERROR(LEFT('[1]Abstract review'!D275,FIND(";",'[1]Abstract review'!D275)-1),'[1]Abstract review'!D275)</f>
        <v>M. Chalabi Hajkarim</v>
      </c>
      <c r="C275" s="5" t="str">
        <f>'[1]Abstract review'!E275&amp;""</f>
        <v>2025</v>
      </c>
      <c r="D275" s="4" t="str">
        <f>'[1]Abstract review'!F275</f>
        <v>Cellular states associated with metastatic organotropism and survival in patients with pancreatic ductal adenocarcinoma</v>
      </c>
      <c r="E275" s="4" t="str">
        <f>IF('[1]Abstract review'!G275="","",'[1]Abstract review'!G275)</f>
        <v>10.1038/s41588-025-02345-5</v>
      </c>
      <c r="F275" s="4" t="str">
        <f>IF('[1]Abstract review'!I275="I","Include → full text",IF('[1]Abstract review'!I275="E","Exclude",IF('[1]Abstract review'!I275="DUP","Duplicate — removed",'[1]Abstract review'!I275)))</f>
        <v>Exclude</v>
      </c>
      <c r="G275" s="4" t="str">
        <f>IF('[1]Abstract review'!I275="E",'[1]Abstract review'!J275,"")</f>
        <v>Not transcriptomic/proteomic biomarker expression</v>
      </c>
      <c r="H275" s="4"/>
      <c r="I275" s="4"/>
      <c r="J275" s="4"/>
      <c r="K275" s="4"/>
      <c r="L275" s="6" t="str">
        <f t="shared" si="17"/>
        <v/>
      </c>
      <c r="M275" s="6" t="str">
        <f t="shared" si="18"/>
        <v/>
      </c>
      <c r="N275" s="6" t="str">
        <f>IF(L275="Include",IFERROR(INDEX('[1]Data extraction'!$AC$2:$AC$58,MATCH(H275+1,'[1]Data extraction'!$AA$2:$AA$58,0)),"not found"),"")</f>
        <v/>
      </c>
      <c r="O275" s="6" t="str">
        <f>IF(N275="","",IFERROR(INDEX('[1]Data extraction'!$L$2:$L$58,MATCH(N275,'[1]Data extraction'!$AC$2:$AC$58,0)),""))</f>
        <v/>
      </c>
      <c r="P275" s="7" t="str">
        <f t="shared" si="19"/>
        <v>Excluded at title/abstract</v>
      </c>
      <c r="Q275" s="6" t="str">
        <f t="shared" si="20"/>
        <v>Biomarker modality &amp; sample type</v>
      </c>
      <c r="R275" s="4"/>
    </row>
    <row r="276" spans="1:18" x14ac:dyDescent="0.3">
      <c r="A276" s="4">
        <f>'[1]Abstract review'!C276</f>
        <v>272</v>
      </c>
      <c r="B276" s="4" t="str">
        <f>IFERROR(LEFT('[1]Abstract review'!D276,FIND(";",'[1]Abstract review'!D276)-1),'[1]Abstract review'!D276)</f>
        <v>A. D. Campos</v>
      </c>
      <c r="C276" s="5" t="str">
        <f>'[1]Abstract review'!E276&amp;""</f>
        <v>2025</v>
      </c>
      <c r="D276" s="4" t="str">
        <f>'[1]Abstract review'!F276</f>
        <v>A STAT3/integrin axis accelerates pancreatic cancer initiation and progression</v>
      </c>
      <c r="E276" s="4" t="str">
        <f>IF('[1]Abstract review'!G276="","",'[1]Abstract review'!G276)</f>
        <v>10.1016/j.celrep.2025.116010</v>
      </c>
      <c r="F276" s="4" t="str">
        <f>IF('[1]Abstract review'!I276="I","Include → full text",IF('[1]Abstract review'!I276="E","Exclude",IF('[1]Abstract review'!I276="DUP","Duplicate — removed",'[1]Abstract review'!I276)))</f>
        <v>Include → full text</v>
      </c>
      <c r="G276" s="4" t="str">
        <f>IF('[1]Abstract review'!I276="E",'[1]Abstract review'!J276,"")</f>
        <v/>
      </c>
      <c r="H276" s="4">
        <f>'[1]Full-text screening-extraction'!A122</f>
        <v>121</v>
      </c>
      <c r="I276" s="4" t="str">
        <f>IF('[1]Full-text screening-extraction'!AB122="","",'[1]Full-text screening-extraction'!AB122)</f>
        <v>no</v>
      </c>
      <c r="J276" s="4" t="str">
        <f>IF('[1]Full-text screening-extraction'!AC122="","",'[1]Full-text screening-extraction'!AC122)</f>
        <v>NA</v>
      </c>
      <c r="K276" s="4" t="str">
        <f>IF('[1]Full-text screening-extraction'!AG122="","",'[1]Full-text screening-extraction'!AG122)</f>
        <v/>
      </c>
      <c r="L276" s="6" t="str">
        <f t="shared" si="17"/>
        <v>Exclude</v>
      </c>
      <c r="M276" s="6" t="str">
        <f t="shared" si="18"/>
        <v>No adjusted multivariable model fitted</v>
      </c>
      <c r="N276" s="6" t="str">
        <f>IF(L276="Include",IFERROR(INDEX('[1]Data extraction'!$AC$2:$AC$58,MATCH(H276+1,'[1]Data extraction'!$AA$2:$AA$58,0)),"not found"),"")</f>
        <v/>
      </c>
      <c r="O276" s="6" t="str">
        <f>IF(N276="","",IFERROR(INDEX('[1]Data extraction'!$L$2:$L$58,MATCH(N276,'[1]Data extraction'!$AC$2:$AC$58,0)),""))</f>
        <v/>
      </c>
      <c r="P276" s="7" t="str">
        <f t="shared" si="19"/>
        <v>Excluded at full text</v>
      </c>
      <c r="Q276" s="6" t="str">
        <f t="shared" si="20"/>
        <v>Analysis &amp; synthesis eligibility</v>
      </c>
      <c r="R276" s="4" t="str">
        <f>IF(P276&lt;&gt;"INCLUDED","",'[1]Full-text screening-extraction'!M122&amp;" ("&amp;'[1]Full-text screening-extraction'!K122&amp;"); outcome: "&amp;'[1]Full-text screening-extraction'!P122&amp;"; multivariable: "&amp;LEFT('[1]Full-text screening-extraction'!T122,120)&amp;" | adjusted for: "&amp;LEFT('[1]Full-text screening-extraction'!U122,100))</f>
        <v/>
      </c>
    </row>
    <row r="277" spans="1:18" x14ac:dyDescent="0.3">
      <c r="A277" s="4">
        <f>'[1]Abstract review'!C277</f>
        <v>273</v>
      </c>
      <c r="B277" s="4" t="str">
        <f>IFERROR(LEFT('[1]Abstract review'!D277,FIND(";",'[1]Abstract review'!D277)-1),'[1]Abstract review'!D277)</f>
        <v>M. Boubaddi</v>
      </c>
      <c r="C277" s="5" t="str">
        <f>'[1]Abstract review'!E277&amp;""</f>
        <v>2025</v>
      </c>
      <c r="D277" s="4" t="str">
        <f>'[1]Abstract review'!F277</f>
        <v>Preoperative Prognostic Factors in Resectable Pancreatic Cancer: State of the Art and Prospects</v>
      </c>
      <c r="E277" s="4" t="str">
        <f>IF('[1]Abstract review'!G277="","",'[1]Abstract review'!G277)</f>
        <v>10.1245/s10434-025-17062-w</v>
      </c>
      <c r="F277" s="4" t="str">
        <f>IF('[1]Abstract review'!I277="I","Include → full text",IF('[1]Abstract review'!I277="E","Exclude",IF('[1]Abstract review'!I277="DUP","Duplicate — removed",'[1]Abstract review'!I277)))</f>
        <v>Exclude</v>
      </c>
      <c r="G277" s="4" t="str">
        <f>IF('[1]Abstract review'!I277="E",'[1]Abstract review'!J277,"")</f>
        <v>Review</v>
      </c>
      <c r="H277" s="4"/>
      <c r="I277" s="4"/>
      <c r="J277" s="4"/>
      <c r="K277" s="4"/>
      <c r="L277" s="6" t="str">
        <f t="shared" si="17"/>
        <v/>
      </c>
      <c r="M277" s="6" t="str">
        <f t="shared" si="18"/>
        <v/>
      </c>
      <c r="N277" s="6" t="str">
        <f>IF(L277="Include",IFERROR(INDEX('[1]Data extraction'!$AC$2:$AC$58,MATCH(H277+1,'[1]Data extraction'!$AA$2:$AA$58,0)),"not found"),"")</f>
        <v/>
      </c>
      <c r="O277" s="6" t="str">
        <f>IF(N277="","",IFERROR(INDEX('[1]Data extraction'!$L$2:$L$58,MATCH(N277,'[1]Data extraction'!$AC$2:$AC$58,0)),""))</f>
        <v/>
      </c>
      <c r="P277" s="7" t="str">
        <f t="shared" si="19"/>
        <v>Excluded at title/abstract</v>
      </c>
      <c r="Q277" s="6" t="str">
        <f t="shared" si="20"/>
        <v>Study design</v>
      </c>
      <c r="R277" s="4"/>
    </row>
    <row r="278" spans="1:18" x14ac:dyDescent="0.3">
      <c r="A278" s="4">
        <f>'[1]Abstract review'!C278</f>
        <v>274</v>
      </c>
      <c r="B278" s="4" t="str">
        <f>IFERROR(LEFT('[1]Abstract review'!D278,FIND(";",'[1]Abstract review'!D278)-1),'[1]Abstract review'!D278)</f>
        <v>M. Bonanomi</v>
      </c>
      <c r="C278" s="5" t="str">
        <f>'[1]Abstract review'!E278&amp;""</f>
        <v>2025</v>
      </c>
      <c r="D278" s="4" t="str">
        <f>'[1]Abstract review'!F278</f>
        <v>Serine-Driven Metabolic Plasticity Drives Adaptive Resilience in Pancreatic Cancer Cells</v>
      </c>
      <c r="E278" s="4" t="str">
        <f>IF('[1]Abstract review'!G278="","",'[1]Abstract review'!G278)</f>
        <v>10.3390/antiox14070833</v>
      </c>
      <c r="F278" s="4" t="str">
        <f>IF('[1]Abstract review'!I278="I","Include → full text",IF('[1]Abstract review'!I278="E","Exclude",IF('[1]Abstract review'!I278="DUP","Duplicate — removed",'[1]Abstract review'!I278)))</f>
        <v>Exclude</v>
      </c>
      <c r="G278" s="4" t="str">
        <f>IF('[1]Abstract review'!I278="E",'[1]Abstract review'!J278,"")</f>
        <v>Preclinical studies</v>
      </c>
      <c r="H278" s="4"/>
      <c r="I278" s="4"/>
      <c r="J278" s="4"/>
      <c r="K278" s="4"/>
      <c r="L278" s="6" t="str">
        <f t="shared" si="17"/>
        <v/>
      </c>
      <c r="M278" s="6" t="str">
        <f t="shared" si="18"/>
        <v/>
      </c>
      <c r="N278" s="6" t="str">
        <f>IF(L278="Include",IFERROR(INDEX('[1]Data extraction'!$AC$2:$AC$58,MATCH(H278+1,'[1]Data extraction'!$AA$2:$AA$58,0)),"not found"),"")</f>
        <v/>
      </c>
      <c r="O278" s="6" t="str">
        <f>IF(N278="","",IFERROR(INDEX('[1]Data extraction'!$L$2:$L$58,MATCH(N278,'[1]Data extraction'!$AC$2:$AC$58,0)),""))</f>
        <v/>
      </c>
      <c r="P278" s="7" t="str">
        <f t="shared" si="19"/>
        <v>Excluded at title/abstract</v>
      </c>
      <c r="Q278" s="6" t="str">
        <f t="shared" si="20"/>
        <v>Study design</v>
      </c>
      <c r="R278" s="4"/>
    </row>
    <row r="279" spans="1:18" x14ac:dyDescent="0.3">
      <c r="A279" s="4">
        <f>'[1]Abstract review'!C279</f>
        <v>275</v>
      </c>
      <c r="B279" s="4" t="str">
        <f>IFERROR(LEFT('[1]Abstract review'!D279,FIND(";",'[1]Abstract review'!D279)-1),'[1]Abstract review'!D279)</f>
        <v>L. Bolm</v>
      </c>
      <c r="C279" s="5" t="str">
        <f>'[1]Abstract review'!E279&amp;""</f>
        <v>2025</v>
      </c>
      <c r="D279" s="4" t="str">
        <f>'[1]Abstract review'!F279</f>
        <v>The PancreasView gemcitabine transcriptomic signature predicts response to gemcitabine in patients with resected pancreatic ductal adenocarcinoma</v>
      </c>
      <c r="E279" s="4" t="str">
        <f>IF('[1]Abstract review'!G279="","",'[1]Abstract review'!G279)</f>
        <v>10.1093/oncolo/oyaf083</v>
      </c>
      <c r="F279" s="4" t="str">
        <f>IF('[1]Abstract review'!I279="I","Include → full text",IF('[1]Abstract review'!I279="E","Exclude",IF('[1]Abstract review'!I279="DUP","Duplicate — removed",'[1]Abstract review'!I279)))</f>
        <v>Include → full text</v>
      </c>
      <c r="G279" s="4" t="str">
        <f>IF('[1]Abstract review'!I279="E",'[1]Abstract review'!J279,"")</f>
        <v/>
      </c>
      <c r="H279" s="4">
        <f>'[1]Full-text screening-extraction'!A123</f>
        <v>122</v>
      </c>
      <c r="I279" s="4" t="str">
        <f>IF('[1]Full-text screening-extraction'!AB123="","",'[1]Full-text screening-extraction'!AB123)</f>
        <v>no</v>
      </c>
      <c r="J279" s="4" t="str">
        <f>IF('[1]Full-text screening-extraction'!AC123="","",'[1]Full-text screening-extraction'!AC123)</f>
        <v>NA</v>
      </c>
      <c r="K279" s="4" t="str">
        <f>IF('[1]Full-text screening-extraction'!AG123="","",'[1]Full-text screening-extraction'!AG123)</f>
        <v/>
      </c>
      <c r="L279" s="6" t="str">
        <f t="shared" si="17"/>
        <v>Exclude</v>
      </c>
      <c r="M279" s="6" t="str">
        <f t="shared" si="18"/>
        <v>No adjusted multivariable model fitted</v>
      </c>
      <c r="N279" s="6" t="str">
        <f>IF(L279="Include",IFERROR(INDEX('[1]Data extraction'!$AC$2:$AC$58,MATCH(H279+1,'[1]Data extraction'!$AA$2:$AA$58,0)),"not found"),"")</f>
        <v/>
      </c>
      <c r="O279" s="6" t="str">
        <f>IF(N279="","",IFERROR(INDEX('[1]Data extraction'!$L$2:$L$58,MATCH(N279,'[1]Data extraction'!$AC$2:$AC$58,0)),""))</f>
        <v/>
      </c>
      <c r="P279" s="7" t="str">
        <f t="shared" si="19"/>
        <v>Excluded at full text</v>
      </c>
      <c r="Q279" s="6" t="str">
        <f t="shared" si="20"/>
        <v>Analysis &amp; synthesis eligibility</v>
      </c>
      <c r="R279" s="4" t="str">
        <f>IF(P279&lt;&gt;"INCLUDED","",'[1]Full-text screening-extraction'!M123&amp;" ("&amp;'[1]Full-text screening-extraction'!K123&amp;"); outcome: "&amp;'[1]Full-text screening-extraction'!P123&amp;"; multivariable: "&amp;LEFT('[1]Full-text screening-extraction'!T123,120)&amp;" | adjusted for: "&amp;LEFT('[1]Full-text screening-extraction'!U123,100))</f>
        <v/>
      </c>
    </row>
    <row r="280" spans="1:18" x14ac:dyDescent="0.3">
      <c r="A280" s="4">
        <f>'[1]Abstract review'!C280</f>
        <v>276</v>
      </c>
      <c r="B280" s="4" t="str">
        <f>IFERROR(LEFT('[1]Abstract review'!D280,FIND(";",'[1]Abstract review'!D280)-1),'[1]Abstract review'!D280)</f>
        <v>A. M. Bogdanski</v>
      </c>
      <c r="C280" s="5" t="str">
        <f>'[1]Abstract review'!E280&amp;""</f>
        <v>2025</v>
      </c>
      <c r="D280" s="4" t="str">
        <f>'[1]Abstract review'!F280</f>
        <v>Protein N-Glycosylation Traits Combined with CA19-9 Accurately Distinguish Pancreatic Cancer Cases From Healthy Controls and Benign Pancreatic Diseases</v>
      </c>
      <c r="E280" s="4" t="str">
        <f>IF('[1]Abstract review'!G280="","",'[1]Abstract review'!G280)</f>
        <v>10.1097/mpa.0000000000002517</v>
      </c>
      <c r="F280" s="4" t="str">
        <f>IF('[1]Abstract review'!I280="I","Include → full text",IF('[1]Abstract review'!I280="E","Exclude",IF('[1]Abstract review'!I280="DUP","Duplicate — removed",'[1]Abstract review'!I280)))</f>
        <v>Exclude</v>
      </c>
      <c r="G280" s="4" t="str">
        <f>IF('[1]Abstract review'!I280="E",'[1]Abstract review'!J280,"")</f>
        <v>Diagnostic value</v>
      </c>
      <c r="H280" s="4"/>
      <c r="I280" s="4"/>
      <c r="J280" s="4"/>
      <c r="K280" s="4"/>
      <c r="L280" s="6" t="str">
        <f t="shared" si="17"/>
        <v/>
      </c>
      <c r="M280" s="6" t="str">
        <f t="shared" si="18"/>
        <v/>
      </c>
      <c r="N280" s="6" t="str">
        <f>IF(L280="Include",IFERROR(INDEX('[1]Data extraction'!$AC$2:$AC$58,MATCH(H280+1,'[1]Data extraction'!$AA$2:$AA$58,0)),"not found"),"")</f>
        <v/>
      </c>
      <c r="O280" s="6" t="str">
        <f>IF(N280="","",IFERROR(INDEX('[1]Data extraction'!$L$2:$L$58,MATCH(N280,'[1]Data extraction'!$AC$2:$AC$58,0)),""))</f>
        <v/>
      </c>
      <c r="P280" s="7" t="str">
        <f t="shared" si="19"/>
        <v>Excluded at title/abstract</v>
      </c>
      <c r="Q280" s="6" t="str">
        <f t="shared" si="20"/>
        <v>Outcomes</v>
      </c>
      <c r="R280" s="4"/>
    </row>
    <row r="281" spans="1:18" x14ac:dyDescent="0.3">
      <c r="A281" s="4">
        <f>'[1]Abstract review'!C281</f>
        <v>277</v>
      </c>
      <c r="B281" s="4" t="str">
        <f>IFERROR(LEFT('[1]Abstract review'!D281,FIND(";",'[1]Abstract review'!D281)-1),'[1]Abstract review'!D281)</f>
        <v>B. J. Bhatt</v>
      </c>
      <c r="C281" s="5" t="str">
        <f>'[1]Abstract review'!E281&amp;""</f>
        <v>2025</v>
      </c>
      <c r="D281" s="4" t="str">
        <f>'[1]Abstract review'!F281</f>
        <v>Molecular subtypes of human skeletal muscle in cancer cachexia</v>
      </c>
      <c r="E281" s="4" t="str">
        <f>IF('[1]Abstract review'!G281="","",'[1]Abstract review'!G281)</f>
        <v>10.1038/s41586-025-09502-0</v>
      </c>
      <c r="F281" s="4" t="str">
        <f>IF('[1]Abstract review'!I281="I","Include → full text",IF('[1]Abstract review'!I281="E","Exclude",IF('[1]Abstract review'!I281="DUP","Duplicate — removed",'[1]Abstract review'!I281)))</f>
        <v>Exclude</v>
      </c>
      <c r="G281" s="4" t="str">
        <f>IF('[1]Abstract review'!I281="E",'[1]Abstract review'!J281,"")</f>
        <v>Not transcriptomic/proteomic biomarker expression</v>
      </c>
      <c r="H281" s="4"/>
      <c r="I281" s="4"/>
      <c r="J281" s="4"/>
      <c r="K281" s="4"/>
      <c r="L281" s="6" t="str">
        <f t="shared" si="17"/>
        <v/>
      </c>
      <c r="M281" s="6" t="str">
        <f t="shared" si="18"/>
        <v/>
      </c>
      <c r="N281" s="6" t="str">
        <f>IF(L281="Include",IFERROR(INDEX('[1]Data extraction'!$AC$2:$AC$58,MATCH(H281+1,'[1]Data extraction'!$AA$2:$AA$58,0)),"not found"),"")</f>
        <v/>
      </c>
      <c r="O281" s="6" t="str">
        <f>IF(N281="","",IFERROR(INDEX('[1]Data extraction'!$L$2:$L$58,MATCH(N281,'[1]Data extraction'!$AC$2:$AC$58,0)),""))</f>
        <v/>
      </c>
      <c r="P281" s="7" t="str">
        <f t="shared" si="19"/>
        <v>Excluded at title/abstract</v>
      </c>
      <c r="Q281" s="6" t="str">
        <f t="shared" si="20"/>
        <v>Biomarker modality &amp; sample type</v>
      </c>
      <c r="R281" s="4"/>
    </row>
    <row r="282" spans="1:18" x14ac:dyDescent="0.3">
      <c r="A282" s="4">
        <f>'[1]Abstract review'!C282</f>
        <v>278</v>
      </c>
      <c r="B282" s="4" t="str">
        <f>IFERROR(LEFT('[1]Abstract review'!D282,FIND(";",'[1]Abstract review'!D282)-1),'[1]Abstract review'!D282)</f>
        <v>A. Bengtsson</v>
      </c>
      <c r="C282" s="5" t="str">
        <f>'[1]Abstract review'!E282&amp;""</f>
        <v>2025</v>
      </c>
      <c r="D282" s="4" t="str">
        <f>'[1]Abstract review'!F282</f>
        <v>Biomarkers for Early Detection of Pancreatic Cancer</v>
      </c>
      <c r="E282" s="4" t="str">
        <f>IF('[1]Abstract review'!G282="","",'[1]Abstract review'!G282)</f>
        <v>10.1159/000546584</v>
      </c>
      <c r="F282" s="4" t="str">
        <f>IF('[1]Abstract review'!I282="I","Include → full text",IF('[1]Abstract review'!I282="E","Exclude",IF('[1]Abstract review'!I282="DUP","Duplicate — removed",'[1]Abstract review'!I282)))</f>
        <v>Exclude</v>
      </c>
      <c r="G282" s="4" t="str">
        <f>IF('[1]Abstract review'!I282="E",'[1]Abstract review'!J282,"")</f>
        <v>Review</v>
      </c>
      <c r="H282" s="4"/>
      <c r="I282" s="4"/>
      <c r="J282" s="4"/>
      <c r="K282" s="4"/>
      <c r="L282" s="6" t="str">
        <f t="shared" si="17"/>
        <v/>
      </c>
      <c r="M282" s="6" t="str">
        <f t="shared" si="18"/>
        <v/>
      </c>
      <c r="N282" s="6" t="str">
        <f>IF(L282="Include",IFERROR(INDEX('[1]Data extraction'!$AC$2:$AC$58,MATCH(H282+1,'[1]Data extraction'!$AA$2:$AA$58,0)),"not found"),"")</f>
        <v/>
      </c>
      <c r="O282" s="6" t="str">
        <f>IF(N282="","",IFERROR(INDEX('[1]Data extraction'!$L$2:$L$58,MATCH(N282,'[1]Data extraction'!$AC$2:$AC$58,0)),""))</f>
        <v/>
      </c>
      <c r="P282" s="7" t="str">
        <f t="shared" si="19"/>
        <v>Excluded at title/abstract</v>
      </c>
      <c r="Q282" s="6" t="str">
        <f t="shared" si="20"/>
        <v>Study design</v>
      </c>
      <c r="R282" s="4"/>
    </row>
    <row r="283" spans="1:18" x14ac:dyDescent="0.3">
      <c r="A283" s="4">
        <f>'[1]Abstract review'!C283</f>
        <v>279</v>
      </c>
      <c r="B283" s="4" t="str">
        <f>IFERROR(LEFT('[1]Abstract review'!D283,FIND(";",'[1]Abstract review'!D283)-1),'[1]Abstract review'!D283)</f>
        <v>Alexander T. F. Bell</v>
      </c>
      <c r="C283" s="5" t="str">
        <f>'[1]Abstract review'!E283&amp;""</f>
        <v>2025</v>
      </c>
      <c r="D283" s="4" t="str">
        <f>'[1]Abstract review'!F283</f>
        <v>Spatial profiling of human pancreatic ductal adenocarcinoma reveals molecular alterations associated with venous invasion</v>
      </c>
      <c r="E283" s="4" t="str">
        <f>IF('[1]Abstract review'!G283="","",'[1]Abstract review'!G283)</f>
        <v>10.1126/scitranslmed.ady7524</v>
      </c>
      <c r="F283" s="4" t="str">
        <f>IF('[1]Abstract review'!I283="I","Include → full text",IF('[1]Abstract review'!I283="E","Exclude",IF('[1]Abstract review'!I283="DUP","Duplicate — removed",'[1]Abstract review'!I283)))</f>
        <v>Exclude</v>
      </c>
      <c r="G283" s="4" t="str">
        <f>IF('[1]Abstract review'!I283="E",'[1]Abstract review'!J283,"")</f>
        <v>No survival outcome</v>
      </c>
      <c r="H283" s="4"/>
      <c r="I283" s="4"/>
      <c r="J283" s="4"/>
      <c r="K283" s="4"/>
      <c r="L283" s="6" t="str">
        <f t="shared" si="17"/>
        <v/>
      </c>
      <c r="M283" s="6" t="str">
        <f t="shared" si="18"/>
        <v/>
      </c>
      <c r="N283" s="6" t="str">
        <f>IF(L283="Include",IFERROR(INDEX('[1]Data extraction'!$AC$2:$AC$58,MATCH(H283+1,'[1]Data extraction'!$AA$2:$AA$58,0)),"not found"),"")</f>
        <v/>
      </c>
      <c r="O283" s="6" t="str">
        <f>IF(N283="","",IFERROR(INDEX('[1]Data extraction'!$L$2:$L$58,MATCH(N283,'[1]Data extraction'!$AC$2:$AC$58,0)),""))</f>
        <v/>
      </c>
      <c r="P283" s="7" t="str">
        <f t="shared" si="19"/>
        <v>Excluded at title/abstract</v>
      </c>
      <c r="Q283" s="6" t="str">
        <f t="shared" si="20"/>
        <v>Outcomes</v>
      </c>
      <c r="R283" s="4"/>
    </row>
    <row r="284" spans="1:18" x14ac:dyDescent="0.3">
      <c r="A284" s="4">
        <f>'[1]Abstract review'!C284</f>
        <v>280</v>
      </c>
      <c r="B284" s="4" t="str">
        <f>IFERROR(LEFT('[1]Abstract review'!D284,FIND(";",'[1]Abstract review'!D284)-1),'[1]Abstract review'!D284)</f>
        <v>A. Bararia</v>
      </c>
      <c r="C284" s="5" t="str">
        <f>'[1]Abstract review'!E284&amp;""</f>
        <v>2025</v>
      </c>
      <c r="D284" s="4" t="str">
        <f>'[1]Abstract review'!F284</f>
        <v>A multi-phase approach using supervised algorithms and clinical models to generate high-accuracy signatures for pancreatic cancer</v>
      </c>
      <c r="E284" s="4" t="str">
        <f>IF('[1]Abstract review'!G284="","",'[1]Abstract review'!G284)</f>
        <v>10.1016/j.compbiomed.2025.110559</v>
      </c>
      <c r="F284" s="4" t="str">
        <f>IF('[1]Abstract review'!I284="I","Include → full text",IF('[1]Abstract review'!I284="E","Exclude",IF('[1]Abstract review'!I284="DUP","Duplicate — removed",'[1]Abstract review'!I284)))</f>
        <v>Include → full text</v>
      </c>
      <c r="G284" s="4" t="str">
        <f>IF('[1]Abstract review'!I284="E",'[1]Abstract review'!J284,"")</f>
        <v/>
      </c>
      <c r="H284" s="4">
        <f>'[1]Full-text screening-extraction'!A124</f>
        <v>123</v>
      </c>
      <c r="I284" s="4" t="str">
        <f>IF('[1]Full-text screening-extraction'!AB124="","",'[1]Full-text screening-extraction'!AB124)</f>
        <v>no</v>
      </c>
      <c r="J284" s="4" t="str">
        <f>IF('[1]Full-text screening-extraction'!AC124="","",'[1]Full-text screening-extraction'!AC124)</f>
        <v>NA</v>
      </c>
      <c r="K284" s="4" t="str">
        <f>IF('[1]Full-text screening-extraction'!AG124="","",'[1]Full-text screening-extraction'!AG124)</f>
        <v/>
      </c>
      <c r="L284" s="6" t="str">
        <f t="shared" si="17"/>
        <v>Exclude</v>
      </c>
      <c r="M284" s="6" t="str">
        <f t="shared" si="18"/>
        <v>No adjusted multivariable model fitted</v>
      </c>
      <c r="N284" s="6" t="str">
        <f>IF(L284="Include",IFERROR(INDEX('[1]Data extraction'!$AC$2:$AC$58,MATCH(H284+1,'[1]Data extraction'!$AA$2:$AA$58,0)),"not found"),"")</f>
        <v/>
      </c>
      <c r="O284" s="6" t="str">
        <f>IF(N284="","",IFERROR(INDEX('[1]Data extraction'!$L$2:$L$58,MATCH(N284,'[1]Data extraction'!$AC$2:$AC$58,0)),""))</f>
        <v/>
      </c>
      <c r="P284" s="7" t="str">
        <f t="shared" si="19"/>
        <v>Excluded at full text</v>
      </c>
      <c r="Q284" s="6" t="str">
        <f t="shared" si="20"/>
        <v>Analysis &amp; synthesis eligibility</v>
      </c>
      <c r="R284" s="4" t="str">
        <f>IF(P284&lt;&gt;"INCLUDED","",'[1]Full-text screening-extraction'!M124&amp;" ("&amp;'[1]Full-text screening-extraction'!K124&amp;"); outcome: "&amp;'[1]Full-text screening-extraction'!P124&amp;"; multivariable: "&amp;LEFT('[1]Full-text screening-extraction'!T124,120)&amp;" | adjusted for: "&amp;LEFT('[1]Full-text screening-extraction'!U124,100))</f>
        <v/>
      </c>
    </row>
    <row r="285" spans="1:18" x14ac:dyDescent="0.3">
      <c r="A285" s="4">
        <f>'[1]Abstract review'!C285</f>
        <v>281</v>
      </c>
      <c r="B285" s="4" t="str">
        <f>IFERROR(LEFT('[1]Abstract review'!D285,FIND(";",'[1]Abstract review'!D285)-1),'[1]Abstract review'!D285)</f>
        <v>R. Ballarò</v>
      </c>
      <c r="C285" s="5" t="str">
        <f>'[1]Abstract review'!E285&amp;""</f>
        <v>2025</v>
      </c>
      <c r="D285" s="4" t="str">
        <f>'[1]Abstract review'!F285</f>
        <v>Elevated levels of circulating microbial-associated uremic toxins are associated with metastatic duodenopancreatic neuroendocrine tumors in patients with Multiple Endocrine Neoplasia Type 1</v>
      </c>
      <c r="E285" s="4" t="str">
        <f>IF('[1]Abstract review'!G285="","",'[1]Abstract review'!G285)</f>
        <v>10.1016/j.canlet.2025.217537</v>
      </c>
      <c r="F285" s="4" t="str">
        <f>IF('[1]Abstract review'!I285="I","Include → full text",IF('[1]Abstract review'!I285="E","Exclude",IF('[1]Abstract review'!I285="DUP","Duplicate — removed",'[1]Abstract review'!I285)))</f>
        <v>Exclude</v>
      </c>
      <c r="G285" s="4" t="str">
        <f>IF('[1]Abstract review'!I285="E",'[1]Abstract review'!J285,"")</f>
        <v>no pdac</v>
      </c>
      <c r="H285" s="4"/>
      <c r="I285" s="4"/>
      <c r="J285" s="4"/>
      <c r="K285" s="4"/>
      <c r="L285" s="6" t="str">
        <f t="shared" si="17"/>
        <v/>
      </c>
      <c r="M285" s="6" t="str">
        <f t="shared" si="18"/>
        <v/>
      </c>
      <c r="N285" s="6" t="str">
        <f>IF(L285="Include",IFERROR(INDEX('[1]Data extraction'!$AC$2:$AC$58,MATCH(H285+1,'[1]Data extraction'!$AA$2:$AA$58,0)),"not found"),"")</f>
        <v/>
      </c>
      <c r="O285" s="6" t="str">
        <f>IF(N285="","",IFERROR(INDEX('[1]Data extraction'!$L$2:$L$58,MATCH(N285,'[1]Data extraction'!$AC$2:$AC$58,0)),""))</f>
        <v/>
      </c>
      <c r="P285" s="7" t="str">
        <f t="shared" si="19"/>
        <v>Excluded at title/abstract</v>
      </c>
      <c r="Q285" s="6" t="str">
        <f t="shared" si="20"/>
        <v>Population</v>
      </c>
      <c r="R285" s="4"/>
    </row>
    <row r="286" spans="1:18" x14ac:dyDescent="0.3">
      <c r="A286" s="4">
        <f>'[1]Abstract review'!C286</f>
        <v>282</v>
      </c>
      <c r="B286" s="4" t="str">
        <f>IFERROR(LEFT('[1]Abstract review'!D286,FIND(";",'[1]Abstract review'!D286)-1),'[1]Abstract review'!D286)</f>
        <v>D. Bakırdöğen</v>
      </c>
      <c r="C286" s="5" t="str">
        <f>'[1]Abstract review'!E286&amp;""</f>
        <v>2025</v>
      </c>
      <c r="D286" s="4" t="str">
        <f>'[1]Abstract review'!F286</f>
        <v>c-Rel drives pancreatic cancer metastasis through fibronectin-integrin signaling-induced isolation stress resistance and EMT</v>
      </c>
      <c r="E286" s="4" t="str">
        <f>IF('[1]Abstract review'!G286="","",'[1]Abstract review'!G286)</f>
        <v>10.1186/s12943-025-02486-5</v>
      </c>
      <c r="F286" s="4" t="str">
        <f>IF('[1]Abstract review'!I286="I","Include → full text",IF('[1]Abstract review'!I286="E","Exclude",IF('[1]Abstract review'!I286="DUP","Duplicate — removed",'[1]Abstract review'!I286)))</f>
        <v>Exclude</v>
      </c>
      <c r="G286" s="4" t="str">
        <f>IF('[1]Abstract review'!I286="E",'[1]Abstract review'!J286,"")</f>
        <v>Preclinical studies</v>
      </c>
      <c r="H286" s="4"/>
      <c r="I286" s="4"/>
      <c r="J286" s="4"/>
      <c r="K286" s="4"/>
      <c r="L286" s="6" t="str">
        <f t="shared" si="17"/>
        <v/>
      </c>
      <c r="M286" s="6" t="str">
        <f t="shared" si="18"/>
        <v/>
      </c>
      <c r="N286" s="6" t="str">
        <f>IF(L286="Include",IFERROR(INDEX('[1]Data extraction'!$AC$2:$AC$58,MATCH(H286+1,'[1]Data extraction'!$AA$2:$AA$58,0)),"not found"),"")</f>
        <v/>
      </c>
      <c r="O286" s="6" t="str">
        <f>IF(N286="","",IFERROR(INDEX('[1]Data extraction'!$L$2:$L$58,MATCH(N286,'[1]Data extraction'!$AC$2:$AC$58,0)),""))</f>
        <v/>
      </c>
      <c r="P286" s="7" t="str">
        <f t="shared" si="19"/>
        <v>Excluded at title/abstract</v>
      </c>
      <c r="Q286" s="6" t="str">
        <f t="shared" si="20"/>
        <v>Study design</v>
      </c>
      <c r="R286" s="4"/>
    </row>
    <row r="287" spans="1:18" x14ac:dyDescent="0.3">
      <c r="A287" s="4">
        <f>'[1]Abstract review'!C287</f>
        <v>283</v>
      </c>
      <c r="B287" s="4" t="str">
        <f>IFERROR(LEFT('[1]Abstract review'!D287,FIND(";",'[1]Abstract review'!D287)-1),'[1]Abstract review'!D287)</f>
        <v>Prachi Bajpai</v>
      </c>
      <c r="C287" s="5" t="str">
        <f>'[1]Abstract review'!E287&amp;""</f>
        <v>2025</v>
      </c>
      <c r="D287" s="4" t="str">
        <f>'[1]Abstract review'!F287</f>
        <v>Differential gene expression profiles of pancreatic ductal adenocarcinomas among African American and Caucasian American patients</v>
      </c>
      <c r="E287" s="4" t="str">
        <f>IF('[1]Abstract review'!G287="","",'[1]Abstract review'!G287)</f>
        <v>10.1016/j.tranon.2025.102466</v>
      </c>
      <c r="F287" s="4" t="str">
        <f>IF('[1]Abstract review'!I287="I","Include → full text",IF('[1]Abstract review'!I287="E","Exclude",IF('[1]Abstract review'!I287="DUP","Duplicate — removed",'[1]Abstract review'!I287)))</f>
        <v>Include → full text</v>
      </c>
      <c r="G287" s="4" t="str">
        <f>IF('[1]Abstract review'!I287="E",'[1]Abstract review'!J287,"")</f>
        <v/>
      </c>
      <c r="H287" s="4">
        <f>'[1]Full-text screening-extraction'!A125</f>
        <v>124</v>
      </c>
      <c r="I287" s="4" t="str">
        <f>IF('[1]Full-text screening-extraction'!AB125="","",'[1]Full-text screening-extraction'!AB125)</f>
        <v>no</v>
      </c>
      <c r="J287" s="4" t="str">
        <f>IF('[1]Full-text screening-extraction'!AC125="","",'[1]Full-text screening-extraction'!AC125)</f>
        <v>NA</v>
      </c>
      <c r="K287" s="4" t="str">
        <f>IF('[1]Full-text screening-extraction'!AG125="","",'[1]Full-text screening-extraction'!AG125)</f>
        <v/>
      </c>
      <c r="L287" s="6" t="str">
        <f t="shared" si="17"/>
        <v>Exclude</v>
      </c>
      <c r="M287" s="6" t="str">
        <f t="shared" si="18"/>
        <v>No adjusted multivariable model fitted</v>
      </c>
      <c r="N287" s="6" t="str">
        <f>IF(L287="Include",IFERROR(INDEX('[1]Data extraction'!$AC$2:$AC$58,MATCH(H287+1,'[1]Data extraction'!$AA$2:$AA$58,0)),"not found"),"")</f>
        <v/>
      </c>
      <c r="O287" s="6" t="str">
        <f>IF(N287="","",IFERROR(INDEX('[1]Data extraction'!$L$2:$L$58,MATCH(N287,'[1]Data extraction'!$AC$2:$AC$58,0)),""))</f>
        <v/>
      </c>
      <c r="P287" s="7" t="str">
        <f t="shared" si="19"/>
        <v>Excluded at full text</v>
      </c>
      <c r="Q287" s="6" t="str">
        <f t="shared" si="20"/>
        <v>Analysis &amp; synthesis eligibility</v>
      </c>
      <c r="R287" s="4" t="str">
        <f>IF(P287&lt;&gt;"INCLUDED","",'[1]Full-text screening-extraction'!M125&amp;" ("&amp;'[1]Full-text screening-extraction'!K125&amp;"); outcome: "&amp;'[1]Full-text screening-extraction'!P125&amp;"; multivariable: "&amp;LEFT('[1]Full-text screening-extraction'!T125,120)&amp;" | adjusted for: "&amp;LEFT('[1]Full-text screening-extraction'!U125,100))</f>
        <v/>
      </c>
    </row>
    <row r="288" spans="1:18" x14ac:dyDescent="0.3">
      <c r="A288" s="4">
        <f>'[1]Abstract review'!C288</f>
        <v>284</v>
      </c>
      <c r="B288" s="4" t="str">
        <f>IFERROR(LEFT('[1]Abstract review'!D288,FIND(";",'[1]Abstract review'!D288)-1),'[1]Abstract review'!D288)</f>
        <v>M. A. Aznar</v>
      </c>
      <c r="C288" s="5" t="str">
        <f>'[1]Abstract review'!E288&amp;""</f>
        <v>2025</v>
      </c>
      <c r="D288" s="4" t="str">
        <f>'[1]Abstract review'!F288</f>
        <v>Clinical and molecular dissection of CAR T cell resistance in pancreatic cancer</v>
      </c>
      <c r="E288" s="4" t="str">
        <f>IF('[1]Abstract review'!G288="","",'[1]Abstract review'!G288)</f>
        <v>10.1016/j.xcrm.2025.102301</v>
      </c>
      <c r="F288" s="4" t="str">
        <f>IF('[1]Abstract review'!I288="I","Include → full text",IF('[1]Abstract review'!I288="E","Exclude",IF('[1]Abstract review'!I288="DUP","Duplicate — removed",'[1]Abstract review'!I288)))</f>
        <v>Exclude</v>
      </c>
      <c r="G288" s="4" t="str">
        <f>IF('[1]Abstract review'!I288="E",'[1]Abstract review'!J288,"")</f>
        <v>Preclinical studies</v>
      </c>
      <c r="H288" s="4"/>
      <c r="I288" s="4"/>
      <c r="J288" s="4"/>
      <c r="K288" s="4"/>
      <c r="L288" s="6" t="str">
        <f t="shared" si="17"/>
        <v/>
      </c>
      <c r="M288" s="6" t="str">
        <f t="shared" si="18"/>
        <v/>
      </c>
      <c r="N288" s="6" t="str">
        <f>IF(L288="Include",IFERROR(INDEX('[1]Data extraction'!$AC$2:$AC$58,MATCH(H288+1,'[1]Data extraction'!$AA$2:$AA$58,0)),"not found"),"")</f>
        <v/>
      </c>
      <c r="O288" s="6" t="str">
        <f>IF(N288="","",IFERROR(INDEX('[1]Data extraction'!$L$2:$L$58,MATCH(N288,'[1]Data extraction'!$AC$2:$AC$58,0)),""))</f>
        <v/>
      </c>
      <c r="P288" s="7" t="str">
        <f t="shared" si="19"/>
        <v>Excluded at title/abstract</v>
      </c>
      <c r="Q288" s="6" t="str">
        <f t="shared" si="20"/>
        <v>Study design</v>
      </c>
      <c r="R288" s="4"/>
    </row>
    <row r="289" spans="1:18" x14ac:dyDescent="0.3">
      <c r="A289" s="4">
        <f>'[1]Abstract review'!C289</f>
        <v>285</v>
      </c>
      <c r="B289" s="4" t="str">
        <f>IFERROR(LEFT('[1]Abstract review'!D289,FIND(";",'[1]Abstract review'!D289)-1),'[1]Abstract review'!D289)</f>
        <v>B. Aydin</v>
      </c>
      <c r="C289" s="5" t="str">
        <f>'[1]Abstract review'!E289&amp;""</f>
        <v>2025</v>
      </c>
      <c r="D289" s="4" t="str">
        <f>'[1]Abstract review'!F289</f>
        <v>The Construction of ceRNA Regulatory Network Unraveled Prognostic Biomarkers and Repositioned Drug Candidates for the Management of Pancreatic Ductal Adenocarcinoma</v>
      </c>
      <c r="E289" s="4" t="str">
        <f>IF('[1]Abstract review'!G289="","",'[1]Abstract review'!G289)</f>
        <v>10.3390/cimb47070496</v>
      </c>
      <c r="F289" s="4" t="str">
        <f>IF('[1]Abstract review'!I289="I","Include → full text",IF('[1]Abstract review'!I289="E","Exclude",IF('[1]Abstract review'!I289="DUP","Duplicate — removed",'[1]Abstract review'!I289)))</f>
        <v>Include → full text</v>
      </c>
      <c r="G289" s="4" t="str">
        <f>IF('[1]Abstract review'!I289="E",'[1]Abstract review'!J289,"")</f>
        <v/>
      </c>
      <c r="H289" s="4">
        <f>'[1]Full-text screening-extraction'!A126</f>
        <v>125</v>
      </c>
      <c r="I289" s="4" t="str">
        <f>IF('[1]Full-text screening-extraction'!AB126="","",'[1]Full-text screening-extraction'!AB126)</f>
        <v>no</v>
      </c>
      <c r="J289" s="4" t="str">
        <f>IF('[1]Full-text screening-extraction'!AC126="","",'[1]Full-text screening-extraction'!AC126)</f>
        <v>NA</v>
      </c>
      <c r="K289" s="4" t="str">
        <f>IF('[1]Full-text screening-extraction'!AG126="","",'[1]Full-text screening-extraction'!AG126)</f>
        <v/>
      </c>
      <c r="L289" s="6" t="str">
        <f t="shared" si="17"/>
        <v>Exclude</v>
      </c>
      <c r="M289" s="6" t="str">
        <f t="shared" si="18"/>
        <v>No adjusted multivariable model fitted</v>
      </c>
      <c r="N289" s="6" t="str">
        <f>IF(L289="Include",IFERROR(INDEX('[1]Data extraction'!$AC$2:$AC$58,MATCH(H289+1,'[1]Data extraction'!$AA$2:$AA$58,0)),"not found"),"")</f>
        <v/>
      </c>
      <c r="O289" s="6" t="str">
        <f>IF(N289="","",IFERROR(INDEX('[1]Data extraction'!$L$2:$L$58,MATCH(N289,'[1]Data extraction'!$AC$2:$AC$58,0)),""))</f>
        <v/>
      </c>
      <c r="P289" s="7" t="str">
        <f t="shared" si="19"/>
        <v>Excluded at full text</v>
      </c>
      <c r="Q289" s="6" t="str">
        <f t="shared" si="20"/>
        <v>Analysis &amp; synthesis eligibility</v>
      </c>
      <c r="R289" s="4" t="str">
        <f>IF(P289&lt;&gt;"INCLUDED","",'[1]Full-text screening-extraction'!M126&amp;" ("&amp;'[1]Full-text screening-extraction'!K126&amp;"); outcome: "&amp;'[1]Full-text screening-extraction'!P126&amp;"; multivariable: "&amp;LEFT('[1]Full-text screening-extraction'!T126,120)&amp;" | adjusted for: "&amp;LEFT('[1]Full-text screening-extraction'!U126,100))</f>
        <v/>
      </c>
    </row>
    <row r="290" spans="1:18" x14ac:dyDescent="0.3">
      <c r="A290" s="4">
        <f>'[1]Abstract review'!C290</f>
        <v>286</v>
      </c>
      <c r="B290" s="4" t="str">
        <f>IFERROR(LEFT('[1]Abstract review'!D290,FIND(";",'[1]Abstract review'!D290)-1),'[1]Abstract review'!D290)</f>
        <v>Zarlish Attique</v>
      </c>
      <c r="C290" s="5" t="str">
        <f>'[1]Abstract review'!E290&amp;""</f>
        <v>2025</v>
      </c>
      <c r="D290" s="4" t="str">
        <f>'[1]Abstract review'!F290</f>
        <v>Integrative Multiomic and Deep Learning Profiling of KRAS Mutant and Wildtype Genomes in Pancreatic Tumorigenesis</v>
      </c>
      <c r="E290" s="4" t="str">
        <f>IF('[1]Abstract review'!G290="","",'[1]Abstract review'!G290)</f>
        <v>10.21203/rs.3.rs-7335783/v1</v>
      </c>
      <c r="F290" s="4" t="str">
        <f>IF('[1]Abstract review'!I290="I","Include → full text",IF('[1]Abstract review'!I290="E","Exclude",IF('[1]Abstract review'!I290="DUP","Duplicate — removed",'[1]Abstract review'!I290)))</f>
        <v>Exclude</v>
      </c>
      <c r="G290" s="4" t="str">
        <f>IF('[1]Abstract review'!I290="E",'[1]Abstract review'!J290,"")</f>
        <v>Preprint (not peer-reviewed)</v>
      </c>
      <c r="H290" s="4"/>
      <c r="I290" s="4"/>
      <c r="J290" s="4"/>
      <c r="K290" s="4"/>
      <c r="L290" s="6" t="str">
        <f t="shared" si="17"/>
        <v/>
      </c>
      <c r="M290" s="6" t="str">
        <f t="shared" si="18"/>
        <v/>
      </c>
      <c r="N290" s="6" t="str">
        <f>IF(L290="Include",IFERROR(INDEX('[1]Data extraction'!$AC$2:$AC$58,MATCH(H290+1,'[1]Data extraction'!$AA$2:$AA$58,0)),"not found"),"")</f>
        <v/>
      </c>
      <c r="O290" s="6" t="str">
        <f>IF(N290="","",IFERROR(INDEX('[1]Data extraction'!$L$2:$L$58,MATCH(N290,'[1]Data extraction'!$AC$2:$AC$58,0)),""))</f>
        <v/>
      </c>
      <c r="P290" s="7" t="str">
        <f t="shared" si="19"/>
        <v>Excluded at title/abstract</v>
      </c>
      <c r="Q290" s="6" t="str">
        <f t="shared" si="20"/>
        <v>Study design</v>
      </c>
      <c r="R290" s="4"/>
    </row>
    <row r="291" spans="1:18" x14ac:dyDescent="0.3">
      <c r="A291" s="4">
        <f>'[1]Abstract review'!C291</f>
        <v>287</v>
      </c>
      <c r="B291" s="4" t="str">
        <f>IFERROR(LEFT('[1]Abstract review'!D291,FIND(";",'[1]Abstract review'!D291)-1),'[1]Abstract review'!D291)</f>
        <v>A. T. Aref</v>
      </c>
      <c r="C291" s="5" t="str">
        <f>'[1]Abstract review'!E291&amp;""</f>
        <v>2025</v>
      </c>
      <c r="D291" s="4" t="str">
        <f>'[1]Abstract review'!F291</f>
        <v>Mapping the Proteomic Landscape of Pancreatic Cancer: Prognostic Insights and Subtype Stratification</v>
      </c>
      <c r="E291" s="4" t="str">
        <f>IF('[1]Abstract review'!G291="","",'[1]Abstract review'!G291)</f>
        <v>10.1158/2767-9764.Crc-25-0229</v>
      </c>
      <c r="F291" s="4" t="str">
        <f>IF('[1]Abstract review'!I291="I","Include → full text",IF('[1]Abstract review'!I291="E","Exclude",IF('[1]Abstract review'!I291="DUP","Duplicate — removed",'[1]Abstract review'!I291)))</f>
        <v>Include → full text</v>
      </c>
      <c r="G291" s="4" t="str">
        <f>IF('[1]Abstract review'!I291="E",'[1]Abstract review'!J291,"")</f>
        <v/>
      </c>
      <c r="H291" s="4">
        <f>'[1]Full-text screening-extraction'!A127</f>
        <v>126</v>
      </c>
      <c r="I291" s="4" t="str">
        <f>IF('[1]Full-text screening-extraction'!AB127="","",'[1]Full-text screening-extraction'!AB127)</f>
        <v>yes</v>
      </c>
      <c r="J291" s="4" t="str">
        <f>IF('[1]Full-text screening-extraction'!AC127="","",'[1]Full-text screening-extraction'!AC127)</f>
        <v>yes</v>
      </c>
      <c r="K291" s="4" t="str">
        <f>IF('[1]Full-text screening-extraction'!AG127="","",'[1]Full-text screening-extraction'!AG127)</f>
        <v/>
      </c>
      <c r="L291" s="6" t="str">
        <f t="shared" si="17"/>
        <v>Include</v>
      </c>
      <c r="M291" s="6" t="str">
        <f t="shared" si="18"/>
        <v/>
      </c>
      <c r="N291" s="6" t="str">
        <f>IF(L291="Include",IFERROR(INDEX('[1]Data extraction'!$AC$2:$AC$58,MATCH(H291+1,'[1]Data extraction'!$AA$2:$AA$58,0)),"not found"),"")</f>
        <v>EV-62</v>
      </c>
      <c r="O291" s="6" t="str">
        <f>IF(N291="","",IFERROR(INDEX('[1]Data extraction'!$L$2:$L$58,MATCH(N291,'[1]Data extraction'!$AC$2:$AC$58,0)),""))</f>
        <v>A</v>
      </c>
      <c r="P291" s="7" t="str">
        <f t="shared" si="19"/>
        <v>INCLUDED</v>
      </c>
      <c r="Q291" s="6" t="str">
        <f t="shared" si="20"/>
        <v>All PICOS rows + Independent prognostic value</v>
      </c>
      <c r="R291" s="4" t="str">
        <f>IF(P291&lt;&gt;"INCLUDED","",'[1]Full-text screening-extraction'!M127&amp;" ("&amp;'[1]Full-text screening-extraction'!K127&amp;"); outcome: "&amp;'[1]Full-text screening-extraction'!P127&amp;"; multivariable: "&amp;LEFT('[1]Full-text screening-extraction'!T127,120)&amp;" | adjusted for: "&amp;LEFT('[1]Full-text screening-extraction'!U127,100))</f>
        <v>20-protein diagnostic panel; four proteomic prognostic subtypes; 18-protein prognostic risk score (PURB, SDCBP2, CD2BP2, GALM, SERPINA3, OAS3, FAN1, ZPR1, KRT2, NUDT2, SMNDC1, SERPINA4, CUTA, WDR36, POSTN, CLEC11A, PEX14, PI4KA) (Proteomics); outcome: Overall survival (OS); multivariable: 18-protein risk score retained significance in multivariable Cox models and improved concordance index from 0.66 to 0.85 | adjusted for: Clinical prognostic variables included age, stage, grade, histology, margin, recurrence-related feat</v>
      </c>
    </row>
    <row r="292" spans="1:18" x14ac:dyDescent="0.3">
      <c r="A292" s="4">
        <f>'[1]Abstract review'!C292</f>
        <v>288</v>
      </c>
      <c r="B292" s="4" t="str">
        <f>IFERROR(LEFT('[1]Abstract review'!D292,FIND(";",'[1]Abstract review'!D292)-1),'[1]Abstract review'!D292)</f>
        <v>P. An</v>
      </c>
      <c r="C292" s="5" t="str">
        <f>'[1]Abstract review'!E292&amp;""</f>
        <v>2025</v>
      </c>
      <c r="D292" s="4" t="str">
        <f>'[1]Abstract review'!F292</f>
        <v>Identifying and validating PLAU as a potential prognostic biomarker for PDAC</v>
      </c>
      <c r="E292" s="4" t="str">
        <f>IF('[1]Abstract review'!G292="","",'[1]Abstract review'!G292)</f>
        <v>10.1038/s41598-025-97629-5</v>
      </c>
      <c r="F292" s="4" t="str">
        <f>IF('[1]Abstract review'!I292="I","Include → full text",IF('[1]Abstract review'!I292="E","Exclude",IF('[1]Abstract review'!I292="DUP","Duplicate — removed",'[1]Abstract review'!I292)))</f>
        <v>Include → full text</v>
      </c>
      <c r="G292" s="4" t="str">
        <f>IF('[1]Abstract review'!I292="E",'[1]Abstract review'!J292,"")</f>
        <v/>
      </c>
      <c r="H292" s="4">
        <f>'[1]Full-text screening-extraction'!A128</f>
        <v>127</v>
      </c>
      <c r="I292" s="4" t="str">
        <f>IF('[1]Full-text screening-extraction'!AB128="","",'[1]Full-text screening-extraction'!AB128)</f>
        <v>no</v>
      </c>
      <c r="J292" s="4" t="str">
        <f>IF('[1]Full-text screening-extraction'!AC128="","",'[1]Full-text screening-extraction'!AC128)</f>
        <v>NA</v>
      </c>
      <c r="K292" s="4" t="str">
        <f>IF('[1]Full-text screening-extraction'!AG128="","",'[1]Full-text screening-extraction'!AG128)</f>
        <v/>
      </c>
      <c r="L292" s="6" t="str">
        <f t="shared" si="17"/>
        <v>Exclude</v>
      </c>
      <c r="M292" s="6" t="str">
        <f t="shared" si="18"/>
        <v>No adjusted multivariable model fitted</v>
      </c>
      <c r="N292" s="6" t="str">
        <f>IF(L292="Include",IFERROR(INDEX('[1]Data extraction'!$AC$2:$AC$58,MATCH(H292+1,'[1]Data extraction'!$AA$2:$AA$58,0)),"not found"),"")</f>
        <v/>
      </c>
      <c r="O292" s="6" t="str">
        <f>IF(N292="","",IFERROR(INDEX('[1]Data extraction'!$L$2:$L$58,MATCH(N292,'[1]Data extraction'!$AC$2:$AC$58,0)),""))</f>
        <v/>
      </c>
      <c r="P292" s="7" t="str">
        <f t="shared" si="19"/>
        <v>Excluded at full text</v>
      </c>
      <c r="Q292" s="6" t="str">
        <f t="shared" si="20"/>
        <v>Analysis &amp; synthesis eligibility</v>
      </c>
      <c r="R292" s="4" t="str">
        <f>IF(P292&lt;&gt;"INCLUDED","",'[1]Full-text screening-extraction'!M128&amp;" ("&amp;'[1]Full-text screening-extraction'!K128&amp;"); outcome: "&amp;'[1]Full-text screening-extraction'!P128&amp;"; multivariable: "&amp;LEFT('[1]Full-text screening-extraction'!T128,120)&amp;" | adjusted for: "&amp;LEFT('[1]Full-text screening-extraction'!U128,100))</f>
        <v/>
      </c>
    </row>
    <row r="293" spans="1:18" x14ac:dyDescent="0.3">
      <c r="A293" s="4">
        <f>'[1]Abstract review'!C293</f>
        <v>289</v>
      </c>
      <c r="B293" s="4" t="str">
        <f>IFERROR(LEFT('[1]Abstract review'!D293,FIND(";",'[1]Abstract review'!D293)-1),'[1]Abstract review'!D293)</f>
        <v>G. K. Acquaah-Mensah</v>
      </c>
      <c r="C293" s="5" t="str">
        <f>'[1]Abstract review'!E293&amp;""</f>
        <v>2025</v>
      </c>
      <c r="D293" s="4" t="str">
        <f>'[1]Abstract review'!F293</f>
        <v>Radiomics Combined with Transcriptomics Improves Prediction of Breast Cancer Recurrence, Molecular Subtype and Grade</v>
      </c>
      <c r="E293" s="4" t="str">
        <f>IF('[1]Abstract review'!G293="","",'[1]Abstract review'!G293)</f>
        <v>10.3390/cancers17172912</v>
      </c>
      <c r="F293" s="4" t="str">
        <f>IF('[1]Abstract review'!I293="I","Include → full text",IF('[1]Abstract review'!I293="E","Exclude",IF('[1]Abstract review'!I293="DUP","Duplicate — removed",'[1]Abstract review'!I293)))</f>
        <v>Exclude</v>
      </c>
      <c r="G293" s="4" t="str">
        <f>IF('[1]Abstract review'!I293="E",'[1]Abstract review'!J293,"")</f>
        <v>no pdac</v>
      </c>
      <c r="H293" s="4"/>
      <c r="I293" s="4"/>
      <c r="J293" s="4"/>
      <c r="K293" s="4"/>
      <c r="L293" s="6" t="str">
        <f t="shared" si="17"/>
        <v/>
      </c>
      <c r="M293" s="6" t="str">
        <f t="shared" si="18"/>
        <v/>
      </c>
      <c r="N293" s="6" t="str">
        <f>IF(L293="Include",IFERROR(INDEX('[1]Data extraction'!$AC$2:$AC$58,MATCH(H293+1,'[1]Data extraction'!$AA$2:$AA$58,0)),"not found"),"")</f>
        <v/>
      </c>
      <c r="O293" s="6" t="str">
        <f>IF(N293="","",IFERROR(INDEX('[1]Data extraction'!$L$2:$L$58,MATCH(N293,'[1]Data extraction'!$AC$2:$AC$58,0)),""))</f>
        <v/>
      </c>
      <c r="P293" s="7" t="str">
        <f t="shared" si="19"/>
        <v>Excluded at title/abstract</v>
      </c>
      <c r="Q293" s="6" t="str">
        <f t="shared" si="20"/>
        <v>Population</v>
      </c>
      <c r="R293" s="4"/>
    </row>
    <row r="294" spans="1:18" x14ac:dyDescent="0.3">
      <c r="A294" s="4">
        <f>'[1]Abstract review'!C294</f>
        <v>290</v>
      </c>
      <c r="B294" s="4" t="str">
        <f>IFERROR(LEFT('[1]Abstract review'!D294,FIND(";",'[1]Abstract review'!D294)-1),'[1]Abstract review'!D294)</f>
        <v>K. Abdilleh</v>
      </c>
      <c r="C294" s="5" t="str">
        <f>'[1]Abstract review'!E294&amp;""</f>
        <v>2025</v>
      </c>
      <c r="D294" s="4" t="str">
        <f>'[1]Abstract review'!F294</f>
        <v>Clinical and Multiomic Features Differentiate Young Black and White Breast Cancer Cohorts Derived by Machine Learning Approaches</v>
      </c>
      <c r="E294" s="4" t="str">
        <f>IF('[1]Abstract review'!G294="","",'[1]Abstract review'!G294)</f>
        <v>10.1016/j.clbc.2024.11.015</v>
      </c>
      <c r="F294" s="4" t="str">
        <f>IF('[1]Abstract review'!I294="I","Include → full text",IF('[1]Abstract review'!I294="E","Exclude",IF('[1]Abstract review'!I294="DUP","Duplicate — removed",'[1]Abstract review'!I294)))</f>
        <v>Exclude</v>
      </c>
      <c r="G294" s="4" t="str">
        <f>IF('[1]Abstract review'!I294="E",'[1]Abstract review'!J294,"")</f>
        <v>no pdac</v>
      </c>
      <c r="H294" s="4"/>
      <c r="I294" s="4"/>
      <c r="J294" s="4"/>
      <c r="K294" s="4"/>
      <c r="L294" s="6" t="str">
        <f t="shared" si="17"/>
        <v/>
      </c>
      <c r="M294" s="6" t="str">
        <f t="shared" si="18"/>
        <v/>
      </c>
      <c r="N294" s="6" t="str">
        <f>IF(L294="Include",IFERROR(INDEX('[1]Data extraction'!$AC$2:$AC$58,MATCH(H294+1,'[1]Data extraction'!$AA$2:$AA$58,0)),"not found"),"")</f>
        <v/>
      </c>
      <c r="O294" s="6" t="str">
        <f>IF(N294="","",IFERROR(INDEX('[1]Data extraction'!$L$2:$L$58,MATCH(N294,'[1]Data extraction'!$AC$2:$AC$58,0)),""))</f>
        <v/>
      </c>
      <c r="P294" s="7" t="str">
        <f t="shared" si="19"/>
        <v>Excluded at title/abstract</v>
      </c>
      <c r="Q294" s="6" t="str">
        <f t="shared" si="20"/>
        <v>Population</v>
      </c>
      <c r="R294" s="4"/>
    </row>
    <row r="295" spans="1:18" x14ac:dyDescent="0.3">
      <c r="A295" s="4"/>
      <c r="B295" s="4"/>
      <c r="C295" s="5"/>
      <c r="D295" s="4"/>
      <c r="E295" s="4"/>
      <c r="F295" s="4"/>
      <c r="G295" s="4"/>
      <c r="H295" s="4"/>
      <c r="I295" s="4"/>
      <c r="J295" s="4"/>
      <c r="K295" s="4"/>
      <c r="L295" s="4"/>
      <c r="M295" s="4"/>
      <c r="N295" s="4"/>
      <c r="O295" s="4"/>
      <c r="P295" s="4"/>
      <c r="Q295" s="4"/>
      <c r="R295" s="4"/>
    </row>
    <row r="296" spans="1:18" x14ac:dyDescent="0.3">
      <c r="A296" s="4"/>
      <c r="B296" s="4"/>
      <c r="C296" s="5"/>
      <c r="D296" s="4"/>
      <c r="E296" s="4"/>
      <c r="F296" s="4"/>
      <c r="G296" s="4"/>
      <c r="H296" s="4"/>
      <c r="I296" s="4"/>
      <c r="J296" s="4"/>
      <c r="K296" s="4"/>
      <c r="L296" s="4"/>
      <c r="M296" s="4"/>
      <c r="N296" s="4"/>
      <c r="O296" s="4"/>
      <c r="P296" s="4"/>
      <c r="Q296" s="4"/>
      <c r="R296" s="4"/>
    </row>
    <row r="297" spans="1:18" x14ac:dyDescent="0.3">
      <c r="A297" s="11" t="s">
        <v>65</v>
      </c>
      <c r="B297" s="4"/>
      <c r="C297" s="5"/>
      <c r="D297" s="4"/>
      <c r="E297" s="4"/>
      <c r="F297" s="4"/>
      <c r="G297" s="4"/>
      <c r="H297" s="4"/>
      <c r="I297" s="4"/>
      <c r="J297" s="4"/>
      <c r="K297" s="4"/>
      <c r="L297" s="4"/>
      <c r="M297" s="4"/>
      <c r="N297" s="4"/>
      <c r="O297" s="4"/>
      <c r="P297" s="4"/>
      <c r="Q297" s="4"/>
      <c r="R297" s="4"/>
    </row>
    <row r="298" spans="1:18" ht="29.4" thickBot="1" x14ac:dyDescent="0.35">
      <c r="A298" s="12" t="s">
        <v>66</v>
      </c>
      <c r="B298" s="12" t="s">
        <v>29</v>
      </c>
      <c r="C298" s="13" t="s">
        <v>67</v>
      </c>
      <c r="D298" s="12" t="s">
        <v>68</v>
      </c>
      <c r="E298" s="12" t="s">
        <v>17</v>
      </c>
      <c r="F298" s="12" t="s">
        <v>69</v>
      </c>
      <c r="G298" s="4"/>
      <c r="H298" s="4"/>
      <c r="I298" s="4"/>
      <c r="J298" s="4"/>
      <c r="K298" s="4"/>
      <c r="L298" s="4"/>
      <c r="M298" s="4"/>
      <c r="N298" s="4"/>
      <c r="O298" s="4"/>
      <c r="P298" s="4"/>
      <c r="Q298" s="4"/>
      <c r="R298" s="4"/>
    </row>
    <row r="299" spans="1:18" x14ac:dyDescent="0.3">
      <c r="A299" s="4" t="str">
        <f>'[1]Data extraction clinical.gov'!A2</f>
        <v>NCT01726582</v>
      </c>
      <c r="B299" s="4" t="str">
        <f>'[1]Data extraction clinical.gov'!B2</f>
        <v>Single-arm</v>
      </c>
      <c r="C299" s="5">
        <f>'[1]Data extraction clinical.gov'!C2</f>
        <v>130</v>
      </c>
      <c r="D299" s="4" t="str">
        <f>'[1]Data extraction clinical.gov'!D2</f>
        <v>Personalized periop (chemo/CRT/surgery)</v>
      </c>
      <c r="E299" s="6" t="s">
        <v>70</v>
      </c>
      <c r="F299" s="6" t="str">
        <f>"Registered PDAC trial retained after registry filters; stage: "&amp;'[1]Data extraction clinical.gov'!E2&amp;"; primary outcome: "&amp;'[1]Data extraction clinical.gov'!F2</f>
        <v>Registered PDAC trial retained after registry filters; stage: Resectable/Borderline; primary outcome: Completion to surgery (feasibility)</v>
      </c>
      <c r="G299" s="4"/>
      <c r="H299" s="4"/>
      <c r="I299" s="4"/>
      <c r="J299" s="4"/>
      <c r="K299" s="4"/>
      <c r="L299" s="4"/>
      <c r="M299" s="4"/>
      <c r="N299" s="4"/>
      <c r="O299" s="4"/>
      <c r="P299" s="4"/>
      <c r="Q299" s="4"/>
      <c r="R299" s="4"/>
    </row>
    <row r="300" spans="1:18" x14ac:dyDescent="0.3">
      <c r="A300" s="4" t="str">
        <f>'[1]Data extraction clinical.gov'!A3</f>
        <v>NCT00536874</v>
      </c>
      <c r="B300" s="4" t="str">
        <f>'[1]Data extraction clinical.gov'!B3</f>
        <v>Single-arm</v>
      </c>
      <c r="C300" s="5">
        <f>'[1]Data extraction clinical.gov'!C3</f>
        <v>35</v>
      </c>
      <c r="D300" s="4" t="str">
        <f>'[1]Data extraction clinical.gov'!D3</f>
        <v>Gemcitabine + Oxaliplatin (neoadjuvant)</v>
      </c>
      <c r="E300" s="6" t="s">
        <v>70</v>
      </c>
      <c r="F300" s="6" t="str">
        <f>"Registered PDAC trial retained after registry filters; stage: "&amp;'[1]Data extraction clinical.gov'!E3&amp;"; primary outcome: "&amp;'[1]Data extraction clinical.gov'!F3</f>
        <v>Registered PDAC trial retained after registry filters; stage: Resectable; primary outcome: OS rate (18 mo)</v>
      </c>
      <c r="G300" s="4"/>
      <c r="H300" s="4"/>
      <c r="I300" s="4"/>
      <c r="J300" s="4"/>
      <c r="K300" s="4"/>
      <c r="L300" s="4"/>
      <c r="M300" s="4"/>
      <c r="N300" s="4"/>
      <c r="O300" s="4"/>
      <c r="P300" s="4"/>
      <c r="Q300" s="4"/>
      <c r="R300" s="4"/>
    </row>
    <row r="301" spans="1:18" x14ac:dyDescent="0.3">
      <c r="A301" s="4" t="str">
        <f>'[1]Data extraction clinical.gov'!A4</f>
        <v>NCT01926197</v>
      </c>
      <c r="B301" s="4" t="str">
        <f>'[1]Data extraction clinical.gov'!B4</f>
        <v>Randomized</v>
      </c>
      <c r="C301" s="5" t="str">
        <f>'[1]Data extraction clinical.gov'!C4</f>
        <v>13/12</v>
      </c>
      <c r="D301" s="4" t="str">
        <f>'[1]Data extraction clinical.gov'!D4</f>
        <v>mFOLFIRINOX vs mFOLFIRINOX+SBRT</v>
      </c>
      <c r="E301" s="6" t="s">
        <v>70</v>
      </c>
      <c r="F301" s="6" t="str">
        <f>"Registered PDAC trial retained after registry filters; stage: "&amp;'[1]Data extraction clinical.gov'!E4&amp;"; primary outcome: "&amp;'[1]Data extraction clinical.gov'!F4</f>
        <v>Registered PDAC trial retained after registry filters; stage: Locally advanced (unresectable); primary outcome: PFS (median)</v>
      </c>
      <c r="G301" s="4"/>
      <c r="H301" s="4"/>
      <c r="I301" s="4"/>
      <c r="J301" s="4"/>
      <c r="K301" s="4"/>
      <c r="L301" s="4"/>
      <c r="M301" s="4"/>
      <c r="N301" s="4"/>
      <c r="O301" s="4"/>
      <c r="P301" s="4"/>
      <c r="Q301" s="4"/>
      <c r="R301" s="4"/>
    </row>
    <row r="302" spans="1:18" x14ac:dyDescent="0.3">
      <c r="A302" s="4" t="str">
        <f>'[1]Data extraction clinical.gov'!A5</f>
        <v>NCT00810719</v>
      </c>
      <c r="B302" s="4" t="str">
        <f>'[1]Data extraction clinical.gov'!B5</f>
        <v>Single-arm</v>
      </c>
      <c r="C302" s="5">
        <f>'[1]Data extraction clinical.gov'!C5</f>
        <v>30</v>
      </c>
      <c r="D302" s="4" t="str">
        <f>'[1]Data extraction clinical.gov'!D5</f>
        <v>Gemcitabine + Erlotinib</v>
      </c>
      <c r="E302" s="6" t="s">
        <v>70</v>
      </c>
      <c r="F302" s="6" t="str">
        <f>"Registered PDAC trial retained after registry filters; stage: "&amp;'[1]Data extraction clinical.gov'!E5&amp;"; primary outcome: "&amp;'[1]Data extraction clinical.gov'!F5</f>
        <v>Registered PDAC trial retained after registry filters; stage: Advanced/Metastatic; primary outcome: PFS (median)</v>
      </c>
      <c r="G302" s="4"/>
      <c r="H302" s="4"/>
      <c r="I302" s="4"/>
      <c r="J302" s="4"/>
      <c r="K302" s="4"/>
      <c r="L302" s="4"/>
      <c r="M302" s="4"/>
      <c r="N302" s="4"/>
      <c r="O302" s="4"/>
      <c r="P302" s="4"/>
      <c r="Q302" s="4"/>
      <c r="R302" s="4"/>
    </row>
    <row r="303" spans="1:18" x14ac:dyDescent="0.3">
      <c r="A303" s="4" t="str">
        <f>'[1]Data extraction clinical.gov'!A6</f>
        <v>NCT00769483</v>
      </c>
      <c r="B303" s="4" t="str">
        <f>'[1]Data extraction clinical.gov'!B6</f>
        <v>Phase I/II, non-randomized, multi-arm</v>
      </c>
      <c r="C303" s="5" t="str">
        <f>'[1]Data extraction clinical.gov'!C6</f>
        <v>~15/arm</v>
      </c>
      <c r="D303" s="4" t="str">
        <f>'[1]Data extraction clinical.gov'!D6</f>
        <v>MK-0646 + Gem ± Erlotinib</v>
      </c>
      <c r="E303" s="6" t="s">
        <v>70</v>
      </c>
      <c r="F303" s="6" t="str">
        <f>"Registered PDAC trial retained after registry filters; stage: "&amp;'[1]Data extraction clinical.gov'!E6&amp;"; primary outcome: "&amp;'[1]Data extraction clinical.gov'!F6</f>
        <v>Registered PDAC trial retained after registry filters; stage: Stage IV (metastatic); primary outcome: MTD + PFS (time to progression/death)</v>
      </c>
      <c r="G303" s="4"/>
      <c r="H303" s="4"/>
      <c r="I303" s="4"/>
      <c r="J303" s="4"/>
      <c r="K303" s="4"/>
      <c r="L303" s="4"/>
      <c r="M303" s="4"/>
      <c r="N303" s="4"/>
      <c r="O303" s="4"/>
      <c r="P303" s="4"/>
      <c r="Q303" s="4"/>
      <c r="R303" s="4"/>
    </row>
    <row r="304" spans="1:18" x14ac:dyDescent="0.3">
      <c r="A304" s="4" t="str">
        <f>'[1]Data extraction clinical.gov'!A7</f>
        <v>NCT00365144</v>
      </c>
      <c r="B304" s="4" t="str">
        <f>'[1]Data extraction clinical.gov'!B7</f>
        <v>Single-arm</v>
      </c>
      <c r="C304" s="5">
        <f>'[1]Data extraction clinical.gov'!C7</f>
        <v>36</v>
      </c>
      <c r="D304" s="4" t="str">
        <f>'[1]Data extraction clinical.gov'!D7</f>
        <v>Bevacizumab + Erlotinib</v>
      </c>
      <c r="E304" s="6" t="s">
        <v>70</v>
      </c>
      <c r="F304" s="6" t="str">
        <f>"Registered PDAC trial retained after registry filters; stage: "&amp;'[1]Data extraction clinical.gov'!E7&amp;"; primary outcome: "&amp;'[1]Data extraction clinical.gov'!F7</f>
        <v>Registered PDAC trial retained after registry filters; stage: Metastatic, gemcitabine-refractory; primary outcome: OS rate (6 mo) + safety</v>
      </c>
      <c r="G304" s="4"/>
      <c r="H304" s="4"/>
      <c r="I304" s="4"/>
      <c r="J304" s="4"/>
      <c r="K304" s="4"/>
      <c r="L304" s="4"/>
      <c r="M304" s="4"/>
      <c r="N304" s="4"/>
      <c r="O304" s="4"/>
      <c r="P304" s="4"/>
      <c r="Q304" s="4"/>
      <c r="R304" s="4"/>
    </row>
    <row r="305" spans="1:18" x14ac:dyDescent="0.3">
      <c r="A305" s="4" t="str">
        <f>'[1]Data extraction clinical.gov'!A8</f>
        <v>NCT00550836</v>
      </c>
      <c r="B305" s="4" t="str">
        <f>'[1]Data extraction clinical.gov'!B8</f>
        <v>Randomized</v>
      </c>
      <c r="C305" s="5" t="str">
        <f>'[1]Data extraction clinical.gov'!C8</f>
        <v>46 / 46</v>
      </c>
      <c r="D305" s="4" t="str">
        <f>'[1]Data extraction clinical.gov'!D8</f>
        <v>Gemcitabine+Erlotinib vs +Panitumumab</v>
      </c>
      <c r="E305" s="6" t="s">
        <v>70</v>
      </c>
      <c r="F305" s="6" t="str">
        <f>"Registered PDAC trial retained after registry filters; stage: "&amp;'[1]Data extraction clinical.gov'!E8&amp;"; primary outcome: "&amp;'[1]Data extraction clinical.gov'!F8</f>
        <v>Registered PDAC trial retained after registry filters; stage: Metastatic; primary outcome: OS (median; Arm B vs Arm A)</v>
      </c>
      <c r="G305" s="4"/>
      <c r="H305" s="4"/>
      <c r="I305" s="4"/>
      <c r="J305" s="4"/>
      <c r="K305" s="4"/>
      <c r="L305" s="4"/>
      <c r="M305" s="4"/>
      <c r="N305" s="4"/>
      <c r="O305" s="4"/>
      <c r="P305" s="4"/>
      <c r="Q305" s="4"/>
      <c r="R305" s="4"/>
    </row>
    <row r="306" spans="1:18" x14ac:dyDescent="0.3">
      <c r="A306" s="4" t="str">
        <f>'[1]Data extraction clinical.gov'!A9</f>
        <v>NCT03941093</v>
      </c>
      <c r="B306" s="4" t="str">
        <f>'[1]Data extraction clinical.gov'!B9</f>
        <v>Randomized, double-blind</v>
      </c>
      <c r="C306" s="5" t="str">
        <f>'[1]Data extraction clinical.gov'!C9</f>
        <v>143 / 141</v>
      </c>
      <c r="D306" s="4" t="str">
        <f>'[1]Data extraction clinical.gov'!D9</f>
        <v>Pamrevlumab + G/nab-P or FOLFIRINOX vs Placebo + G/nab-P or FOLFIRINOX</v>
      </c>
      <c r="E306" s="6" t="s">
        <v>70</v>
      </c>
      <c r="F306" s="6" t="str">
        <f>"Registered PDAC trial retained after registry filters; stage: "&amp;'[1]Data extraction clinical.gov'!E9&amp;"; primary outcome: "&amp;'[1]Data extraction clinical.gov'!F9</f>
        <v>Registered PDAC trial retained after registry filters; stage: Locally advanced unresectable; primary outcome: OS</v>
      </c>
      <c r="G306" s="4"/>
      <c r="H306" s="4"/>
      <c r="I306" s="4"/>
      <c r="J306" s="4"/>
      <c r="K306" s="4"/>
      <c r="L306" s="4"/>
      <c r="M306" s="4"/>
      <c r="N306" s="4"/>
      <c r="O306" s="4"/>
      <c r="P306" s="4"/>
      <c r="Q306" s="4"/>
      <c r="R306" s="4"/>
    </row>
    <row r="307" spans="1:18" x14ac:dyDescent="0.3">
      <c r="A307" s="4" t="str">
        <f>'[1]Data extraction clinical.gov'!A10</f>
        <v>NCT00408564</v>
      </c>
      <c r="B307" s="4" t="str">
        <f>'[1]Data extraction clinical.gov'!B10</f>
        <v>Single-arm</v>
      </c>
      <c r="C307" s="5" t="str">
        <f>'[1]Data extraction clinical.gov'!C10</f>
        <v>38–39</v>
      </c>
      <c r="D307" s="4" t="str">
        <f>'[1]Data extraction clinical.gov'!D10</f>
        <v>Gemcitabine + Oxaliplatin + Cetuximab → reassessment → surgery or RT/capecitabine</v>
      </c>
      <c r="E307" s="6" t="s">
        <v>70</v>
      </c>
      <c r="F307" s="6" t="str">
        <f>"Registered PDAC trial retained after registry filters; stage: "&amp;'[1]Data extraction clinical.gov'!E10&amp;"; primary outcome: "&amp;'[1]Data extraction clinical.gov'!F10</f>
        <v>Registered PDAC trial retained after registry filters; stage: Locally advanced unresectable, nonmetastatic; primary outcome: PFS rate at 6 mo</v>
      </c>
      <c r="G307" s="4"/>
      <c r="H307" s="4"/>
      <c r="I307" s="4"/>
      <c r="J307" s="4"/>
      <c r="K307" s="4"/>
      <c r="L307" s="4"/>
      <c r="M307" s="4"/>
      <c r="N307" s="4"/>
      <c r="O307" s="4"/>
      <c r="P307" s="4"/>
      <c r="Q307" s="4"/>
      <c r="R307" s="4"/>
    </row>
    <row r="308" spans="1:18" x14ac:dyDescent="0.3">
      <c r="A308" s="4" t="str">
        <f>'[1]Data extraction clinical.gov'!A11</f>
        <v>NCT00521404</v>
      </c>
      <c r="B308" s="4" t="str">
        <f>'[1]Data extraction clinical.gov'!B11</f>
        <v>Single-arm</v>
      </c>
      <c r="C308" s="5">
        <f>'[1]Data extraction clinical.gov'!C11</f>
        <v>61</v>
      </c>
      <c r="D308" s="4" t="str">
        <f>'[1]Data extraction clinical.gov'!D11</f>
        <v>CS-1008 (anti-DR5) + gemcitabine</v>
      </c>
      <c r="E308" s="6" t="s">
        <v>70</v>
      </c>
      <c r="F308" s="6" t="str">
        <f>"Registered PDAC trial retained after registry filters; stage: "&amp;'[1]Data extraction clinical.gov'!E11&amp;"; primary outcome: "&amp;'[1]Data extraction clinical.gov'!F11</f>
        <v>Registered PDAC trial retained after registry filters; stage: Unresectable / metastatic (chemo-naïve); primary outcome: PFS rate at 16 weeks</v>
      </c>
      <c r="G308" s="4"/>
      <c r="H308" s="4"/>
      <c r="I308" s="4"/>
      <c r="J308" s="4"/>
      <c r="K308" s="4"/>
      <c r="L308" s="4"/>
      <c r="M308" s="4"/>
      <c r="N308" s="4"/>
      <c r="O308" s="4"/>
      <c r="P308" s="4"/>
      <c r="Q308" s="4"/>
      <c r="R308" s="4"/>
    </row>
    <row r="309" spans="1:18" x14ac:dyDescent="0.3">
      <c r="A309" s="4" t="str">
        <f>'[1]Data extraction clinical.gov'!A12</f>
        <v>NCT00417976</v>
      </c>
      <c r="B309" s="4" t="str">
        <f>'[1]Data extraction clinical.gov'!B12</f>
        <v>Single-arm</v>
      </c>
      <c r="C309" s="5" t="str">
        <f>'[1]Data extraction clinical.gov'!C12</f>
        <v>39–40</v>
      </c>
      <c r="D309" s="4" t="str">
        <f>'[1]Data extraction clinical.gov'!D12</f>
        <v>Bevacizumab + Gemcitabine + infusional 5-FU</v>
      </c>
      <c r="E309" s="6" t="s">
        <v>70</v>
      </c>
      <c r="F309" s="6" t="str">
        <f>"Registered PDAC trial retained after registry filters; stage: "&amp;'[1]Data extraction clinical.gov'!E12&amp;"; primary outcome: "&amp;'[1]Data extraction clinical.gov'!F12</f>
        <v>Registered PDAC trial retained after registry filters; stage: Stage III–IV; primary outcome: PFS rate at 6 mo</v>
      </c>
      <c r="G309" s="4"/>
      <c r="H309" s="4"/>
      <c r="I309" s="4"/>
      <c r="J309" s="4"/>
      <c r="K309" s="4"/>
      <c r="L309" s="4"/>
      <c r="M309" s="4"/>
      <c r="N309" s="4"/>
      <c r="O309" s="4"/>
      <c r="P309" s="4"/>
      <c r="Q309" s="4"/>
      <c r="R309" s="4"/>
    </row>
    <row r="310" spans="1:18" x14ac:dyDescent="0.3">
      <c r="A310" s="4" t="str">
        <f>'[1]Data extraction clinical.gov'!A13</f>
        <v>NCT00499486</v>
      </c>
      <c r="B310" s="4" t="str">
        <f>'[1]Data extraction clinical.gov'!B13</f>
        <v>Single-arm</v>
      </c>
      <c r="C310" s="5">
        <f>'[1]Data extraction clinical.gov'!C13</f>
        <v>31</v>
      </c>
      <c r="D310" s="4" t="str">
        <f>'[1]Data extraction clinical.gov'!D13</f>
        <v>Sirolimus monotherapy</v>
      </c>
      <c r="E310" s="6" t="s">
        <v>70</v>
      </c>
      <c r="F310" s="6" t="str">
        <f>"Registered PDAC trial retained after registry filters; stage: "&amp;'[1]Data extraction clinical.gov'!E13&amp;"; primary outcome: "&amp;'[1]Data extraction clinical.gov'!F13</f>
        <v>Registered PDAC trial retained after registry filters; stage: Advanced PDAC, post-gemcitabine (refractory); primary outcome: OS rate at 6 months</v>
      </c>
      <c r="G310" s="4"/>
      <c r="H310" s="4"/>
      <c r="I310" s="4"/>
      <c r="J310" s="4"/>
      <c r="K310" s="4"/>
      <c r="L310" s="4"/>
      <c r="M310" s="4"/>
      <c r="N310" s="4"/>
      <c r="O310" s="4"/>
      <c r="P310" s="4"/>
      <c r="Q310" s="4"/>
      <c r="R310" s="4"/>
    </row>
    <row r="311" spans="1:18" x14ac:dyDescent="0.3">
      <c r="A311" s="4" t="str">
        <f>'[1]Data extraction clinical.gov'!A14</f>
        <v>NCT01560949</v>
      </c>
      <c r="B311" s="4" t="str">
        <f>'[1]Data extraction clinical.gov'!B14</f>
        <v>Single-arm</v>
      </c>
      <c r="C311" s="5">
        <f>'[1]Data extraction clinical.gov'!C14</f>
        <v>33</v>
      </c>
      <c r="D311" s="4" t="str">
        <f>'[1]Data extraction clinical.gov'!D14</f>
        <v>mFOLFIRINOX → gemcitabine-based CRT → surgery</v>
      </c>
      <c r="E311" s="6" t="s">
        <v>70</v>
      </c>
      <c r="F311" s="6" t="str">
        <f>"Registered PDAC trial retained after registry filters; stage: "&amp;'[1]Data extraction clinical.gov'!E14&amp;"; primary outcome: "&amp;'[1]Data extraction clinical.gov'!F14</f>
        <v>Registered PDAC trial retained after registry filters; stage: Borderline resectable / high-risk resectable; primary outcome: Resectability rate</v>
      </c>
      <c r="G311" s="4"/>
      <c r="H311" s="4"/>
      <c r="I311" s="4"/>
      <c r="J311" s="4"/>
      <c r="K311" s="4"/>
      <c r="L311" s="4"/>
      <c r="M311" s="4"/>
      <c r="N311" s="4"/>
      <c r="O311" s="4"/>
      <c r="P311" s="4"/>
      <c r="Q311" s="4"/>
      <c r="R311" s="4"/>
    </row>
    <row r="312" spans="1:18" x14ac:dyDescent="0.3">
      <c r="A312" s="4" t="str">
        <f>'[1]Data extraction clinical.gov'!A15</f>
        <v>NCT01146054</v>
      </c>
      <c r="B312" s="4" t="str">
        <f>'[1]Data extraction clinical.gov'!B15</f>
        <v>Single-arm</v>
      </c>
      <c r="C312" s="5">
        <f>'[1]Data extraction clinical.gov'!C15</f>
        <v>49</v>
      </c>
      <c r="D312" s="4" t="str">
        <f>'[1]Data extraction clinical.gov'!D15</f>
        <v>SBRT + Gemcitabine</v>
      </c>
      <c r="E312" s="6" t="s">
        <v>70</v>
      </c>
      <c r="F312" s="6" t="str">
        <f>"Registered PDAC trial retained after registry filters; stage: "&amp;'[1]Data extraction clinical.gov'!E15&amp;"; primary outcome: "&amp;'[1]Data extraction clinical.gov'!F15</f>
        <v>Registered PDAC trial retained after registry filters; stage: Locally advanced unresectable, nonmetastatic; primary outcome: Late GI toxicity ≥Grade 2 at 1 year</v>
      </c>
      <c r="G312" s="4"/>
      <c r="H312" s="4"/>
      <c r="I312" s="4"/>
      <c r="J312" s="4"/>
      <c r="K312" s="4"/>
      <c r="L312" s="4"/>
      <c r="M312" s="4"/>
      <c r="N312" s="4"/>
      <c r="O312" s="4"/>
      <c r="P312" s="4"/>
      <c r="Q312" s="4"/>
      <c r="R312" s="4"/>
    </row>
  </sheetData>
  <conditionalFormatting sqref="P5:P294">
    <cfRule type="containsText" dxfId="1" priority="1" operator="containsText" text="INCLUDED">
      <formula>NOT(ISERROR(SEARCH("INCLUDED",P5)))</formula>
    </cfRule>
    <cfRule type="containsText" dxfId="0" priority="2" operator="containsText" text="full text">
      <formula>NOT(ISERROR(SEARCH("full text",P5)))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Study decisions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Vassiliki Tarara</dc:creator>
  <cp:lastModifiedBy>Vassiliki Tarara</cp:lastModifiedBy>
  <dcterms:created xsi:type="dcterms:W3CDTF">2026-09-30T19:20:35Z</dcterms:created>
  <dcterms:modified xsi:type="dcterms:W3CDTF">2026-09-30T19:21:17Z</dcterms:modified>
</cp:coreProperties>
</file>